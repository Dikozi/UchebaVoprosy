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тарт" sheetId="1" r:id="rId1"/>
    <sheet name="Янв" sheetId="2" r:id="rId2"/>
    <sheet name="Фев" sheetId="3" r:id="rId3"/>
    <sheet name="Мар" sheetId="4" r:id="rId4"/>
    <sheet name="Апр" sheetId="5" r:id="rId5"/>
    <sheet name="Май" sheetId="6" r:id="rId6"/>
    <sheet name="Июн" sheetId="7" r:id="rId7"/>
    <sheet name="Июл" sheetId="8" r:id="rId8"/>
    <sheet name="Авг" sheetId="9" r:id="rId9"/>
    <sheet name="Сен" sheetId="10" r:id="rId10"/>
    <sheet name="Окт" sheetId="11" r:id="rId11"/>
    <sheet name="Ноя" sheetId="12" r:id="rId12"/>
    <sheet name="Дек" sheetId="13" r:id="rId13"/>
    <sheet name="Расчёт" sheetId="14" state="hidden" r:id="rId14"/>
    <sheet name="Год" sheetId="15" r:id="rId15"/>
    <sheet name="Обзор" sheetId="16" r:id="rId16"/>
    <sheet name="Списки" sheetId="17" state="hidden" r:id="rId17"/>
  </sheets>
  <definedNames>
    <definedName name="_xlnm.Print_Area" localSheetId="8">Авг!$A$1:$L$36</definedName>
    <definedName name="_xlnm.Print_Area" localSheetId="4">Апр!$A$1:$L$36</definedName>
    <definedName name="_xlnm.Print_Area" localSheetId="12">Дек!$A$1:$L$36</definedName>
    <definedName name="_xlnm.Print_Area" localSheetId="7">Июл!$A$1:$L$36</definedName>
    <definedName name="_xlnm.Print_Area" localSheetId="6">Июн!$A$1:$L$36</definedName>
    <definedName name="_xlnm.Print_Area" localSheetId="5">Май!$A$1:$L$36</definedName>
    <definedName name="_xlnm.Print_Area" localSheetId="3">Мар!$A$1:$L$36</definedName>
    <definedName name="_xlnm.Print_Area" localSheetId="11">Ноя!$A$1:$L$36</definedName>
    <definedName name="_xlnm.Print_Area" localSheetId="10">Окт!$A$1:$L$36</definedName>
    <definedName name="_xlnm.Print_Area" localSheetId="9">Сен!$A$1:$L$36</definedName>
    <definedName name="_xlnm.Print_Area" localSheetId="2">Фев!$A$1:$L$36</definedName>
    <definedName name="_xlnm.Print_Area" localSheetId="1">Янв!$A$1:$L$36</definedName>
  </definedNames>
  <calcPr calcId="124519" fullCalcOnLoad="1"/>
</workbook>
</file>

<file path=xl/sharedStrings.xml><?xml version="1.0" encoding="utf-8"?>
<sst xmlns="http://schemas.openxmlformats.org/spreadsheetml/2006/main" count="305" uniqueCount="161">
  <si>
    <t>РЕЖИМ</t>
  </si>
  <si>
    <t>Не идеально, а регулярно</t>
  </si>
  <si>
    <t>1. Замени серые примеры своими привычками. Хватит пяти.</t>
  </si>
  <si>
    <t>2. Открой месяц — плиткой ниже или вкладкой внизу.</t>
  </si>
  <si>
    <t>3. Вечером ставь галочки. Остальное считается само.</t>
  </si>
  <si>
    <t>МОИ ПРИВЫЧКИ</t>
  </si>
  <si>
    <t>Значок</t>
  </si>
  <si>
    <t>Привычка</t>
  </si>
  <si>
    <t>Имя</t>
  </si>
  <si>
    <t>Раз в неделю</t>
  </si>
  <si>
    <t>🏋</t>
  </si>
  <si>
    <t>Зал · 10 минут разминки</t>
  </si>
  <si>
    <t>Зал</t>
  </si>
  <si>
    <t>💧</t>
  </si>
  <si>
    <t>Стакан воды после сна</t>
  </si>
  <si>
    <t>Вода</t>
  </si>
  <si>
    <t>📖</t>
  </si>
  <si>
    <t>20 страниц книги</t>
  </si>
  <si>
    <t>Книга</t>
  </si>
  <si>
    <t>🧘</t>
  </si>
  <si>
    <t>Тишина 10 минут</t>
  </si>
  <si>
    <t>Дзен</t>
  </si>
  <si>
    <t>📝</t>
  </si>
  <si>
    <t>План на завтра</t>
  </si>
  <si>
    <t>План</t>
  </si>
  <si>
    <t>ЧТОБЫ…</t>
  </si>
  <si>
    <t>…быть сильным</t>
  </si>
  <si>
    <t>…быть тем, кто читает</t>
  </si>
  <si>
    <t>…спокойствие и фокус</t>
  </si>
  <si>
    <t>Галочки уже включены. Если вместо них пустые квадраты: выдели их → Вставка → Флажок.</t>
  </si>
  <si>
    <t>· Значок и имя — для шапки месяца, их видно на телефоне.</t>
  </si>
  <si>
    <t>· «Раз в неделю» 7 — привычка на каждый день, у неё считается серия.</t>
  </si>
  <si>
    <t>· Привычка помещается в 10 минут в плохой день. Иначе это цель месяца.</t>
  </si>
  <si>
    <t>· Поле «Чтобы…» необязательное: планер вернёт эту фразу в трудный день.</t>
  </si>
  <si>
    <t>МЕСЯЦЫ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</si>
  <si>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</si>
  <si>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</si>
  <si>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</si>
  <si>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</si>
  <si>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</si>
  <si>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</si>
  <si>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</si>
  <si>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</si>
  <si>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</si>
  <si>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</si>
  <si>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</si>
  <si>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</si>
  <si>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Если цвета странные: ⋮ → Тёмная тема → выкл</t>
  </si>
  <si>
    <t>Считать сегодняшним днём (обычно пусто)</t>
  </si>
  <si>
    <t>ЦЕЛИ МЕСЯЦА</t>
  </si>
  <si>
    <t>НЕДЕЛЯ</t>
  </si>
  <si>
    <t>Нед 1</t>
  </si>
  <si>
    <t>Нед 2</t>
  </si>
  <si>
    <t>Нед 3</t>
  </si>
  <si>
    <t>Нед 4</t>
  </si>
  <si>
    <t>Нед 5</t>
  </si>
  <si>
    <t>сегодня</t>
  </si>
  <si>
    <t>строка</t>
  </si>
  <si>
    <t>активных</t>
  </si>
  <si>
    <t>опыт</t>
  </si>
  <si>
    <t>уровень</t>
  </si>
  <si>
    <t>звание</t>
  </si>
  <si>
    <t>до уровня</t>
  </si>
  <si>
    <t>испытаний</t>
  </si>
  <si>
    <t>месяцы</t>
  </si>
  <si>
    <t>недели</t>
  </si>
  <si>
    <t>награды</t>
  </si>
  <si>
    <t>ticks</t>
  </si>
  <si>
    <t>record</t>
  </si>
  <si>
    <t>full_days</t>
  </si>
  <si>
    <t>returns</t>
  </si>
  <si>
    <t>challenges</t>
  </si>
  <si>
    <t>evenings</t>
  </si>
  <si>
    <t>answers</t>
  </si>
  <si>
    <t>Месяц</t>
  </si>
  <si>
    <t>%</t>
  </si>
  <si>
    <t>Всего</t>
  </si>
  <si>
    <t>Полных</t>
  </si>
  <si>
    <t>Серия</t>
  </si>
  <si>
    <t>Опыт</t>
  </si>
  <si>
    <t>НАГРАДЫ</t>
  </si>
  <si>
    <t>ИТОГ ГОДА</t>
  </si>
  <si>
    <t>ЧТО МЕШАЛО — И КОГДА И ГДЕ СДЕЛАЮ ИНАЧЕ?</t>
  </si>
  <si>
    <t>Нед 6</t>
  </si>
  <si>
    <t>Нед 7</t>
  </si>
  <si>
    <t>Нед 8</t>
  </si>
  <si>
    <t>Нед 9</t>
  </si>
  <si>
    <t>Нед 10</t>
  </si>
  <si>
    <t>Нед 11</t>
  </si>
  <si>
    <t>Нед 12</t>
  </si>
  <si>
    <t>Нед 13</t>
  </si>
  <si>
    <t>Нед 14</t>
  </si>
  <si>
    <t>Нед 15</t>
  </si>
  <si>
    <t>Нед 16</t>
  </si>
  <si>
    <t>Нед 17</t>
  </si>
  <si>
    <t>Нед 18</t>
  </si>
  <si>
    <t>Нед 19</t>
  </si>
  <si>
    <t>Нед 20</t>
  </si>
  <si>
    <t>Нед 21</t>
  </si>
  <si>
    <t>Нед 22</t>
  </si>
  <si>
    <t>Нед 23</t>
  </si>
  <si>
    <t>Нед 24</t>
  </si>
  <si>
    <t>Нед 25</t>
  </si>
  <si>
    <t>Нед 26</t>
  </si>
  <si>
    <t>Нед 27</t>
  </si>
  <si>
    <t>Нед 28</t>
  </si>
  <si>
    <t>Нед 29</t>
  </si>
  <si>
    <t>Нед 30</t>
  </si>
  <si>
    <t>Нед 31</t>
  </si>
  <si>
    <t>Нед 32</t>
  </si>
  <si>
    <t>Нед 33</t>
  </si>
  <si>
    <t>Нед 34</t>
  </si>
  <si>
    <t>Нед 35</t>
  </si>
  <si>
    <t>Нед 36</t>
  </si>
  <si>
    <t>Нед 37</t>
  </si>
  <si>
    <t>Нед 38</t>
  </si>
  <si>
    <t>Нед 39</t>
  </si>
  <si>
    <t>Нед 40</t>
  </si>
  <si>
    <t>Нед 41</t>
  </si>
  <si>
    <t>Нед 42</t>
  </si>
  <si>
    <t>Нед 43</t>
  </si>
  <si>
    <t>Нед 44</t>
  </si>
  <si>
    <t>Нед 45</t>
  </si>
  <si>
    <t>Нед 46</t>
  </si>
  <si>
    <t>Нед 47</t>
  </si>
  <si>
    <t>Нед 48</t>
  </si>
  <si>
    <t>Нед 49</t>
  </si>
  <si>
    <t>Нед 50</t>
  </si>
  <si>
    <t>Нед 51</t>
  </si>
  <si>
    <t>Нед 52</t>
  </si>
  <si>
    <t>Нед 53</t>
  </si>
  <si>
    <t>ОБЗОР МЕСЯЦА · для компьютера</t>
  </si>
  <si>
    <t>Месяц:</t>
  </si>
  <si>
    <t>&lt;6</t>
  </si>
  <si>
    <t>6–7</t>
  </si>
  <si>
    <t>7–8</t>
  </si>
  <si>
    <t>8+</t>
  </si>
  <si>
    <t>🔋</t>
  </si>
  <si>
    <t>🔋🔋</t>
  </si>
  <si>
    <t>🔋🔋🔋</t>
  </si>
  <si>
    <t>😞</t>
  </si>
  <si>
    <t>😕</t>
  </si>
  <si>
    <t>😐</t>
  </si>
  <si>
    <t>🙂</t>
  </si>
  <si>
    <t>😄</t>
  </si>
  <si>
    <t>🥗</t>
  </si>
  <si>
    <t>🗣</t>
  </si>
  <si>
    <t>🏃</t>
  </si>
  <si>
    <t>🛏</t>
  </si>
  <si>
    <t>🚿</t>
  </si>
  <si>
    <t>🎯</t>
  </si>
  <si>
    <t>💰</t>
  </si>
  <si>
    <t>🎸</t>
  </si>
  <si>
    <t>📵</t>
  </si>
  <si>
    <t>☀</t>
  </si>
  <si>
    <t>🧹</t>
  </si>
  <si>
    <t>порог</t>
  </si>
  <si>
    <t>Разминка</t>
  </si>
  <si>
    <t>Разгон</t>
  </si>
  <si>
    <t>Ритм</t>
  </si>
  <si>
    <t>Режим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</si>
</sst>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;;;"/>
    <numFmt numFmtId="166" formatCode="0%"/>
  </numFmts>
  <fonts count="26">
    <font>
      <sz val="10"/>
      <color theme="1"/>
      <name val="Arial"/>
      <family val="2"/>
    </font>
    <font>
      <sz val="10"/>
      <color rgb="FFF2F4F8"/>
      <name val="Arial"/>
      <family val="2"/>
    </font>
    <font>
      <b/>
      <sz val="22"/>
      <color rgb="FFF2F4F8"/>
      <name val="Arial"/>
      <family val="2"/>
    </font>
    <font>
      <sz val="11"/>
      <color rgb="FFA0A7B8"/>
      <name val="Arial"/>
      <family val="2"/>
    </font>
    <font>
      <sz val="11"/>
      <color rgb="FFF2F4F8"/>
      <name val="Arial"/>
      <family val="2"/>
    </font>
    <font>
      <sz val="10"/>
      <color rgb="FF0E1016"/>
      <name val="Arial"/>
      <family val="2"/>
    </font>
    <font>
      <b/>
      <sz val="9"/>
      <color rgb="FFA0A7B8"/>
      <name val="Arial"/>
      <family val="2"/>
    </font>
    <font>
      <sz val="13"/>
      <color rgb="FFF2F4F8"/>
      <name val="Arial"/>
      <family val="2"/>
    </font>
    <font>
      <sz val="13"/>
      <color theme="1"/>
      <name val="Arial"/>
      <family val="2"/>
    </font>
    <font>
      <b/>
      <sz val="10"/>
      <color rgb="FFF6C453"/>
      <name val="Arial"/>
      <family val="2"/>
    </font>
    <font>
      <sz val="10"/>
      <color rgb="FFA0A7B8"/>
      <name val="Arial"/>
      <family val="2"/>
    </font>
    <font>
      <b/>
      <sz val="12"/>
      <color rgb="FFF2F4F8"/>
      <name val="Arial"/>
      <family val="2"/>
    </font>
    <font>
      <b/>
      <sz val="11"/>
      <color rgb="FF22A35E"/>
      <name val="Arial"/>
      <family val="2"/>
    </font>
    <font>
      <b/>
      <sz val="15"/>
      <color rgb="FFF2F4F8"/>
      <name val="Arial"/>
      <family val="2"/>
    </font>
    <font>
      <b/>
      <sz val="12"/>
      <color rgb="FFA0A7B8"/>
      <name val="Arial"/>
      <family val="2"/>
    </font>
    <font>
      <sz val="16"/>
      <color rgb="FFF2F4F8"/>
      <name val="Arial"/>
      <family val="2"/>
    </font>
    <font>
      <b/>
      <sz val="10"/>
      <color rgb="FFA0A7B8"/>
      <name val="Arial"/>
      <family val="2"/>
    </font>
    <font>
      <sz val="9"/>
      <color rgb="FF1B1F2A"/>
      <name val="Arial"/>
      <family val="2"/>
    </font>
    <font>
      <b/>
      <sz val="10"/>
      <color rgb="FFF2F4F8"/>
      <name val="Arial"/>
      <family val="2"/>
    </font>
    <font>
      <sz val="14"/>
      <color rgb="FFA0A7B8"/>
      <name val="Arial"/>
      <family val="2"/>
    </font>
    <font>
      <b/>
      <sz val="11"/>
      <color rgb="FFF2F4F8"/>
      <name val="Arial"/>
      <family val="2"/>
    </font>
    <font>
      <sz val="9"/>
      <color rgb="FFA0A7B8"/>
      <name val="Arial"/>
      <family val="2"/>
    </font>
    <font>
      <b/>
      <sz val="9"/>
      <color theme="1"/>
      <name val="Arial"/>
      <family val="2"/>
    </font>
    <font>
      <b/>
      <sz val="16"/>
      <color rgb="FFF2F4F8"/>
      <name val="Arial"/>
      <family val="2"/>
    </font>
    <font>
      <b/>
      <sz val="13"/>
      <color rgb="FFF2F4F8"/>
      <name val="Arial"/>
      <family val="2"/>
    </font>
    <font>
      <b/>
      <sz val="14"/>
      <color rgb="FFF2F4F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E1016"/>
        <bgColor indexed="64"/>
      </patternFill>
    </fill>
    <fill>
      <patternFill patternType="solid">
        <fgColor rgb="FF1B1F2A"/>
        <bgColor indexed="64"/>
      </patternFill>
    </fill>
    <fill>
      <patternFill patternType="solid">
        <fgColor rgb="FF262B38"/>
        <bgColor indexed="64"/>
      </patternFill>
    </fill>
    <fill>
      <patternFill patternType="solid">
        <fgColor rgb="FF2A2E3B"/>
        <bgColor indexed="64"/>
      </patternFill>
    </fill>
  </fills>
  <borders count="2">
    <border>
      <left/>
      <right/>
      <top/>
      <bottom/>
      <diagonal/>
    </border>
    <border>
      <left style="thin">
        <color rgb="FF0E1016"/>
      </left>
      <right style="thin">
        <color rgb="FF0E1016"/>
      </right>
      <top style="thin">
        <color rgb="FF0E1016"/>
      </top>
      <bottom style="thin">
        <color rgb="FF0E101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 wrapText="1"/>
    </xf>
    <xf numFmtId="164" fontId="5" fillId="2" borderId="0" xfId="0" applyNumberFormat="1" applyFont="1" applyFill="1"/>
    <xf numFmtId="0" fontId="6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 wrapText="1"/>
    </xf>
    <xf numFmtId="0" fontId="10" fillId="2" borderId="0" xfId="0" applyFont="1" applyFill="1" applyAlignment="1">
      <alignment horizontal="left" vertical="center" indent="1" wrapText="1"/>
    </xf>
    <xf numFmtId="0" fontId="11" fillId="4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 indent="1"/>
    </xf>
    <xf numFmtId="16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 indent="1"/>
    </xf>
    <xf numFmtId="0" fontId="14" fillId="3" borderId="0" xfId="0" applyFont="1" applyFill="1" applyAlignment="1">
      <alignment horizontal="right" vertical="center" indent="1"/>
    </xf>
    <xf numFmtId="0" fontId="3" fillId="3" borderId="0" xfId="0" applyFont="1" applyFill="1" applyAlignment="1">
      <alignment horizontal="left" vertical="center" indent="1"/>
    </xf>
    <xf numFmtId="0" fontId="0" fillId="3" borderId="0" xfId="0" applyFill="1"/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7" fillId="3" borderId="0" xfId="0" applyFont="1" applyFill="1"/>
    <xf numFmtId="0" fontId="18" fillId="3" borderId="0" xfId="0" applyFont="1" applyFill="1" applyAlignment="1">
      <alignment horizontal="center" vertical="center" wrapText="1"/>
    </xf>
    <xf numFmtId="165" fontId="19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indent="1" wrapText="1"/>
    </xf>
    <xf numFmtId="0" fontId="4" fillId="3" borderId="0" xfId="0" applyFont="1" applyFill="1" applyAlignment="1">
      <alignment horizontal="left" vertical="center" indent="1"/>
    </xf>
    <xf numFmtId="0" fontId="2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5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 wrapText="1"/>
    </xf>
    <xf numFmtId="0" fontId="0" fillId="2" borderId="0" xfId="0" applyFill="1"/>
    <xf numFmtId="0" fontId="21" fillId="0" borderId="0" xfId="0" applyFont="1"/>
    <xf numFmtId="0" fontId="22" fillId="0" borderId="0" xfId="0" applyFont="1"/>
    <xf numFmtId="0" fontId="23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 indent="1"/>
    </xf>
    <xf numFmtId="166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24" fillId="3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 wrapText="1"/>
    </xf>
    <xf numFmtId="0" fontId="25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/>
    </xf>
    <xf numFmtId="0" fontId="11" fillId="5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color rgb="FF1A1400"/>
      </font>
      <fill>
        <patternFill>
          <bgColor rgb="FFF6C453"/>
        </patternFill>
      </fill>
      <border>
        <left style="thin">
          <color rgb="FF0E1016"/>
        </left>
        <right style="thin">
          <color rgb="FF0E1016"/>
        </right>
        <top style="thin">
          <color rgb="FF0E1016"/>
        </top>
        <bottom style="thin">
          <color rgb="FF0E1016"/>
        </bottom>
        <vertical/>
        <horizontal/>
      </border>
    </dxf>
    <dxf>
      <font>
        <b/>
        <color rgb="FF06301A"/>
      </font>
      <fill>
        <patternFill>
          <bgColor rgb="FF22A35E"/>
        </patternFill>
      </fill>
    </dxf>
    <dxf>
      <font>
        <b/>
        <color rgb="FFF6C453"/>
      </font>
      <fill>
        <patternFill>
          <bgColor rgb="FF3A3115"/>
        </patternFill>
      </fill>
    </dxf>
    <dxf>
      <font>
        <color rgb="FF0E1016"/>
      </font>
      <fill>
        <patternFill>
          <bgColor rgb="FF0E1016"/>
        </patternFill>
      </fill>
    </dxf>
    <dxf>
      <font>
        <b/>
        <color rgb="FF22A35E"/>
      </font>
      <fill>
        <patternFill>
          <bgColor rgb="FF1B1F2A"/>
        </patternFill>
      </fill>
    </dxf>
    <dxf>
      <font>
        <b/>
        <color rgb="FFF6C453"/>
      </font>
      <fill>
        <patternFill>
          <bgColor rgb="FF1B1F2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6C453"/>
    <pageSetUpPr fitToPage="1"/>
  </sheetPr>
  <dimension ref="A1:AO40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41" width="8.28515625" style="1" customWidth="1"/>
  </cols>
  <sheetData>
    <row r="1" spans="1:6" ht="7.5" customHeight="1"/>
    <row r="2" spans="1:6" ht="33" customHeight="1">
      <c r="A2" s="2" t="s">
        <v>0</v>
      </c>
      <c r="B2" s="2"/>
      <c r="C2" s="2"/>
      <c r="D2" s="2"/>
      <c r="E2" s="2"/>
      <c r="F2" s="2"/>
    </row>
    <row r="3" spans="1:6" ht="18" customHeight="1">
      <c r="A3" s="3" t="s">
        <v>1</v>
      </c>
      <c r="B3" s="3"/>
      <c r="C3" s="3"/>
      <c r="D3" s="3"/>
      <c r="E3" s="3"/>
      <c r="F3" s="3"/>
    </row>
    <row r="4" spans="1:6" ht="7.5" customHeight="1"/>
    <row r="5" spans="1:6" ht="25.5" customHeight="1">
      <c r="A5" s="4" t="s">
        <v>2</v>
      </c>
      <c r="B5" s="4"/>
      <c r="C5" s="4"/>
      <c r="D5" s="4"/>
      <c r="E5" s="4"/>
      <c r="F5" s="4"/>
    </row>
    <row r="6" spans="1:6" ht="25.5" customHeight="1">
      <c r="A6" s="4" t="s">
        <v>3</v>
      </c>
      <c r="B6" s="4"/>
      <c r="C6" s="4"/>
      <c r="D6" s="4"/>
      <c r="E6" s="4"/>
      <c r="F6" s="4"/>
    </row>
    <row r="7" spans="1:6" ht="25.5" customHeight="1">
      <c r="A7" s="4" t="s">
        <v>4</v>
      </c>
      <c r="B7" s="4"/>
      <c r="C7" s="4"/>
      <c r="D7" s="4"/>
      <c r="E7" s="4"/>
      <c r="F7" s="4"/>
    </row>
    <row r="9" spans="1:6" ht="10.5" customHeight="1">
      <c r="C9" s="5"/>
    </row>
    <row r="10" spans="1:6" ht="18" customHeight="1">
      <c r="A10" s="6" t="s">
        <v>5</v>
      </c>
      <c r="B10" s="6"/>
      <c r="C10" s="6"/>
      <c r="D10" s="6"/>
      <c r="E10" s="6"/>
      <c r="F10" s="6"/>
    </row>
    <row r="11" spans="1:6" ht="24" customHeight="1">
      <c r="A11" s="7" t="s">
        <v>6</v>
      </c>
      <c r="B11" s="7" t="s">
        <v>7</v>
      </c>
      <c r="C11" s="7"/>
      <c r="D11" s="7"/>
      <c r="E11" s="7" t="s">
        <v>8</v>
      </c>
      <c r="F11" s="7" t="s">
        <v>9</v>
      </c>
    </row>
    <row r="12" spans="1:6" ht="30" customHeight="1">
      <c r="A12" s="8" t="s">
        <v>10</v>
      </c>
      <c r="B12" s="9" t="s">
        <v>11</v>
      </c>
      <c r="C12" s="9"/>
      <c r="D12" s="9"/>
      <c r="E12" s="9" t="s">
        <v>12</v>
      </c>
      <c r="F12" s="8">
        <v>3</v>
      </c>
    </row>
    <row r="13" spans="1:6" ht="30" customHeight="1">
      <c r="A13" s="8" t="s">
        <v>13</v>
      </c>
      <c r="B13" s="9" t="s">
        <v>14</v>
      </c>
      <c r="C13" s="9"/>
      <c r="D13" s="9"/>
      <c r="E13" s="9" t="s">
        <v>15</v>
      </c>
      <c r="F13" s="8">
        <v>7</v>
      </c>
    </row>
    <row r="14" spans="1:6" ht="30" customHeight="1">
      <c r="A14" s="8" t="s">
        <v>16</v>
      </c>
      <c r="B14" s="9" t="s">
        <v>17</v>
      </c>
      <c r="C14" s="9"/>
      <c r="D14" s="9"/>
      <c r="E14" s="9" t="s">
        <v>18</v>
      </c>
      <c r="F14" s="8">
        <v>7</v>
      </c>
    </row>
    <row r="15" spans="1:6" ht="30" customHeight="1">
      <c r="A15" s="8" t="s">
        <v>19</v>
      </c>
      <c r="B15" s="9" t="s">
        <v>20</v>
      </c>
      <c r="C15" s="9"/>
      <c r="D15" s="9"/>
      <c r="E15" s="9" t="s">
        <v>21</v>
      </c>
      <c r="F15" s="8">
        <v>7</v>
      </c>
    </row>
    <row r="16" spans="1:6" ht="30" customHeight="1">
      <c r="A16" s="8" t="s">
        <v>22</v>
      </c>
      <c r="B16" s="9" t="s">
        <v>23</v>
      </c>
      <c r="C16" s="9"/>
      <c r="D16" s="9"/>
      <c r="E16" s="9" t="s">
        <v>24</v>
      </c>
      <c r="F16" s="8">
        <v>5</v>
      </c>
    </row>
    <row r="17" spans="1:6" ht="30" customHeight="1">
      <c r="A17" s="8"/>
      <c r="B17" s="9"/>
      <c r="C17" s="9"/>
      <c r="D17" s="9"/>
      <c r="E17" s="9"/>
      <c r="F17" s="8"/>
    </row>
    <row r="18" spans="1:6" ht="30" customHeight="1">
      <c r="A18" s="8"/>
      <c r="B18" s="9"/>
      <c r="C18" s="9"/>
      <c r="D18" s="9"/>
      <c r="E18" s="9"/>
      <c r="F18" s="8"/>
    </row>
    <row r="19" spans="1:6" ht="18" customHeight="1">
      <c r="A19" s="6" t="s">
        <v>25</v>
      </c>
      <c r="B19" s="6"/>
      <c r="C19" s="6"/>
      <c r="D19" s="6"/>
      <c r="E19" s="6"/>
      <c r="F19" s="6"/>
    </row>
    <row r="20" spans="1:6" ht="27" customHeight="1">
      <c r="A20" s="10">
        <f>IF($B$12="","",$A$12)</f>
        <v/>
      </c>
      <c r="B20" s="9" t="s">
        <v>26</v>
      </c>
      <c r="C20" s="9"/>
      <c r="D20" s="9"/>
      <c r="E20" s="9"/>
      <c r="F20" s="9"/>
    </row>
    <row r="21" spans="1:6" ht="27" customHeight="1">
      <c r="A21" s="10">
        <f>IF($B$13="","",$A$13)</f>
        <v/>
      </c>
      <c r="B21" s="9"/>
      <c r="C21" s="9"/>
      <c r="D21" s="9"/>
      <c r="E21" s="9"/>
      <c r="F21" s="9"/>
    </row>
    <row r="22" spans="1:6" ht="27" customHeight="1">
      <c r="A22" s="10">
        <f>IF($B$14="","",$A$14)</f>
        <v/>
      </c>
      <c r="B22" s="9" t="s">
        <v>27</v>
      </c>
      <c r="C22" s="9"/>
      <c r="D22" s="9"/>
      <c r="E22" s="9"/>
      <c r="F22" s="9"/>
    </row>
    <row r="23" spans="1:6" ht="27" customHeight="1">
      <c r="A23" s="10">
        <f>IF($B$15="","",$A$15)</f>
        <v/>
      </c>
      <c r="B23" s="9" t="s">
        <v>28</v>
      </c>
      <c r="C23" s="9"/>
      <c r="D23" s="9"/>
      <c r="E23" s="9"/>
      <c r="F23" s="9"/>
    </row>
    <row r="24" spans="1:6" ht="27" customHeight="1">
      <c r="A24" s="10">
        <f>IF($B$16="","",$A$16)</f>
        <v/>
      </c>
      <c r="B24" s="9"/>
      <c r="C24" s="9"/>
      <c r="D24" s="9"/>
      <c r="E24" s="9"/>
      <c r="F24" s="9"/>
    </row>
    <row r="25" spans="1:6" ht="27" customHeight="1">
      <c r="A25" s="10">
        <f>IF($B$17="","",$A$17)</f>
        <v/>
      </c>
      <c r="B25" s="9"/>
      <c r="C25" s="9"/>
      <c r="D25" s="9"/>
      <c r="E25" s="9"/>
      <c r="F25" s="9"/>
    </row>
    <row r="26" spans="1:6" ht="27" customHeight="1">
      <c r="A26" s="10">
        <f>IF($B$18="","",$A$18)</f>
        <v/>
      </c>
      <c r="B26" s="9"/>
      <c r="C26" s="9"/>
      <c r="D26" s="9"/>
      <c r="E26" s="9"/>
      <c r="F26" s="9"/>
    </row>
    <row r="28" spans="1:6" ht="28.5" customHeight="1">
      <c r="A28" s="11" t="s">
        <v>29</v>
      </c>
      <c r="B28" s="11"/>
      <c r="C28" s="11"/>
      <c r="D28" s="11"/>
      <c r="E28" s="11"/>
      <c r="F28" s="11"/>
    </row>
    <row r="29" spans="1:6" ht="22.5" customHeight="1">
      <c r="A29" s="12" t="s">
        <v>30</v>
      </c>
      <c r="B29" s="12"/>
      <c r="C29" s="12"/>
      <c r="D29" s="12"/>
      <c r="E29" s="12"/>
      <c r="F29" s="12"/>
    </row>
    <row r="30" spans="1:6" ht="22.5" customHeight="1">
      <c r="A30" s="12" t="s">
        <v>31</v>
      </c>
      <c r="B30" s="12"/>
      <c r="C30" s="12"/>
      <c r="D30" s="12"/>
      <c r="E30" s="12"/>
      <c r="F30" s="12"/>
    </row>
    <row r="31" spans="1:6" ht="22.5" customHeight="1">
      <c r="A31" s="12" t="s">
        <v>32</v>
      </c>
      <c r="B31" s="12"/>
      <c r="C31" s="12"/>
      <c r="D31" s="12"/>
      <c r="E31" s="12"/>
      <c r="F31" s="12"/>
    </row>
    <row r="32" spans="1:6" ht="22.5" customHeight="1">
      <c r="A32" s="12" t="s">
        <v>33</v>
      </c>
      <c r="B32" s="12"/>
      <c r="C32" s="12"/>
      <c r="D32" s="12"/>
      <c r="E32" s="12"/>
      <c r="F32" s="12"/>
    </row>
    <row r="34" spans="1:6" ht="18" customHeight="1">
      <c r="A34" s="6" t="s">
        <v>34</v>
      </c>
      <c r="B34" s="6"/>
      <c r="C34" s="6"/>
      <c r="D34" s="6"/>
      <c r="E34" s="6"/>
      <c r="F34" s="6"/>
    </row>
    <row r="35" spans="1:6" ht="36" customHeight="1">
      <c r="A35" s="13" t="s">
        <v>35</v>
      </c>
      <c r="B35" s="13" t="s">
        <v>36</v>
      </c>
      <c r="C35" s="13" t="s">
        <v>37</v>
      </c>
      <c r="D35" s="13" t="s">
        <v>38</v>
      </c>
      <c r="E35" s="13" t="s">
        <v>39</v>
      </c>
      <c r="F35" s="13" t="s">
        <v>40</v>
      </c>
    </row>
    <row r="36" spans="1:6" ht="36" customHeight="1">
      <c r="A36" s="13" t="s">
        <v>41</v>
      </c>
      <c r="B36" s="13" t="s">
        <v>42</v>
      </c>
      <c r="C36" s="13" t="s">
        <v>43</v>
      </c>
      <c r="D36" s="13" t="s">
        <v>44</v>
      </c>
      <c r="E36" s="13" t="s">
        <v>45</v>
      </c>
      <c r="F36" s="13" t="s">
        <v>46</v>
      </c>
    </row>
    <row r="38" spans="1:6" ht="25.5" customHeight="1">
      <c r="A38" s="14">
        <f>IF(Расчёт!$B$3=0,"Впиши хотя бы одну привычку","Всё работает ✓ · v2.0 · "&amp;Расчёт!$B$3&amp;" привычек")</f>
        <v/>
      </c>
      <c r="B38" s="14"/>
      <c r="C38" s="14"/>
      <c r="D38" s="14"/>
      <c r="E38" s="14"/>
      <c r="F38" s="14"/>
    </row>
    <row r="39" spans="1:6" ht="22.5" customHeight="1">
      <c r="A39" s="12" t="s">
        <v>47</v>
      </c>
      <c r="B39" s="12"/>
      <c r="C39" s="12"/>
      <c r="D39" s="12"/>
      <c r="E39" s="12"/>
      <c r="F39" s="12"/>
    </row>
    <row r="40" spans="1:6" ht="25.5" customHeight="1">
      <c r="A40" s="12" t="s">
        <v>48</v>
      </c>
      <c r="B40" s="12"/>
      <c r="C40" s="12"/>
      <c r="D40" s="15">
        <f>IF($C$9="","—",$C$9)</f>
        <v/>
      </c>
      <c r="E40" s="16"/>
      <c r="F40" s="16"/>
    </row>
  </sheetData>
  <mergeCells count="32">
    <mergeCell ref="A2:F2"/>
    <mergeCell ref="A3:F3"/>
    <mergeCell ref="A5:F5"/>
    <mergeCell ref="A6:F6"/>
    <mergeCell ref="A7:F7"/>
    <mergeCell ref="A10:F10"/>
    <mergeCell ref="B11:D11"/>
    <mergeCell ref="B12:D12"/>
    <mergeCell ref="B13:D13"/>
    <mergeCell ref="B14:D14"/>
    <mergeCell ref="B15:D15"/>
    <mergeCell ref="B16:D16"/>
    <mergeCell ref="B17:D17"/>
    <mergeCell ref="B18:D18"/>
    <mergeCell ref="A19:F19"/>
    <mergeCell ref="B20:F20"/>
    <mergeCell ref="B21:F21"/>
    <mergeCell ref="B22:F22"/>
    <mergeCell ref="B23:F23"/>
    <mergeCell ref="B24:F24"/>
    <mergeCell ref="B25:F25"/>
    <mergeCell ref="B26:F26"/>
    <mergeCell ref="A28:F28"/>
    <mergeCell ref="A29:F29"/>
    <mergeCell ref="A30:F30"/>
    <mergeCell ref="A31:F31"/>
    <mergeCell ref="A32:F32"/>
    <mergeCell ref="A34:F34"/>
    <mergeCell ref="A38:F38"/>
    <mergeCell ref="A39:F39"/>
    <mergeCell ref="A40:C40"/>
    <mergeCell ref="D40:F40"/>
  </mergeCells>
  <conditionalFormatting sqref="A35:F35">
    <cfRule type="expression" dxfId="0" priority="1">
      <formula>MONTH(Расчёт!$B$1)=COLUMN()+0</formula>
    </cfRule>
  </conditionalFormatting>
  <conditionalFormatting sqref="A36:F36">
    <cfRule type="expression" dxfId="0" priority="2">
      <formula>MONTH(Расчёт!$B$1)=COLUMN()+6</formula>
    </cfRule>
  </conditionalFormatting>
  <dataValidations count="5">
    <dataValidation type="list" allowBlank="1" showInputMessage="1" showErrorMessage="1" sqref="A12:A18">
      <formula1>"🏋,💧,📖,🧘,🥗,📝,🗣,🏃,🛏,🚿,🎯,💰,🎸,📵,☀,🧹"</formula1>
    </dataValidation>
    <dataValidation type="whole" allowBlank="1" showInputMessage="1" showErrorMessage="1" errorTitle="Раз в неделю" error="Сколько раз в неделю: от 1 до 7" sqref="F12:F18">
      <formula1>1</formula1>
      <formula2>7</formula2>
    </dataValidation>
    <dataValidation type="textLength" operator="lessThanOrEqual" allowBlank="1" showInputMessage="1" showErrorMessage="1" errorTitle="Привычка" error="Не длиннее 24 знаков" sqref="B12:B18">
      <formula1>24</formula1>
    </dataValidation>
    <dataValidation type="textLength" operator="lessThanOrEqual" allowBlank="1" showInputMessage="1" showErrorMessage="1" errorTitle="Имя" error="Короткое имя: до 6 знаков" sqref="E12:E18">
      <formula1>6</formula1>
    </dataValidation>
    <dataValidation type="textLength" operator="lessThanOrEqual" allowBlank="1" showInputMessage="1" showErrorMessage="1" errorTitle="Чтобы…" error="Коротко, до 24 знаков" sqref="B20:B26">
      <formula1>24</formula1>
    </dataValidation>
  </dataValidations>
  <hyperlinks>
    <hyperlink ref="A35" location="'Янв'!A1" display="Янв"/>
    <hyperlink ref="B35" location="'Фев'!A1" display="Фев"/>
    <hyperlink ref="C35" location="'Мар'!A1" display="Мар"/>
    <hyperlink ref="D35" location="'Апр'!A1" display="Апр"/>
    <hyperlink ref="E35" location="'Май'!A1" display="Май"/>
    <hyperlink ref="F35" location="'Июн'!A1" display="Июн"/>
    <hyperlink ref="A36" location="'Июл'!A1" display="Июл"/>
    <hyperlink ref="B36" location="'Авг'!A1" display="Авг"/>
    <hyperlink ref="C36" location="'Сен'!A1" display="Сен"/>
    <hyperlink ref="D36" location="'Окт'!A1" display="Окт"/>
    <hyperlink ref="E36" location="'Ноя'!A1" display="Ноя"/>
    <hyperlink ref="F36" location="'Дек'!A1" display="Дек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"ЯНВ 2026"</f>
        <v/>
      </c>
      <c r="B1" s="17"/>
      <c r="C1" s="17"/>
      <c r="D1" s="17"/>
      <c r="E1" s="17"/>
      <c r="F1" s="18">
        <f>IF(Расчёт!$C$379=0,"Не идеально, а регулярно",ROUND(Расчёт!$F$379*100,0)&amp;"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$397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IF(Расчёт!$A$11=0,"Чт 1","Чт 1"&amp;CHAR(10)&amp;Расчёт!$W$11&amp;"/"&amp;$I$5)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IF(Расчёт!$A$12=0,"Пт 2","Пт 2"&amp;CHAR(10)&amp;Расчёт!$W$12&amp;"/"&amp;$I$5)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IF(Расчёт!$A$13=0,"Сб 3","Сб 3"&amp;CHAR(10)&amp;Расчёт!$W$13&amp;"/"&amp;$I$5)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IF(Расчёт!$A$14=0,"Вс 4","Вс 4"&amp;CHAR(10)&amp;Расчёт!$W$14&amp;"/"&amp;$I$5)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IF(Расчёт!$A$15=0,"Пн 5","Пн 5"&amp;CHAR(10)&amp;Расчёт!$W$15&amp;"/"&amp;$I$5)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IF(Расчёт!$A$16=0,"Вт 6","Вт 6"&amp;CHAR(10)&amp;Расчёт!$W$16&amp;"/"&amp;$I$5)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IF(Расчёт!$A$17=0,"Ср 7","Ср 7"&amp;CHAR(10)&amp;Расчёт!$W$17&amp;"/"&amp;$I$5)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IF(Расчёт!$A$18=0,"Чт 8","Чт 8"&amp;CHAR(10)&amp;Расчёт!$W$18&amp;"/"&amp;$I$5)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IF(Расчёт!$A$19=0,"Пт 9","Пт 9"&amp;CHAR(10)&amp;Расчёт!$W$19&amp;"/"&amp;$I$5)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IF(Расчёт!$A$20=0,"Сб 10","Сб 10"&amp;CHAR(10)&amp;Расчёт!$W$20&amp;"/"&amp;$I$5)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IF(Расчёт!$A$21=0,"Вс 11","Вс 11"&amp;CHAR(10)&amp;Расчёт!$W$21&amp;"/"&amp;$I$5)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IF(Расчёт!$A$22=0,"Пн 12","Пн 12"&amp;CHAR(10)&amp;Расчёт!$W$22&amp;"/"&amp;$I$5)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IF(Расчёт!$A$23=0,"Вт 13","Вт 13"&amp;CHAR(10)&amp;Расчёт!$W$23&amp;"/"&amp;$I$5)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IF(Расчёт!$A$24=0,"Ср 14","Ср 14"&amp;CHAR(10)&amp;Расчёт!$W$24&amp;"/"&amp;$I$5)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IF(Расчёт!$A$25=0,"Чт 15","Чт 15"&amp;CHAR(10)&amp;Расчёт!$W$25&amp;"/"&amp;$I$5)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IF(Расчёт!$A$26=0,"Пт 16","Пт 16"&amp;CHAR(10)&amp;Расчёт!$W$26&amp;"/"&amp;$I$5)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IF(Расчёт!$A$27=0,"Сб 17","Сб 17"&amp;CHAR(10)&amp;Расчёт!$W$27&amp;"/"&amp;$I$5)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IF(Расчёт!$A$28=0,"Вс 18","Вс 18"&amp;CHAR(10)&amp;Расчёт!$W$28&amp;"/"&amp;$I$5)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IF(Расчёт!$A$29=0,"Пн 19","Пн 19"&amp;CHAR(10)&amp;Расчёт!$W$29&amp;"/"&amp;$I$5)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IF(Расчёт!$A$30=0,"Вт 20","Вт 20"&amp;CHAR(10)&amp;Расчёт!$W$30&amp;"/"&amp;$I$5)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IF(Расчёт!$A$31=0,"Ср 21","Ср 21"&amp;CHAR(10)&amp;Расчёт!$W$31&amp;"/"&amp;$I$5)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IF(Расчёт!$A$32=0,"Чт 22","Чт 22"&amp;CHAR(10)&amp;Расчёт!$W$32&amp;"/"&amp;$I$5)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IF(Расчёт!$A$33=0,"Пт 23","Пт 23"&amp;CHAR(10)&amp;Расчёт!$W$33&amp;"/"&amp;$I$5)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IF(Расчёт!$A$34=0,"Сб 24","Сб 24"&amp;CHAR(10)&amp;Расчёт!$W$34&amp;"/"&amp;$I$5)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IF(Расчёт!$A$35=0,"Вс 25","Вс 25"&amp;CHAR(10)&amp;Расчёт!$W$35&amp;"/"&amp;$I$5)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IF(Расчёт!$A$36=0,"Пн 26","Пн 26"&amp;CHAR(10)&amp;Расчёт!$W$36&amp;"/"&amp;$I$5)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IF(Расчёт!$A$37=0,"Вт 27","Вт 27"&amp;CHAR(10)&amp;Расчёт!$W$37&amp;"/"&amp;$I$5)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IF(Расчёт!$A$38=0,"Ср 28","Ср 28"&amp;CHAR(10)&amp;Расчёт!$W$38&amp;"/"&amp;$I$5)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IF(Расчёт!$A$39=0,"Чт 29","Чт 29"&amp;CHAR(10)&amp;Расчёт!$W$39&amp;"/"&amp;$I$5)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IF(Расчёт!$A$40=0,"Пт 30","Пт 30"&amp;CHAR(10)&amp;Расчёт!$W$40&amp;"/"&amp;$I$5)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IF(Расчёт!$A$41=0,"Сб 31","Сб 31"&amp;CHAR(10)&amp;Расчёт!$W$41&amp;"/"&amp;$I$5)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IF('Старт'!$B$12="","",SUM(Расчёт!$B$11:$B$41)&amp;"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IF('Старт'!$B$12="","",MAX(Расчёт!$I$11:$I$41))</f>
        <v/>
      </c>
      <c r="K39" s="32">
        <f>IF(OR('Старт'!$B$12="",Расчёт!$C$379=0),"",MIN(1,SUM(Расчёт!$B$11:$B$41)/MAX(1,ROUND(IF('Старт'!$F$12="",7,'Старт'!$F$12)*31/7,0)*Расчёт!$C$379/31)))</f>
        <v/>
      </c>
      <c r="L39" s="33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IF('Старт'!$B$13="","",SUM(Расчёт!$C$11:$C$41)&amp;"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IF('Старт'!$B$13="","",MAX(Расчёт!$J$11:$J$41))</f>
        <v/>
      </c>
      <c r="K40" s="32">
        <f>IF(OR('Старт'!$B$13="",Расчёт!$C$379=0),"",MIN(1,SUM(Расчёт!$C$11:$C$41)/MAX(1,ROUND(IF('Старт'!$F$13="",7,'Старт'!$F$13)*31/7,0)*Расчёт!$C$379/31)))</f>
        <v/>
      </c>
      <c r="L40" s="33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IF('Старт'!$B$14="","",SUM(Расчёт!$D$11:$D$41)&amp;"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IF('Старт'!$B$14="","",MAX(Расчёт!$K$11:$K$41))</f>
        <v/>
      </c>
      <c r="K41" s="32">
        <f>IF(OR('Старт'!$B$14="",Расчёт!$C$379=0),"",MIN(1,SUM(Расчёт!$D$11:$D$41)/MAX(1,ROUND(IF('Старт'!$F$14="",7,'Старт'!$F$14)*31/7,0)*Расчёт!$C$379/31)))</f>
        <v/>
      </c>
      <c r="L41" s="33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IF('Старт'!$B$15="","",SUM(Расчёт!$E$11:$E$41)&amp;"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IF('Старт'!$B$15="","",MAX(Расчёт!$L$11:$L$41))</f>
        <v/>
      </c>
      <c r="K42" s="32">
        <f>IF(OR('Старт'!$B$15="",Расчёт!$C$379=0),"",MIN(1,SUM(Расчёт!$E$11:$E$41)/MAX(1,ROUND(IF('Старт'!$F$15="",7,'Старт'!$F$15)*31/7,0)*Расчёт!$C$379/31)))</f>
        <v/>
      </c>
      <c r="L42" s="33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IF('Старт'!$B$16="","",SUM(Расчёт!$F$11:$F$41)&amp;"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IF('Старт'!$B$16="","",MAX(Расчёт!$M$11:$M$41))</f>
        <v/>
      </c>
      <c r="K43" s="32">
        <f>IF(OR('Старт'!$B$16="",Расчёт!$C$379=0),"",MIN(1,SUM(Расчёт!$F$11:$F$41)/MAX(1,ROUND(IF('Старт'!$F$16="",7,'Старт'!$F$16)*31/7,0)*Расчёт!$C$379/31)))</f>
        <v/>
      </c>
      <c r="L43" s="33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IF('Старт'!$B$17="","",SUM(Расчёт!$G$11:$G$41)&amp;"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IF('Старт'!$B$17="","",MAX(Расчёт!$N$11:$N$41))</f>
        <v/>
      </c>
      <c r="K44" s="32">
        <f>IF(OR('Старт'!$B$17="",Расчёт!$C$379=0),"",MIN(1,SUM(Расчёт!$G$11:$G$41)/MAX(1,ROUND(IF('Старт'!$F$17="",7,'Старт'!$F$17)*31/7,0)*Расчёт!$C$379/31)))</f>
        <v/>
      </c>
      <c r="L44" s="33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IF('Старт'!$B$18="","",SUM(Расчёт!$H$11:$H$41)&amp;"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IF('Старт'!$B$18="","",MAX(Расчёт!$O$11:$O$41))</f>
        <v/>
      </c>
      <c r="K45" s="32">
        <f>IF(OR('Старт'!$B$18="",Расчёт!$C$379=0),"",MIN(1,SUM(Расчёт!$H$11:$H$41)/MAX(1,ROUND(IF('Старт'!$F$18="",7,'Старт'!$F$18)*31/7,0)*Расчёт!$C$379/31)))</f>
        <v/>
      </c>
      <c r="L45" s="33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IF(Расчёт!$H$397=0,"Первая неделя закроется в воскресенье","Неделя · "&amp;Расчёт!$G$397&amp;" из "&amp;Расчёт!$H$397&amp;IF(Расчёт!$I$397=0,""," · прошлая "&amp;ROUND(MIN(1,Расчёт!$I$397/MAX(1,Расчёт!$H$396))*100,0)&amp;"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IF(OR(Расчёт!$D$397=0,Расчёт!$H$397=0),"","Просело: "&amp;INDEX('Старт'!$E$12:$E$18,MAX(1,Расчёт!$D$397))&amp;" — "&amp;IF(INDEX('Старт'!$B$20:$B$26,MAX(1,Расчёт!$D$397))="","подтяни на этой неделе",INDEX('Старт'!$B$20:$B$26,MAX(1,Расчёт!$D$397))))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IF(Расчёт!$C$379=0,"Первая галочка — и месяц пошёл","Полных дней: "&amp;Расчёт!$G$379&amp;" · опыт за месяц: "&amp;Расчёт!$I$379)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IF(Расчёт!$D$397=0,"Испытание появится в воскресенье","Испытание: "&amp;INDEX('Старт'!$E$12:$E$18,MAX(1,Расчёт!$D$397))&amp;" "&amp;Расчёт!$E$397&amp;" из 5"&amp;IF(Расчёт!$F$397=1,"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SPARKLINE(Расчёт!$W$11:$W$41,{"charttype","column";"color","#22A35E";"empty","zero"})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"ФЕВ 2026"</f>
        <v/>
      </c>
      <c r="B1" s="17"/>
      <c r="C1" s="17"/>
      <c r="D1" s="17"/>
      <c r="E1" s="17"/>
      <c r="F1" s="18">
        <f>IF(Расчёт!$C$380=0,"Не идеально, а регулярно",ROUND(Расчёт!$F$380*100,0)&amp;"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$401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IF(AND(YEAR(Расчёт!$B$1)=2026,MONTH(Расчёт!$B$1)=2),5+DAY(Расчёт!$B$1),0)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IF(Расчёт!$A$42=0,"Вс 1","Вс 1"&amp;CHAR(10)&amp;Расчёт!$W$42&amp;"/"&amp;$I$5)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IF(Расчёт!$A$43=0,"Пн 2","Пн 2"&amp;CHAR(10)&amp;Расчёт!$W$43&amp;"/"&amp;$I$5)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IF(Расчёт!$A$44=0,"Вт 3","Вт 3"&amp;CHAR(10)&amp;Расчёт!$W$44&amp;"/"&amp;$I$5)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IF(Расчёт!$A$45=0,"Ср 4","Ср 4"&amp;CHAR(10)&amp;Расчёт!$W$45&amp;"/"&amp;$I$5)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IF(Расчёт!$A$46=0,"Чт 5","Чт 5"&amp;CHAR(10)&amp;Расчёт!$W$46&amp;"/"&amp;$I$5)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IF(Расчёт!$A$47=0,"Пт 6","Пт 6"&amp;CHAR(10)&amp;Расчёт!$W$47&amp;"/"&amp;$I$5)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IF(Расчёт!$A$48=0,"Сб 7","Сб 7"&amp;CHAR(10)&amp;Расчёт!$W$48&amp;"/"&amp;$I$5)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IF(Расчёт!$A$49=0,"Вс 8","Вс 8"&amp;CHAR(10)&amp;Расчёт!$W$49&amp;"/"&amp;$I$5)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IF(Расчёт!$A$50=0,"Пн 9","Пн 9"&amp;CHAR(10)&amp;Расчёт!$W$50&amp;"/"&amp;$I$5)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IF(Расчёт!$A$51=0,"Вт 10","Вт 10"&amp;CHAR(10)&amp;Расчёт!$W$51&amp;"/"&amp;$I$5)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IF(Расчёт!$A$52=0,"Ср 11","Ср 11"&amp;CHAR(10)&amp;Расчёт!$W$52&amp;"/"&amp;$I$5)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IF(Расчёт!$A$53=0,"Чт 12","Чт 12"&amp;CHAR(10)&amp;Расчёт!$W$53&amp;"/"&amp;$I$5)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IF(Расчёт!$A$54=0,"Пт 13","Пт 13"&amp;CHAR(10)&amp;Расчёт!$W$54&amp;"/"&amp;$I$5)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IF(Расчёт!$A$55=0,"Сб 14","Сб 14"&amp;CHAR(10)&amp;Расчёт!$W$55&amp;"/"&amp;$I$5)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IF(Расчёт!$A$56=0,"Вс 15","Вс 15"&amp;CHAR(10)&amp;Расчёт!$W$56&amp;"/"&amp;$I$5)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IF(Расчёт!$A$57=0,"Пн 16","Пн 16"&amp;CHAR(10)&amp;Расчёт!$W$57&amp;"/"&amp;$I$5)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IF(Расчёт!$A$58=0,"Вт 17","Вт 17"&amp;CHAR(10)&amp;Расчёт!$W$58&amp;"/"&amp;$I$5)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IF(Расчёт!$A$59=0,"Ср 18","Ср 18"&amp;CHAR(10)&amp;Расчёт!$W$59&amp;"/"&amp;$I$5)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IF(Расчёт!$A$60=0,"Чт 19","Чт 19"&amp;CHAR(10)&amp;Расчёт!$W$60&amp;"/"&amp;$I$5)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IF(Расчёт!$A$61=0,"Пт 20","Пт 20"&amp;CHAR(10)&amp;Расчёт!$W$61&amp;"/"&amp;$I$5)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IF(Расчёт!$A$62=0,"Сб 21","Сб 21"&amp;CHAR(10)&amp;Расчёт!$W$62&amp;"/"&amp;$I$5)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IF(Расчёт!$A$63=0,"Вс 22","Вс 22"&amp;CHAR(10)&amp;Расчёт!$W$63&amp;"/"&amp;$I$5)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IF(Расчёт!$A$64=0,"Пн 23","Пн 23"&amp;CHAR(10)&amp;Расчёт!$W$64&amp;"/"&amp;$I$5)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IF(Расчёт!$A$65=0,"Вт 24","Вт 24"&amp;CHAR(10)&amp;Расчёт!$W$65&amp;"/"&amp;$I$5)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IF(Расчёт!$A$66=0,"Ср 25","Ср 25"&amp;CHAR(10)&amp;Расчёт!$W$66&amp;"/"&amp;$I$5)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IF(Расчёт!$A$67=0,"Чт 26","Чт 26"&amp;CHAR(10)&amp;Расчёт!$W$67&amp;"/"&amp;$I$5)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IF(Расчёт!$A$68=0,"Пт 27","Пт 27"&amp;CHAR(10)&amp;Расчёт!$W$68&amp;"/"&amp;$I$5)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IF(Расчёт!$A$69=0,"Сб 28","Сб 28"&amp;CHAR(10)&amp;Расчёт!$W$69&amp;"/"&amp;$I$5)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spans="1:12" ht="39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IF('Старт'!$B$12="","",SUM(Расчёт!$B$42:$B$69)&amp;" из "&amp;ROUND(IF('Старт'!$F$12="",7,'Старт'!$F$12)*28/7,0))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IF('Старт'!$B$12="","",MAX(Расчёт!$I$42:$I$69))</f>
        <v/>
      </c>
      <c r="K39" s="32">
        <f>IF(OR('Старт'!$B$12="",Расчёт!$C$380=0),"",MIN(1,SUM(Расчёт!$B$42:$B$69)/MAX(1,ROUND(IF('Старт'!$F$12="",7,'Старт'!$F$12)*28/7,0)*Расчёт!$C$380/28)))</f>
        <v/>
      </c>
      <c r="L39" s="33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IF('Старт'!$B$13="","",SUM(Расчёт!$C$42:$C$69)&amp;" из "&amp;ROUND(IF('Старт'!$F$13="",7,'Старт'!$F$13)*28/7,0))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IF('Старт'!$B$13="","",MAX(Расчёт!$J$42:$J$69))</f>
        <v/>
      </c>
      <c r="K40" s="32">
        <f>IF(OR('Старт'!$B$13="",Расчёт!$C$380=0),"",MIN(1,SUM(Расчёт!$C$42:$C$69)/MAX(1,ROUND(IF('Старт'!$F$13="",7,'Старт'!$F$13)*28/7,0)*Расчёт!$C$380/28)))</f>
        <v/>
      </c>
      <c r="L40" s="33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IF('Старт'!$B$14="","",SUM(Расчёт!$D$42:$D$69)&amp;" из "&amp;ROUND(IF('Старт'!$F$14="",7,'Старт'!$F$14)*28/7,0))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IF('Старт'!$B$14="","",MAX(Расчёт!$K$42:$K$69))</f>
        <v/>
      </c>
      <c r="K41" s="32">
        <f>IF(OR('Старт'!$B$14="",Расчёт!$C$380=0),"",MIN(1,SUM(Расчёт!$D$42:$D$69)/MAX(1,ROUND(IF('Старт'!$F$14="",7,'Старт'!$F$14)*28/7,0)*Расчёт!$C$380/28)))</f>
        <v/>
      </c>
      <c r="L41" s="33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IF('Старт'!$B$15="","",SUM(Расчёт!$E$42:$E$69)&amp;" из "&amp;ROUND(IF('Старт'!$F$15="",7,'Старт'!$F$15)*28/7,0))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IF('Старт'!$B$15="","",MAX(Расчёт!$L$42:$L$69))</f>
        <v/>
      </c>
      <c r="K42" s="32">
        <f>IF(OR('Старт'!$B$15="",Расчёт!$C$380=0),"",MIN(1,SUM(Расчёт!$E$42:$E$69)/MAX(1,ROUND(IF('Старт'!$F$15="",7,'Старт'!$F$15)*28/7,0)*Расчёт!$C$380/28)))</f>
        <v/>
      </c>
      <c r="L42" s="33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IF('Старт'!$B$16="","",SUM(Расчёт!$F$42:$F$69)&amp;" из "&amp;ROUND(IF('Старт'!$F$16="",7,'Старт'!$F$16)*28/7,0))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IF('Старт'!$B$16="","",MAX(Расчёт!$M$42:$M$69))</f>
        <v/>
      </c>
      <c r="K43" s="32">
        <f>IF(OR('Старт'!$B$16="",Расчёт!$C$380=0),"",MIN(1,SUM(Расчёт!$F$42:$F$69)/MAX(1,ROUND(IF('Старт'!$F$16="",7,'Старт'!$F$16)*28/7,0)*Расчёт!$C$380/28)))</f>
        <v/>
      </c>
      <c r="L43" s="33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IF('Старт'!$B$17="","",SUM(Расчёт!$G$42:$G$69)&amp;" из "&amp;ROUND(IF('Старт'!$F$17="",7,'Старт'!$F$17)*28/7,0))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IF('Старт'!$B$17="","",MAX(Расчёт!$N$42:$N$69))</f>
        <v/>
      </c>
      <c r="K44" s="32">
        <f>IF(OR('Старт'!$B$17="",Расчёт!$C$380=0),"",MIN(1,SUM(Расчёт!$G$42:$G$69)/MAX(1,ROUND(IF('Старт'!$F$17="",7,'Старт'!$F$17)*28/7,0)*Расчёт!$C$380/28)))</f>
        <v/>
      </c>
      <c r="L44" s="33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IF('Старт'!$B$18="","",SUM(Расчёт!$H$42:$H$69)&amp;" из "&amp;ROUND(IF('Старт'!$F$18="",7,'Старт'!$F$18)*28/7,0))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IF('Старт'!$B$18="","",MAX(Расчёт!$O$42:$O$69))</f>
        <v/>
      </c>
      <c r="K45" s="32">
        <f>IF(OR('Старт'!$B$18="",Расчёт!$C$380=0),"",MIN(1,SUM(Расчёт!$H$42:$H$69)/MAX(1,ROUND(IF('Старт'!$F$18="",7,'Старт'!$F$18)*28/7,0)*Расчёт!$C$380/28)))</f>
        <v/>
      </c>
      <c r="L45" s="33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IF(Расчёт!$H$401=0,"Первая неделя закроется в воскресенье","Неделя · "&amp;Расчёт!$G$401&amp;" из "&amp;Расчёт!$H$401&amp;IF(Расчёт!$I$401=0,""," · прошлая "&amp;ROUND(MIN(1,Расчёт!$I$401/MAX(1,Расчёт!$H$400))*100,0)&amp;"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IF(OR(Расчёт!$D$401=0,Расчёт!$H$401=0),"","Просело: "&amp;INDEX('Старт'!$E$12:$E$18,MAX(1,Расчёт!$D$401))&amp;" — "&amp;IF(INDEX('Старт'!$B$20:$B$26,MAX(1,Расчёт!$D$401))="","подтяни на этой неделе",INDEX('Старт'!$B$20:$B$26,MAX(1,Расчёт!$D$401))))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IF(Расчёт!$C$380=0,"Первая галочка — и месяц пошёл","Полных дней: "&amp;Расчёт!$G$380&amp;" · опыт за месяц: "&amp;Расчёт!$I$380)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IF(Расчёт!$D$401=0,"Испытание появится в воскресенье","Испытание: "&amp;INDEX('Старт'!$E$12:$E$18,MAX(1,Расчёт!$D$401))&amp;" "&amp;Расчёт!$E$401&amp;" из 5"&amp;IF(Расчёт!$F$401=1,"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SPARKLINE(Расчёт!$W$42:$W$69,{"charttype","column";"color","#22A35E";"empty","zero"})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ROW()&gt;5+28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"МАР 2026"</f>
        <v/>
      </c>
      <c r="B1" s="17"/>
      <c r="C1" s="17"/>
      <c r="D1" s="17"/>
      <c r="E1" s="17"/>
      <c r="F1" s="18">
        <f>IF(Расчёт!$C$381=0,"Не идеально, а регулярно",ROUND(Расчёт!$F$381*100,0)&amp;"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$406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IF(AND(YEAR(Расчёт!$B$1)=2026,MONTH(Расчёт!$B$1)=3),5+DAY(Расчёт!$B$1),0)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IF(Расчёт!$A$70=0,"Вс 1","Вс 1"&amp;CHAR(10)&amp;Расчёт!$W$70&amp;"/"&amp;$I$5)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IF(Расчёт!$A$71=0,"Пн 2","Пн 2"&amp;CHAR(10)&amp;Расчёт!$W$71&amp;"/"&amp;$I$5)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IF(Расчёт!$A$72=0,"Вт 3","Вт 3"&amp;CHAR(10)&amp;Расчёт!$W$72&amp;"/"&amp;$I$5)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IF(Расчёт!$A$73=0,"Ср 4","Ср 4"&amp;CHAR(10)&amp;Расчёт!$W$73&amp;"/"&amp;$I$5)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IF(Расчёт!$A$74=0,"Чт 5","Чт 5"&amp;CHAR(10)&amp;Расчёт!$W$74&amp;"/"&amp;$I$5)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IF(Расчёт!$A$75=0,"Пт 6","Пт 6"&amp;CHAR(10)&amp;Расчёт!$W$75&amp;"/"&amp;$I$5)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IF(Расчёт!$A$76=0,"Сб 7","Сб 7"&amp;CHAR(10)&amp;Расчёт!$W$76&amp;"/"&amp;$I$5)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IF(Расчёт!$A$77=0,"Вс 8","Вс 8"&amp;CHAR(10)&amp;Расчёт!$W$77&amp;"/"&amp;$I$5)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IF(Расчёт!$A$78=0,"Пн 9","Пн 9"&amp;CHAR(10)&amp;Расчёт!$W$78&amp;"/"&amp;$I$5)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IF(Расчёт!$A$79=0,"Вт 10","Вт 10"&amp;CHAR(10)&amp;Расчёт!$W$79&amp;"/"&amp;$I$5)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IF(Расчёт!$A$80=0,"Ср 11","Ср 11"&amp;CHAR(10)&amp;Расчёт!$W$80&amp;"/"&amp;$I$5)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IF(Расчёт!$A$81=0,"Чт 12","Чт 12"&amp;CHAR(10)&amp;Расчёт!$W$81&amp;"/"&amp;$I$5)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IF(Расчёт!$A$82=0,"Пт 13","Пт 13"&amp;CHAR(10)&amp;Расчёт!$W$82&amp;"/"&amp;$I$5)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IF(Расчёт!$A$83=0,"Сб 14","Сб 14"&amp;CHAR(10)&amp;Расчёт!$W$83&amp;"/"&amp;$I$5)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IF(Расчёт!$A$84=0,"Вс 15","Вс 15"&amp;CHAR(10)&amp;Расчёт!$W$84&amp;"/"&amp;$I$5)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IF(Расчёт!$A$85=0,"Пн 16","Пн 16"&amp;CHAR(10)&amp;Расчёт!$W$85&amp;"/"&amp;$I$5)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IF(Расчёт!$A$86=0,"Вт 17","Вт 17"&amp;CHAR(10)&amp;Расчёт!$W$86&amp;"/"&amp;$I$5)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IF(Расчёт!$A$87=0,"Ср 18","Ср 18"&amp;CHAR(10)&amp;Расчёт!$W$87&amp;"/"&amp;$I$5)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IF(Расчёт!$A$88=0,"Чт 19","Чт 19"&amp;CHAR(10)&amp;Расчёт!$W$88&amp;"/"&amp;$I$5)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IF(Расчёт!$A$89=0,"Пт 20","Пт 20"&amp;CHAR(10)&amp;Расчёт!$W$89&amp;"/"&amp;$I$5)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IF(Расчёт!$A$90=0,"Сб 21","Сб 21"&amp;CHAR(10)&amp;Расчёт!$W$90&amp;"/"&amp;$I$5)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IF(Расчёт!$A$91=0,"Вс 22","Вс 22"&amp;CHAR(10)&amp;Расчёт!$W$91&amp;"/"&amp;$I$5)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IF(Расчёт!$A$92=0,"Пн 23","Пн 23"&amp;CHAR(10)&amp;Расчёт!$W$92&amp;"/"&amp;$I$5)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IF(Расчёт!$A$93=0,"Вт 24","Вт 24"&amp;CHAR(10)&amp;Расчёт!$W$93&amp;"/"&amp;$I$5)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IF(Расчёт!$A$94=0,"Ср 25","Ср 25"&amp;CHAR(10)&amp;Расчёт!$W$94&amp;"/"&amp;$I$5)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IF(Расчёт!$A$95=0,"Чт 26","Чт 26"&amp;CHAR(10)&amp;Расчёт!$W$95&amp;"/"&amp;$I$5)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IF(Расчёт!$A$96=0,"Пт 27","Пт 27"&amp;CHAR(10)&amp;Расчёт!$W$96&amp;"/"&amp;$I$5)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IF(Расчёт!$A$97=0,"Сб 28","Сб 28"&amp;CHAR(10)&amp;Расчёт!$W$97&amp;"/"&amp;$I$5)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IF(Расчёт!$A$98=0,"Вс 29","Вс 29"&amp;CHAR(10)&amp;Расчёт!$W$98&amp;"/"&amp;$I$5)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IF(Расчёт!$A$99=0,"Пн 30","Пн 30"&amp;CHAR(10)&amp;Расчёт!$W$99&amp;"/"&amp;$I$5)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IF(Расчёт!$A$100=0,"Вт 31","Вт 31"&amp;CHAR(10)&amp;Расчёт!$W$100&amp;"/"&amp;$I$5)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IF('Старт'!$B$12="","",SUM(Расчёт!$B$70:$B$100)&amp;"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IF('Старт'!$B$12="","",MAX(Расчёт!$I$70:$I$100))</f>
        <v/>
      </c>
      <c r="K39" s="32">
        <f>IF(OR('Старт'!$B$12="",Расчёт!$C$381=0),"",MIN(1,SUM(Расчёт!$B$70:$B$100)/MAX(1,ROUND(IF('Старт'!$F$12="",7,'Старт'!$F$12)*31/7,0)*Расчёт!$C$381/31)))</f>
        <v/>
      </c>
      <c r="L39" s="33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IF('Старт'!$B$13="","",SUM(Расчёт!$C$70:$C$100)&amp;"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IF('Старт'!$B$13="","",MAX(Расчёт!$J$70:$J$100))</f>
        <v/>
      </c>
      <c r="K40" s="32">
        <f>IF(OR('Старт'!$B$13="",Расчёт!$C$381=0),"",MIN(1,SUM(Расчёт!$C$70:$C$100)/MAX(1,ROUND(IF('Старт'!$F$13="",7,'Старт'!$F$13)*31/7,0)*Расчёт!$C$381/31)))</f>
        <v/>
      </c>
      <c r="L40" s="33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IF('Старт'!$B$14="","",SUM(Расчёт!$D$70:$D$100)&amp;"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IF('Старт'!$B$14="","",MAX(Расчёт!$K$70:$K$100))</f>
        <v/>
      </c>
      <c r="K41" s="32">
        <f>IF(OR('Старт'!$B$14="",Расчёт!$C$381=0),"",MIN(1,SUM(Расчёт!$D$70:$D$100)/MAX(1,ROUND(IF('Старт'!$F$14="",7,'Старт'!$F$14)*31/7,0)*Расчёт!$C$381/31)))</f>
        <v/>
      </c>
      <c r="L41" s="33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IF('Старт'!$B$15="","",SUM(Расчёт!$E$70:$E$100)&amp;"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IF('Старт'!$B$15="","",MAX(Расчёт!$L$70:$L$100))</f>
        <v/>
      </c>
      <c r="K42" s="32">
        <f>IF(OR('Старт'!$B$15="",Расчёт!$C$381=0),"",MIN(1,SUM(Расчёт!$E$70:$E$100)/MAX(1,ROUND(IF('Старт'!$F$15="",7,'Старт'!$F$15)*31/7,0)*Расчёт!$C$381/31)))</f>
        <v/>
      </c>
      <c r="L42" s="33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IF('Старт'!$B$16="","",SUM(Расчёт!$F$70:$F$100)&amp;"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IF('Старт'!$B$16="","",MAX(Расчёт!$M$70:$M$100))</f>
        <v/>
      </c>
      <c r="K43" s="32">
        <f>IF(OR('Старт'!$B$16="",Расчёт!$C$381=0),"",MIN(1,SUM(Расчёт!$F$70:$F$100)/MAX(1,ROUND(IF('Старт'!$F$16="",7,'Старт'!$F$16)*31/7,0)*Расчёт!$C$381/31)))</f>
        <v/>
      </c>
      <c r="L43" s="33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IF('Старт'!$B$17="","",SUM(Расчёт!$G$70:$G$100)&amp;"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IF('Старт'!$B$17="","",MAX(Расчёт!$N$70:$N$100))</f>
        <v/>
      </c>
      <c r="K44" s="32">
        <f>IF(OR('Старт'!$B$17="",Расчёт!$C$381=0),"",MIN(1,SUM(Расчёт!$G$70:$G$100)/MAX(1,ROUND(IF('Старт'!$F$17="",7,'Старт'!$F$17)*31/7,0)*Расчёт!$C$381/31)))</f>
        <v/>
      </c>
      <c r="L44" s="33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IF('Старт'!$B$18="","",SUM(Расчёт!$H$70:$H$100)&amp;"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IF('Старт'!$B$18="","",MAX(Расчёт!$O$70:$O$100))</f>
        <v/>
      </c>
      <c r="K45" s="32">
        <f>IF(OR('Старт'!$B$18="",Расчёт!$C$381=0),"",MIN(1,SUM(Расчёт!$H$70:$H$100)/MAX(1,ROUND(IF('Старт'!$F$18="",7,'Старт'!$F$18)*31/7,0)*Расчёт!$C$381/31)))</f>
        <v/>
      </c>
      <c r="L45" s="33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IF(Расчёт!$H$406=0,"Первая неделя закроется в воскресенье","Неделя · "&amp;Расчёт!$G$406&amp;" из "&amp;Расчёт!$H$406&amp;IF(Расчёт!$I$406=0,""," · прошлая "&amp;ROUND(MIN(1,Расчёт!$I$406/MAX(1,Расчёт!$H$405))*100,0)&amp;"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IF(OR(Расчёт!$D$406=0,Расчёт!$H$406=0),"","Просело: "&amp;INDEX('Старт'!$E$12:$E$18,MAX(1,Расчёт!$D$406))&amp;" — "&amp;IF(INDEX('Старт'!$B$20:$B$26,MAX(1,Расчёт!$D$406))="","подтяни на этой неделе",INDEX('Старт'!$B$20:$B$26,MAX(1,Расчёт!$D$406))))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IF(Расчёт!$C$381=0,"Первая галочка — и месяц пошёл","Полных дней: "&amp;Расчёт!$G$381&amp;" · опыт за месяц: "&amp;Расчёт!$I$381)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IF(Расчёт!$D$406=0,"Испытание появится в воскресенье","Испытание: "&amp;INDEX('Старт'!$E$12:$E$18,MAX(1,Расчёт!$D$406))&amp;" "&amp;Расчёт!$E$406&amp;" из 5"&amp;IF(Расчёт!$F$406=1,"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SPARKLINE(Расчёт!$W$70:$W$100,{"charttype","column";"color","#22A35E";"empty","zero"})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"АПР 2026"</f>
        <v/>
      </c>
      <c r="B1" s="17"/>
      <c r="C1" s="17"/>
      <c r="D1" s="17"/>
      <c r="E1" s="17"/>
      <c r="F1" s="18">
        <f>IF(Расчёт!$C$382=0,"Не идеально, а регулярно",ROUND(Расчёт!$F$382*100,0)&amp;"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$410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IF(AND(YEAR(Расчёт!$B$1)=2026,MONTH(Расчёт!$B$1)=4),5+DAY(Расчёт!$B$1),0)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IF(Расчёт!$A$101=0,"Ср 1","Ср 1"&amp;CHAR(10)&amp;Расчёт!$W$101&amp;"/"&amp;$I$5)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IF(Расчёт!$A$102=0,"Чт 2","Чт 2"&amp;CHAR(10)&amp;Расчёт!$W$102&amp;"/"&amp;$I$5)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IF(Расчёт!$A$103=0,"Пт 3","Пт 3"&amp;CHAR(10)&amp;Расчёт!$W$103&amp;"/"&amp;$I$5)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IF(Расчёт!$A$104=0,"Сб 4","Сб 4"&amp;CHAR(10)&amp;Расчёт!$W$104&amp;"/"&amp;$I$5)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IF(Расчёт!$A$105=0,"Вс 5","Вс 5"&amp;CHAR(10)&amp;Расчёт!$W$105&amp;"/"&amp;$I$5)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IF(Расчёт!$A$106=0,"Пн 6","Пн 6"&amp;CHAR(10)&amp;Расчёт!$W$106&amp;"/"&amp;$I$5)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IF(Расчёт!$A$107=0,"Вт 7","Вт 7"&amp;CHAR(10)&amp;Расчёт!$W$107&amp;"/"&amp;$I$5)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IF(Расчёт!$A$108=0,"Ср 8","Ср 8"&amp;CHAR(10)&amp;Расчёт!$W$108&amp;"/"&amp;$I$5)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IF(Расчёт!$A$109=0,"Чт 9","Чт 9"&amp;CHAR(10)&amp;Расчёт!$W$109&amp;"/"&amp;$I$5)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IF(Расчёт!$A$110=0,"Пт 10","Пт 10"&amp;CHAR(10)&amp;Расчёт!$W$110&amp;"/"&amp;$I$5)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IF(Расчёт!$A$111=0,"Сб 11","Сб 11"&amp;CHAR(10)&amp;Расчёт!$W$111&amp;"/"&amp;$I$5)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IF(Расчёт!$A$112=0,"Вс 12","Вс 12"&amp;CHAR(10)&amp;Расчёт!$W$112&amp;"/"&amp;$I$5)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IF(Расчёт!$A$113=0,"Пн 13","Пн 13"&amp;CHAR(10)&amp;Расчёт!$W$113&amp;"/"&amp;$I$5)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IF(Расчёт!$A$114=0,"Вт 14","Вт 14"&amp;CHAR(10)&amp;Расчёт!$W$114&amp;"/"&amp;$I$5)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IF(Расчёт!$A$115=0,"Ср 15","Ср 15"&amp;CHAR(10)&amp;Расчёт!$W$115&amp;"/"&amp;$I$5)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IF(Расчёт!$A$116=0,"Чт 16","Чт 16"&amp;CHAR(10)&amp;Расчёт!$W$116&amp;"/"&amp;$I$5)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IF(Расчёт!$A$117=0,"Пт 17","Пт 17"&amp;CHAR(10)&amp;Расчёт!$W$117&amp;"/"&amp;$I$5)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IF(Расчёт!$A$118=0,"Сб 18","Сб 18"&amp;CHAR(10)&amp;Расчёт!$W$118&amp;"/"&amp;$I$5)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IF(Расчёт!$A$119=0,"Вс 19","Вс 19"&amp;CHAR(10)&amp;Расчёт!$W$119&amp;"/"&amp;$I$5)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IF(Расчёт!$A$120=0,"Пн 20","Пн 20"&amp;CHAR(10)&amp;Расчёт!$W$120&amp;"/"&amp;$I$5)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IF(Расчёт!$A$121=0,"Вт 21","Вт 21"&amp;CHAR(10)&amp;Расчёт!$W$121&amp;"/"&amp;$I$5)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IF(Расчёт!$A$122=0,"Ср 22","Ср 22"&amp;CHAR(10)&amp;Расчёт!$W$122&amp;"/"&amp;$I$5)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IF(Расчёт!$A$123=0,"Чт 23","Чт 23"&amp;CHAR(10)&amp;Расчёт!$W$123&amp;"/"&amp;$I$5)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IF(Расчёт!$A$124=0,"Пт 24","Пт 24"&amp;CHAR(10)&amp;Расчёт!$W$124&amp;"/"&amp;$I$5)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IF(Расчёт!$A$125=0,"Сб 25","Сб 25"&amp;CHAR(10)&amp;Расчёт!$W$125&amp;"/"&amp;$I$5)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IF(Расчёт!$A$126=0,"Вс 26","Вс 26"&amp;CHAR(10)&amp;Расчёт!$W$126&amp;"/"&amp;$I$5)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IF(Расчёт!$A$127=0,"Пн 27","Пн 27"&amp;CHAR(10)&amp;Расчёт!$W$127&amp;"/"&amp;$I$5)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IF(Расчёт!$A$128=0,"Вт 28","Вт 28"&amp;CHAR(10)&amp;Расчёт!$W$128&amp;"/"&amp;$I$5)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IF(Расчёт!$A$129=0,"Ср 29","Ср 29"&amp;CHAR(10)&amp;Расчёт!$W$129&amp;"/"&amp;$I$5)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IF(Расчёт!$A$130=0,"Чт 30","Чт 30"&amp;CHAR(10)&amp;Расчёт!$W$130&amp;"/"&amp;$I$5)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IF('Старт'!$B$12="","",SUM(Расчёт!$B$101:$B$130)&amp;"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IF('Старт'!$B$12="","",MAX(Расчёт!$I$101:$I$130))</f>
        <v/>
      </c>
      <c r="K39" s="32">
        <f>IF(OR('Старт'!$B$12="",Расчёт!$C$382=0),"",MIN(1,SUM(Расчёт!$B$101:$B$130)/MAX(1,ROUND(IF('Старт'!$F$12="",7,'Старт'!$F$12)*30/7,0)*Расчёт!$C$382/30)))</f>
        <v/>
      </c>
      <c r="L39" s="33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IF('Старт'!$B$13="","",SUM(Расчёт!$C$101:$C$130)&amp;"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IF('Старт'!$B$13="","",MAX(Расчёт!$J$101:$J$130))</f>
        <v/>
      </c>
      <c r="K40" s="32">
        <f>IF(OR('Старт'!$B$13="",Расчёт!$C$382=0),"",MIN(1,SUM(Расчёт!$C$101:$C$130)/MAX(1,ROUND(IF('Старт'!$F$13="",7,'Старт'!$F$13)*30/7,0)*Расчёт!$C$382/30)))</f>
        <v/>
      </c>
      <c r="L40" s="33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IF('Старт'!$B$14="","",SUM(Расчёт!$D$101:$D$130)&amp;"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IF('Старт'!$B$14="","",MAX(Расчёт!$K$101:$K$130))</f>
        <v/>
      </c>
      <c r="K41" s="32">
        <f>IF(OR('Старт'!$B$14="",Расчёт!$C$382=0),"",MIN(1,SUM(Расчёт!$D$101:$D$130)/MAX(1,ROUND(IF('Старт'!$F$14="",7,'Старт'!$F$14)*30/7,0)*Расчёт!$C$382/30)))</f>
        <v/>
      </c>
      <c r="L41" s="33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IF('Старт'!$B$15="","",SUM(Расчёт!$E$101:$E$130)&amp;"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IF('Старт'!$B$15="","",MAX(Расчёт!$L$101:$L$130))</f>
        <v/>
      </c>
      <c r="K42" s="32">
        <f>IF(OR('Старт'!$B$15="",Расчёт!$C$382=0),"",MIN(1,SUM(Расчёт!$E$101:$E$130)/MAX(1,ROUND(IF('Старт'!$F$15="",7,'Старт'!$F$15)*30/7,0)*Расчёт!$C$382/30)))</f>
        <v/>
      </c>
      <c r="L42" s="33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IF('Старт'!$B$16="","",SUM(Расчёт!$F$101:$F$130)&amp;"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IF('Старт'!$B$16="","",MAX(Расчёт!$M$101:$M$130))</f>
        <v/>
      </c>
      <c r="K43" s="32">
        <f>IF(OR('Старт'!$B$16="",Расчёт!$C$382=0),"",MIN(1,SUM(Расчёт!$F$101:$F$130)/MAX(1,ROUND(IF('Старт'!$F$16="",7,'Старт'!$F$16)*30/7,0)*Расчёт!$C$382/30)))</f>
        <v/>
      </c>
      <c r="L43" s="33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IF('Старт'!$B$17="","",SUM(Расчёт!$G$101:$G$130)&amp;"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IF('Старт'!$B$17="","",MAX(Расчёт!$N$101:$N$130))</f>
        <v/>
      </c>
      <c r="K44" s="32">
        <f>IF(OR('Старт'!$B$17="",Расчёт!$C$382=0),"",MIN(1,SUM(Расчёт!$G$101:$G$130)/MAX(1,ROUND(IF('Старт'!$F$17="",7,'Старт'!$F$17)*30/7,0)*Расчёт!$C$382/30)))</f>
        <v/>
      </c>
      <c r="L44" s="33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IF('Старт'!$B$18="","",SUM(Расчёт!$H$101:$H$130)&amp;"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IF('Старт'!$B$18="","",MAX(Расчёт!$O$101:$O$130))</f>
        <v/>
      </c>
      <c r="K45" s="32">
        <f>IF(OR('Старт'!$B$18="",Расчёт!$C$382=0),"",MIN(1,SUM(Расчёт!$H$101:$H$130)/MAX(1,ROUND(IF('Старт'!$F$18="",7,'Старт'!$F$18)*30/7,0)*Расчёт!$C$382/30)))</f>
        <v/>
      </c>
      <c r="L45" s="33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IF(Расчёт!$H$410=0,"Первая неделя закроется в воскресенье","Неделя · "&amp;Расчёт!$G$410&amp;" из "&amp;Расчёт!$H$410&amp;IF(Расчёт!$I$410=0,""," · прошлая "&amp;ROUND(MIN(1,Расчёт!$I$410/MAX(1,Расчёт!$H$409))*100,0)&amp;"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IF(OR(Расчёт!$D$410=0,Расчёт!$H$410=0),"","Просело: "&amp;INDEX('Старт'!$E$12:$E$18,MAX(1,Расчёт!$D$410))&amp;" — "&amp;IF(INDEX('Старт'!$B$20:$B$26,MAX(1,Расчёт!$D$410))="","подтяни на этой неделе",INDEX('Старт'!$B$20:$B$26,MAX(1,Расчёт!$D$410))))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IF(Расчёт!$C$382=0,"Первая галочка — и месяц пошёл","Полных дней: "&amp;Расчёт!$G$382&amp;" · опыт за месяц: "&amp;Расчёт!$I$382)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IF(Расчёт!$D$410=0,"Испытание появится в воскресенье","Испытание: "&amp;INDEX('Старт'!$E$12:$E$18,MAX(1,Расчёт!$D$410))&amp;" "&amp;Расчёт!$E$410&amp;" из 5"&amp;IF(Расчёт!$F$410=1,"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SPARKLINE(Расчёт!$W$101:$W$130,{"charttype","column";"color","#22A35E";"empty","zero"})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"МАЙ 2026"</f>
        <v/>
      </c>
      <c r="B1" s="17"/>
      <c r="C1" s="17"/>
      <c r="D1" s="17"/>
      <c r="E1" s="17"/>
      <c r="F1" s="18">
        <f>IF(Расчёт!$C$383=0,"Не идеально, а регулярно",ROUND(Расчёт!$F$383*100,0)&amp;"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$414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IF(AND(YEAR(Расчёт!$B$1)=2026,MONTH(Расчёт!$B$1)=5),5+DAY(Расчёт!$B$1),0)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IF(Расчёт!$A$131=0,"Пт 1","Пт 1"&amp;CHAR(10)&amp;Расчёт!$W$131&amp;"/"&amp;$I$5)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IF(Расчёт!$A$132=0,"Сб 2","Сб 2"&amp;CHAR(10)&amp;Расчёт!$W$132&amp;"/"&amp;$I$5)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IF(Расчёт!$A$133=0,"Вс 3","Вс 3"&amp;CHAR(10)&amp;Расчёт!$W$133&amp;"/"&amp;$I$5)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IF(Расчёт!$A$134=0,"Пн 4","Пн 4"&amp;CHAR(10)&amp;Расчёт!$W$134&amp;"/"&amp;$I$5)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IF(Расчёт!$A$135=0,"Вт 5","Вт 5"&amp;CHAR(10)&amp;Расчёт!$W$135&amp;"/"&amp;$I$5)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IF(Расчёт!$A$136=0,"Ср 6","Ср 6"&amp;CHAR(10)&amp;Расчёт!$W$136&amp;"/"&amp;$I$5)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IF(Расчёт!$A$137=0,"Чт 7","Чт 7"&amp;CHAR(10)&amp;Расчёт!$W$137&amp;"/"&amp;$I$5)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IF(Расчёт!$A$138=0,"Пт 8","Пт 8"&amp;CHAR(10)&amp;Расчёт!$W$138&amp;"/"&amp;$I$5)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IF(Расчёт!$A$139=0,"Сб 9","Сб 9"&amp;CHAR(10)&amp;Расчёт!$W$139&amp;"/"&amp;$I$5)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IF(Расчёт!$A$140=0,"Вс 10","Вс 10"&amp;CHAR(10)&amp;Расчёт!$W$140&amp;"/"&amp;$I$5)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IF(Расчёт!$A$141=0,"Пн 11","Пн 11"&amp;CHAR(10)&amp;Расчёт!$W$141&amp;"/"&amp;$I$5)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IF(Расчёт!$A$142=0,"Вт 12","Вт 12"&amp;CHAR(10)&amp;Расчёт!$W$142&amp;"/"&amp;$I$5)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IF(Расчёт!$A$143=0,"Ср 13","Ср 13"&amp;CHAR(10)&amp;Расчёт!$W$143&amp;"/"&amp;$I$5)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IF(Расчёт!$A$144=0,"Чт 14","Чт 14"&amp;CHAR(10)&amp;Расчёт!$W$144&amp;"/"&amp;$I$5)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IF(Расчёт!$A$145=0,"Пт 15","Пт 15"&amp;CHAR(10)&amp;Расчёт!$W$145&amp;"/"&amp;$I$5)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IF(Расчёт!$A$146=0,"Сб 16","Сб 16"&amp;CHAR(10)&amp;Расчёт!$W$146&amp;"/"&amp;$I$5)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IF(Расчёт!$A$147=0,"Вс 17","Вс 17"&amp;CHAR(10)&amp;Расчёт!$W$147&amp;"/"&amp;$I$5)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IF(Расчёт!$A$148=0,"Пн 18","Пн 18"&amp;CHAR(10)&amp;Расчёт!$W$148&amp;"/"&amp;$I$5)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IF(Расчёт!$A$149=0,"Вт 19","Вт 19"&amp;CHAR(10)&amp;Расчёт!$W$149&amp;"/"&amp;$I$5)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IF(Расчёт!$A$150=0,"Ср 20","Ср 20"&amp;CHAR(10)&amp;Расчёт!$W$150&amp;"/"&amp;$I$5)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IF(Расчёт!$A$151=0,"Чт 21","Чт 21"&amp;CHAR(10)&amp;Расчёт!$W$151&amp;"/"&amp;$I$5)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IF(Расчёт!$A$152=0,"Пт 22","Пт 22"&amp;CHAR(10)&amp;Расчёт!$W$152&amp;"/"&amp;$I$5)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IF(Расчёт!$A$153=0,"Сб 23","Сб 23"&amp;CHAR(10)&amp;Расчёт!$W$153&amp;"/"&amp;$I$5)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IF(Расчёт!$A$154=0,"Вс 24","Вс 24"&amp;CHAR(10)&amp;Расчёт!$W$154&amp;"/"&amp;$I$5)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IF(Расчёт!$A$155=0,"Пн 25","Пн 25"&amp;CHAR(10)&amp;Расчёт!$W$155&amp;"/"&amp;$I$5)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IF(Расчёт!$A$156=0,"Вт 26","Вт 26"&amp;CHAR(10)&amp;Расчёт!$W$156&amp;"/"&amp;$I$5)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IF(Расчёт!$A$157=0,"Ср 27","Ср 27"&amp;CHAR(10)&amp;Расчёт!$W$157&amp;"/"&amp;$I$5)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IF(Расчёт!$A$158=0,"Чт 28","Чт 28"&amp;CHAR(10)&amp;Расчёт!$W$158&amp;"/"&amp;$I$5)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IF(Расчёт!$A$159=0,"Пт 29","Пт 29"&amp;CHAR(10)&amp;Расчёт!$W$159&amp;"/"&amp;$I$5)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IF(Расчёт!$A$160=0,"Сб 30","Сб 30"&amp;CHAR(10)&amp;Расчёт!$W$160&amp;"/"&amp;$I$5)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IF(Расчёт!$A$161=0,"Вс 31","Вс 31"&amp;CHAR(10)&amp;Расчёт!$W$161&amp;"/"&amp;$I$5)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IF('Старт'!$B$12="","",SUM(Расчёт!$B$131:$B$161)&amp;"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IF('Старт'!$B$12="","",MAX(Расчёт!$I$131:$I$161))</f>
        <v/>
      </c>
      <c r="K39" s="32">
        <f>IF(OR('Старт'!$B$12="",Расчёт!$C$383=0),"",MIN(1,SUM(Расчёт!$B$131:$B$161)/MAX(1,ROUND(IF('Старт'!$F$12="",7,'Старт'!$F$12)*31/7,0)*Расчёт!$C$383/31)))</f>
        <v/>
      </c>
      <c r="L39" s="33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IF('Старт'!$B$13="","",SUM(Расчёт!$C$131:$C$161)&amp;"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IF('Старт'!$B$13="","",MAX(Расчёт!$J$131:$J$161))</f>
        <v/>
      </c>
      <c r="K40" s="32">
        <f>IF(OR('Старт'!$B$13="",Расчёт!$C$383=0),"",MIN(1,SUM(Расчёт!$C$131:$C$161)/MAX(1,ROUND(IF('Старт'!$F$13="",7,'Старт'!$F$13)*31/7,0)*Расчёт!$C$383/31)))</f>
        <v/>
      </c>
      <c r="L40" s="33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IF('Старт'!$B$14="","",SUM(Расчёт!$D$131:$D$161)&amp;"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IF('Старт'!$B$14="","",MAX(Расчёт!$K$131:$K$161))</f>
        <v/>
      </c>
      <c r="K41" s="32">
        <f>IF(OR('Старт'!$B$14="",Расчёт!$C$383=0),"",MIN(1,SUM(Расчёт!$D$131:$D$161)/MAX(1,ROUND(IF('Старт'!$F$14="",7,'Старт'!$F$14)*31/7,0)*Расчёт!$C$383/31)))</f>
        <v/>
      </c>
      <c r="L41" s="33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IF('Старт'!$B$15="","",SUM(Расчёт!$E$131:$E$161)&amp;"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IF('Старт'!$B$15="","",MAX(Расчёт!$L$131:$L$161))</f>
        <v/>
      </c>
      <c r="K42" s="32">
        <f>IF(OR('Старт'!$B$15="",Расчёт!$C$383=0),"",MIN(1,SUM(Расчёт!$E$131:$E$161)/MAX(1,ROUND(IF('Старт'!$F$15="",7,'Старт'!$F$15)*31/7,0)*Расчёт!$C$383/31)))</f>
        <v/>
      </c>
      <c r="L42" s="33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IF('Старт'!$B$16="","",SUM(Расчёт!$F$131:$F$161)&amp;"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IF('Старт'!$B$16="","",MAX(Расчёт!$M$131:$M$161))</f>
        <v/>
      </c>
      <c r="K43" s="32">
        <f>IF(OR('Старт'!$B$16="",Расчёт!$C$383=0),"",MIN(1,SUM(Расчёт!$F$131:$F$161)/MAX(1,ROUND(IF('Старт'!$F$16="",7,'Старт'!$F$16)*31/7,0)*Расчёт!$C$383/31)))</f>
        <v/>
      </c>
      <c r="L43" s="33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IF('Старт'!$B$17="","",SUM(Расчёт!$G$131:$G$161)&amp;"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IF('Старт'!$B$17="","",MAX(Расчёт!$N$131:$N$161))</f>
        <v/>
      </c>
      <c r="K44" s="32">
        <f>IF(OR('Старт'!$B$17="",Расчёт!$C$383=0),"",MIN(1,SUM(Расчёт!$G$131:$G$161)/MAX(1,ROUND(IF('Старт'!$F$17="",7,'Старт'!$F$17)*31/7,0)*Расчёт!$C$383/31)))</f>
        <v/>
      </c>
      <c r="L44" s="33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IF('Старт'!$B$18="","",SUM(Расчёт!$H$131:$H$161)&amp;"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IF('Старт'!$B$18="","",MAX(Расчёт!$O$131:$O$161))</f>
        <v/>
      </c>
      <c r="K45" s="32">
        <f>IF(OR('Старт'!$B$18="",Расчёт!$C$383=0),"",MIN(1,SUM(Расчёт!$H$131:$H$161)/MAX(1,ROUND(IF('Старт'!$F$18="",7,'Старт'!$F$18)*31/7,0)*Расчёт!$C$383/31)))</f>
        <v/>
      </c>
      <c r="L45" s="33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IF(Расчёт!$H$414=0,"Первая неделя закроется в воскресенье","Неделя · "&amp;Расчёт!$G$414&amp;" из "&amp;Расчёт!$H$414&amp;IF(Расчёт!$I$414=0,""," · прошлая "&amp;ROUND(MIN(1,Расчёт!$I$414/MAX(1,Расчёт!$H$413))*100,0)&amp;"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IF(OR(Расчёт!$D$414=0,Расчёт!$H$414=0),"","Просело: "&amp;INDEX('Старт'!$E$12:$E$18,MAX(1,Расчёт!$D$414))&amp;" — "&amp;IF(INDEX('Старт'!$B$20:$B$26,MAX(1,Расчёт!$D$414))="","подтяни на этой неделе",INDEX('Старт'!$B$20:$B$26,MAX(1,Расчёт!$D$414))))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IF(Расчёт!$C$383=0,"Первая галочка — и месяц пошёл","Полных дней: "&amp;Расчёт!$G$383&amp;" · опыт за месяц: "&amp;Расчёт!$I$383)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IF(Расчёт!$D$414=0,"Испытание появится в воскресенье","Испытание: "&amp;INDEX('Старт'!$E$12:$E$18,MAX(1,Расчёт!$D$414))&amp;" "&amp;Расчёт!$E$414&amp;" из 5"&amp;IF(Расчёт!$F$414=1,"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SPARKLINE(Расчёт!$W$131:$W$161,{"charttype","column";"color","#22A35E";"empty","zero"})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"ИЮН 2026"</f>
        <v/>
      </c>
      <c r="B1" s="17"/>
      <c r="C1" s="17"/>
      <c r="D1" s="17"/>
      <c r="E1" s="17"/>
      <c r="F1" s="18">
        <f>IF(Расчёт!$C$384=0,"Не идеально, а регулярно",ROUND(Расчёт!$F$384*100,0)&amp;"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$419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IF(AND(YEAR(Расчёт!$B$1)=2026,MONTH(Расчёт!$B$1)=6),5+DAY(Расчёт!$B$1),0)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IF(Расчёт!$A$162=0,"Пн 1","Пн 1"&amp;CHAR(10)&amp;Расчёт!$W$162&amp;"/"&amp;$I$5)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IF(Расчёт!$A$163=0,"Вт 2","Вт 2"&amp;CHAR(10)&amp;Расчёт!$W$163&amp;"/"&amp;$I$5)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IF(Расчёт!$A$164=0,"Ср 3","Ср 3"&amp;CHAR(10)&amp;Расчёт!$W$164&amp;"/"&amp;$I$5)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IF(Расчёт!$A$165=0,"Чт 4","Чт 4"&amp;CHAR(10)&amp;Расчёт!$W$165&amp;"/"&amp;$I$5)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IF(Расчёт!$A$166=0,"Пт 5","Пт 5"&amp;CHAR(10)&amp;Расчёт!$W$166&amp;"/"&amp;$I$5)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IF(Расчёт!$A$167=0,"Сб 6","Сб 6"&amp;CHAR(10)&amp;Расчёт!$W$167&amp;"/"&amp;$I$5)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IF(Расчёт!$A$168=0,"Вс 7","Вс 7"&amp;CHAR(10)&amp;Расчёт!$W$168&amp;"/"&amp;$I$5)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IF(Расчёт!$A$169=0,"Пн 8","Пн 8"&amp;CHAR(10)&amp;Расчёт!$W$169&amp;"/"&amp;$I$5)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IF(Расчёт!$A$170=0,"Вт 9","Вт 9"&amp;CHAR(10)&amp;Расчёт!$W$170&amp;"/"&amp;$I$5)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IF(Расчёт!$A$171=0,"Ср 10","Ср 10"&amp;CHAR(10)&amp;Расчёт!$W$171&amp;"/"&amp;$I$5)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IF(Расчёт!$A$172=0,"Чт 11","Чт 11"&amp;CHAR(10)&amp;Расчёт!$W$172&amp;"/"&amp;$I$5)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IF(Расчёт!$A$173=0,"Пт 12","Пт 12"&amp;CHAR(10)&amp;Расчёт!$W$173&amp;"/"&amp;$I$5)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IF(Расчёт!$A$174=0,"Сб 13","Сб 13"&amp;CHAR(10)&amp;Расчёт!$W$174&amp;"/"&amp;$I$5)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IF(Расчёт!$A$175=0,"Вс 14","Вс 14"&amp;CHAR(10)&amp;Расчёт!$W$175&amp;"/"&amp;$I$5)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IF(Расчёт!$A$176=0,"Пн 15","Пн 15"&amp;CHAR(10)&amp;Расчёт!$W$176&amp;"/"&amp;$I$5)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IF(Расчёт!$A$177=0,"Вт 16","Вт 16"&amp;CHAR(10)&amp;Расчёт!$W$177&amp;"/"&amp;$I$5)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IF(Расчёт!$A$178=0,"Ср 17","Ср 17"&amp;CHAR(10)&amp;Расчёт!$W$178&amp;"/"&amp;$I$5)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IF(Расчёт!$A$179=0,"Чт 18","Чт 18"&amp;CHAR(10)&amp;Расчёт!$W$179&amp;"/"&amp;$I$5)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IF(Расчёт!$A$180=0,"Пт 19","Пт 19"&amp;CHAR(10)&amp;Расчёт!$W$180&amp;"/"&amp;$I$5)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IF(Расчёт!$A$181=0,"Сб 20","Сб 20"&amp;CHAR(10)&amp;Расчёт!$W$181&amp;"/"&amp;$I$5)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IF(Расчёт!$A$182=0,"Вс 21","Вс 21"&amp;CHAR(10)&amp;Расчёт!$W$182&amp;"/"&amp;$I$5)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IF(Расчёт!$A$183=0,"Пн 22","Пн 22"&amp;CHAR(10)&amp;Расчёт!$W$183&amp;"/"&amp;$I$5)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IF(Расчёт!$A$184=0,"Вт 23","Вт 23"&amp;CHAR(10)&amp;Расчёт!$W$184&amp;"/"&amp;$I$5)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IF(Расчёт!$A$185=0,"Ср 24","Ср 24"&amp;CHAR(10)&amp;Расчёт!$W$185&amp;"/"&amp;$I$5)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IF(Расчёт!$A$186=0,"Чт 25","Чт 25"&amp;CHAR(10)&amp;Расчёт!$W$186&amp;"/"&amp;$I$5)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IF(Расчёт!$A$187=0,"Пт 26","Пт 26"&amp;CHAR(10)&amp;Расчёт!$W$187&amp;"/"&amp;$I$5)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IF(Расчёт!$A$188=0,"Сб 27","Сб 27"&amp;CHAR(10)&amp;Расчёт!$W$188&amp;"/"&amp;$I$5)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IF(Расчёт!$A$189=0,"Вс 28","Вс 28"&amp;CHAR(10)&amp;Расчёт!$W$189&amp;"/"&amp;$I$5)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IF(Расчёт!$A$190=0,"Пн 29","Пн 29"&amp;CHAR(10)&amp;Расчёт!$W$190&amp;"/"&amp;$I$5)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IF(Расчёт!$A$191=0,"Вт 30","Вт 30"&amp;CHAR(10)&amp;Расчёт!$W$191&amp;"/"&amp;$I$5)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IF('Старт'!$B$12="","",SUM(Расчёт!$B$162:$B$191)&amp;"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IF('Старт'!$B$12="","",MAX(Расчёт!$I$162:$I$191))</f>
        <v/>
      </c>
      <c r="K39" s="32">
        <f>IF(OR('Старт'!$B$12="",Расчёт!$C$384=0),"",MIN(1,SUM(Расчёт!$B$162:$B$191)/MAX(1,ROUND(IF('Старт'!$F$12="",7,'Старт'!$F$12)*30/7,0)*Расчёт!$C$384/30)))</f>
        <v/>
      </c>
      <c r="L39" s="33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IF('Старт'!$B$13="","",SUM(Расчёт!$C$162:$C$191)&amp;"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IF('Старт'!$B$13="","",MAX(Расчёт!$J$162:$J$191))</f>
        <v/>
      </c>
      <c r="K40" s="32">
        <f>IF(OR('Старт'!$B$13="",Расчёт!$C$384=0),"",MIN(1,SUM(Расчёт!$C$162:$C$191)/MAX(1,ROUND(IF('Старт'!$F$13="",7,'Старт'!$F$13)*30/7,0)*Расчёт!$C$384/30)))</f>
        <v/>
      </c>
      <c r="L40" s="33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IF('Старт'!$B$14="","",SUM(Расчёт!$D$162:$D$191)&amp;"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IF('Старт'!$B$14="","",MAX(Расчёт!$K$162:$K$191))</f>
        <v/>
      </c>
      <c r="K41" s="32">
        <f>IF(OR('Старт'!$B$14="",Расчёт!$C$384=0),"",MIN(1,SUM(Расчёт!$D$162:$D$191)/MAX(1,ROUND(IF('Старт'!$F$14="",7,'Старт'!$F$14)*30/7,0)*Расчёт!$C$384/30)))</f>
        <v/>
      </c>
      <c r="L41" s="33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IF('Старт'!$B$15="","",SUM(Расчёт!$E$162:$E$191)&amp;"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IF('Старт'!$B$15="","",MAX(Расчёт!$L$162:$L$191))</f>
        <v/>
      </c>
      <c r="K42" s="32">
        <f>IF(OR('Старт'!$B$15="",Расчёт!$C$384=0),"",MIN(1,SUM(Расчёт!$E$162:$E$191)/MAX(1,ROUND(IF('Старт'!$F$15="",7,'Старт'!$F$15)*30/7,0)*Расчёт!$C$384/30)))</f>
        <v/>
      </c>
      <c r="L42" s="33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IF('Старт'!$B$16="","",SUM(Расчёт!$F$162:$F$191)&amp;"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IF('Старт'!$B$16="","",MAX(Расчёт!$M$162:$M$191))</f>
        <v/>
      </c>
      <c r="K43" s="32">
        <f>IF(OR('Старт'!$B$16="",Расчёт!$C$384=0),"",MIN(1,SUM(Расчёт!$F$162:$F$191)/MAX(1,ROUND(IF('Старт'!$F$16="",7,'Старт'!$F$16)*30/7,0)*Расчёт!$C$384/30)))</f>
        <v/>
      </c>
      <c r="L43" s="33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IF('Старт'!$B$17="","",SUM(Расчёт!$G$162:$G$191)&amp;"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IF('Старт'!$B$17="","",MAX(Расчёт!$N$162:$N$191))</f>
        <v/>
      </c>
      <c r="K44" s="32">
        <f>IF(OR('Старт'!$B$17="",Расчёт!$C$384=0),"",MIN(1,SUM(Расчёт!$G$162:$G$191)/MAX(1,ROUND(IF('Старт'!$F$17="",7,'Старт'!$F$17)*30/7,0)*Расчёт!$C$384/30)))</f>
        <v/>
      </c>
      <c r="L44" s="33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IF('Старт'!$B$18="","",SUM(Расчёт!$H$162:$H$191)&amp;"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IF('Старт'!$B$18="","",MAX(Расчёт!$O$162:$O$191))</f>
        <v/>
      </c>
      <c r="K45" s="32">
        <f>IF(OR('Старт'!$B$18="",Расчёт!$C$384=0),"",MIN(1,SUM(Расчёт!$H$162:$H$191)/MAX(1,ROUND(IF('Старт'!$F$18="",7,'Старт'!$F$18)*30/7,0)*Расчёт!$C$384/30)))</f>
        <v/>
      </c>
      <c r="L45" s="33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IF(Расчёт!$H$419=0,"Первая неделя закроется в воскресенье","Неделя · "&amp;Расчёт!$G$419&amp;" из "&amp;Расчёт!$H$419&amp;IF(Расчёт!$I$419=0,""," · прошлая "&amp;ROUND(MIN(1,Расчёт!$I$419/MAX(1,Расчёт!$H$418))*100,0)&amp;"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IF(OR(Расчёт!$D$419=0,Расчёт!$H$419=0),"","Просело: "&amp;INDEX('Старт'!$E$12:$E$18,MAX(1,Расчёт!$D$419))&amp;" — "&amp;IF(INDEX('Старт'!$B$20:$B$26,MAX(1,Расчёт!$D$419))="","подтяни на этой неделе",INDEX('Старт'!$B$20:$B$26,MAX(1,Расчёт!$D$419))))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IF(Расчёт!$C$384=0,"Первая галочка — и месяц пошёл","Полных дней: "&amp;Расчёт!$G$384&amp;" · опыт за месяц: "&amp;Расчёт!$I$384)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IF(Расчёт!$D$419=0,"Испытание появится в воскресенье","Испытание: "&amp;INDEX('Старт'!$E$12:$E$18,MAX(1,Расчёт!$D$419))&amp;" "&amp;Расчёт!$E$419&amp;" из 5"&amp;IF(Расчёт!$F$419=1,"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SPARKLINE(Расчёт!$W$162:$W$191,{"charttype","column";"color","#22A35E";"empty","zero"})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"ИЮЛ 2026"</f>
        <v/>
      </c>
      <c r="B1" s="17"/>
      <c r="C1" s="17"/>
      <c r="D1" s="17"/>
      <c r="E1" s="17"/>
      <c r="F1" s="18">
        <f>IF(Расчёт!$C$385=0,"Не идеально, а регулярно",ROUND(Расчёт!$F$385*100,0)&amp;"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$423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IF(AND(YEAR(Расчёт!$B$1)=2026,MONTH(Расчёт!$B$1)=7),5+DAY(Расчёт!$B$1),0)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IF(Расчёт!$A$192=0,"Ср 1","Ср 1"&amp;CHAR(10)&amp;Расчёт!$W$192&amp;"/"&amp;$I$5)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IF(Расчёт!$A$193=0,"Чт 2","Чт 2"&amp;CHAR(10)&amp;Расчёт!$W$193&amp;"/"&amp;$I$5)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IF(Расчёт!$A$194=0,"Пт 3","Пт 3"&amp;CHAR(10)&amp;Расчёт!$W$194&amp;"/"&amp;$I$5)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IF(Расчёт!$A$195=0,"Сб 4","Сб 4"&amp;CHAR(10)&amp;Расчёт!$W$195&amp;"/"&amp;$I$5)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IF(Расчёт!$A$196=0,"Вс 5","Вс 5"&amp;CHAR(10)&amp;Расчёт!$W$196&amp;"/"&amp;$I$5)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IF(Расчёт!$A$197=0,"Пн 6","Пн 6"&amp;CHAR(10)&amp;Расчёт!$W$197&amp;"/"&amp;$I$5)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IF(Расчёт!$A$198=0,"Вт 7","Вт 7"&amp;CHAR(10)&amp;Расчёт!$W$198&amp;"/"&amp;$I$5)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IF(Расчёт!$A$199=0,"Ср 8","Ср 8"&amp;CHAR(10)&amp;Расчёт!$W$199&amp;"/"&amp;$I$5)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IF(Расчёт!$A$200=0,"Чт 9","Чт 9"&amp;CHAR(10)&amp;Расчёт!$W$200&amp;"/"&amp;$I$5)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IF(Расчёт!$A$201=0,"Пт 10","Пт 10"&amp;CHAR(10)&amp;Расчёт!$W$201&amp;"/"&amp;$I$5)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IF(Расчёт!$A$202=0,"Сб 11","Сб 11"&amp;CHAR(10)&amp;Расчёт!$W$202&amp;"/"&amp;$I$5)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IF(Расчёт!$A$203=0,"Вс 12","Вс 12"&amp;CHAR(10)&amp;Расчёт!$W$203&amp;"/"&amp;$I$5)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IF(Расчёт!$A$204=0,"Пн 13","Пн 13"&amp;CHAR(10)&amp;Расчёт!$W$204&amp;"/"&amp;$I$5)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IF(Расчёт!$A$205=0,"Вт 14","Вт 14"&amp;CHAR(10)&amp;Расчёт!$W$205&amp;"/"&amp;$I$5)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IF(Расчёт!$A$206=0,"Ср 15","Ср 15"&amp;CHAR(10)&amp;Расчёт!$W$206&amp;"/"&amp;$I$5)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IF(Расчёт!$A$207=0,"Чт 16","Чт 16"&amp;CHAR(10)&amp;Расчёт!$W$207&amp;"/"&amp;$I$5)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IF(Расчёт!$A$208=0,"Пт 17","Пт 17"&amp;CHAR(10)&amp;Расчёт!$W$208&amp;"/"&amp;$I$5)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IF(Расчёт!$A$209=0,"Сб 18","Сб 18"&amp;CHAR(10)&amp;Расчёт!$W$209&amp;"/"&amp;$I$5)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IF(Расчёт!$A$210=0,"Вс 19","Вс 19"&amp;CHAR(10)&amp;Расчёт!$W$210&amp;"/"&amp;$I$5)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IF(Расчёт!$A$211=0,"Пн 20","Пн 20"&amp;CHAR(10)&amp;Расчёт!$W$211&amp;"/"&amp;$I$5)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IF(Расчёт!$A$212=0,"Вт 21","Вт 21"&amp;CHAR(10)&amp;Расчёт!$W$212&amp;"/"&amp;$I$5)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IF(Расчёт!$A$213=0,"Ср 22","Ср 22"&amp;CHAR(10)&amp;Расчёт!$W$213&amp;"/"&amp;$I$5)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IF(Расчёт!$A$214=0,"Чт 23","Чт 23"&amp;CHAR(10)&amp;Расчёт!$W$214&amp;"/"&amp;$I$5)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IF(Расчёт!$A$215=0,"Пт 24","Пт 24"&amp;CHAR(10)&amp;Расчёт!$W$215&amp;"/"&amp;$I$5)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IF(Расчёт!$A$216=0,"Сб 25","Сб 25"&amp;CHAR(10)&amp;Расчёт!$W$216&amp;"/"&amp;$I$5)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IF(Расчёт!$A$217=0,"Вс 26","Вс 26"&amp;CHAR(10)&amp;Расчёт!$W$217&amp;"/"&amp;$I$5)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IF(Расчёт!$A$218=0,"Пн 27","Пн 27"&amp;CHAR(10)&amp;Расчёт!$W$218&amp;"/"&amp;$I$5)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IF(Расчёт!$A$219=0,"Вт 28","Вт 28"&amp;CHAR(10)&amp;Расчёт!$W$219&amp;"/"&amp;$I$5)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IF(Расчёт!$A$220=0,"Ср 29","Ср 29"&amp;CHAR(10)&amp;Расчёт!$W$220&amp;"/"&amp;$I$5)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IF(Расчёт!$A$221=0,"Чт 30","Чт 30"&amp;CHAR(10)&amp;Расчёт!$W$221&amp;"/"&amp;$I$5)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IF(Расчёт!$A$222=0,"Пт 31","Пт 31"&amp;CHAR(10)&amp;Расчёт!$W$222&amp;"/"&amp;$I$5)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IF('Старт'!$B$12="","",SUM(Расчёт!$B$192:$B$222)&amp;"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IF('Старт'!$B$12="","",MAX(Расчёт!$I$192:$I$222))</f>
        <v/>
      </c>
      <c r="K39" s="32">
        <f>IF(OR('Старт'!$B$12="",Расчёт!$C$385=0),"",MIN(1,SUM(Расчёт!$B$192:$B$222)/MAX(1,ROUND(IF('Старт'!$F$12="",7,'Старт'!$F$12)*31/7,0)*Расчёт!$C$385/31)))</f>
        <v/>
      </c>
      <c r="L39" s="33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IF('Старт'!$B$13="","",SUM(Расчёт!$C$192:$C$222)&amp;"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IF('Старт'!$B$13="","",MAX(Расчёт!$J$192:$J$222))</f>
        <v/>
      </c>
      <c r="K40" s="32">
        <f>IF(OR('Старт'!$B$13="",Расчёт!$C$385=0),"",MIN(1,SUM(Расчёт!$C$192:$C$222)/MAX(1,ROUND(IF('Старт'!$F$13="",7,'Старт'!$F$13)*31/7,0)*Расчёт!$C$385/31)))</f>
        <v/>
      </c>
      <c r="L40" s="33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IF('Старт'!$B$14="","",SUM(Расчёт!$D$192:$D$222)&amp;"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IF('Старт'!$B$14="","",MAX(Расчёт!$K$192:$K$222))</f>
        <v/>
      </c>
      <c r="K41" s="32">
        <f>IF(OR('Старт'!$B$14="",Расчёт!$C$385=0),"",MIN(1,SUM(Расчёт!$D$192:$D$222)/MAX(1,ROUND(IF('Старт'!$F$14="",7,'Старт'!$F$14)*31/7,0)*Расчёт!$C$385/31)))</f>
        <v/>
      </c>
      <c r="L41" s="33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IF('Старт'!$B$15="","",SUM(Расчёт!$E$192:$E$222)&amp;"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IF('Старт'!$B$15="","",MAX(Расчёт!$L$192:$L$222))</f>
        <v/>
      </c>
      <c r="K42" s="32">
        <f>IF(OR('Старт'!$B$15="",Расчёт!$C$385=0),"",MIN(1,SUM(Расчёт!$E$192:$E$222)/MAX(1,ROUND(IF('Старт'!$F$15="",7,'Старт'!$F$15)*31/7,0)*Расчёт!$C$385/31)))</f>
        <v/>
      </c>
      <c r="L42" s="33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IF('Старт'!$B$16="","",SUM(Расчёт!$F$192:$F$222)&amp;"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IF('Старт'!$B$16="","",MAX(Расчёт!$M$192:$M$222))</f>
        <v/>
      </c>
      <c r="K43" s="32">
        <f>IF(OR('Старт'!$B$16="",Расчёт!$C$385=0),"",MIN(1,SUM(Расчёт!$F$192:$F$222)/MAX(1,ROUND(IF('Старт'!$F$16="",7,'Старт'!$F$16)*31/7,0)*Расчёт!$C$385/31)))</f>
        <v/>
      </c>
      <c r="L43" s="33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IF('Старт'!$B$17="","",SUM(Расчёт!$G$192:$G$222)&amp;"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IF('Старт'!$B$17="","",MAX(Расчёт!$N$192:$N$222))</f>
        <v/>
      </c>
      <c r="K44" s="32">
        <f>IF(OR('Старт'!$B$17="",Расчёт!$C$385=0),"",MIN(1,SUM(Расчёт!$G$192:$G$222)/MAX(1,ROUND(IF('Старт'!$F$17="",7,'Старт'!$F$17)*31/7,0)*Расчёт!$C$385/31)))</f>
        <v/>
      </c>
      <c r="L44" s="33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IF('Старт'!$B$18="","",SUM(Расчёт!$H$192:$H$222)&amp;"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IF('Старт'!$B$18="","",MAX(Расчёт!$O$192:$O$222))</f>
        <v/>
      </c>
      <c r="K45" s="32">
        <f>IF(OR('Старт'!$B$18="",Расчёт!$C$385=0),"",MIN(1,SUM(Расчёт!$H$192:$H$222)/MAX(1,ROUND(IF('Старт'!$F$18="",7,'Старт'!$F$18)*31/7,0)*Расчёт!$C$385/31)))</f>
        <v/>
      </c>
      <c r="L45" s="33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IF(Расчёт!$H$423=0,"Первая неделя закроется в воскресенье","Неделя · "&amp;Расчёт!$G$423&amp;" из "&amp;Расчёт!$H$423&amp;IF(Расчёт!$I$423=0,""," · прошлая "&amp;ROUND(MIN(1,Расчёт!$I$423/MAX(1,Расчёт!$H$422))*100,0)&amp;"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IF(OR(Расчёт!$D$423=0,Расчёт!$H$423=0),"","Просело: "&amp;INDEX('Старт'!$E$12:$E$18,MAX(1,Расчёт!$D$423))&amp;" — "&amp;IF(INDEX('Старт'!$B$20:$B$26,MAX(1,Расчёт!$D$423))="","подтяни на этой неделе",INDEX('Старт'!$B$20:$B$26,MAX(1,Расчёт!$D$423))))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IF(Расчёт!$C$385=0,"Первая галочка — и месяц пошёл","Полных дней: "&amp;Расчёт!$G$385&amp;" · опыт за месяц: "&amp;Расчёт!$I$385)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IF(Расчёт!$D$423=0,"Испытание появится в воскресенье","Испытание: "&amp;INDEX('Старт'!$E$12:$E$18,MAX(1,Расчёт!$D$423))&amp;" "&amp;Расчёт!$E$423&amp;" из 5"&amp;IF(Расчёт!$F$423=1,"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SPARKLINE(Расчёт!$W$192:$W$222,{"charttype","column";"color","#22A35E";"empty","zero"})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"АВГ 2026"</f>
        <v/>
      </c>
      <c r="B1" s="17"/>
      <c r="C1" s="17"/>
      <c r="D1" s="17"/>
      <c r="E1" s="17"/>
      <c r="F1" s="18">
        <f>IF(Расчёт!$C$386=0,"Не идеально, а регулярно",ROUND(Расчёт!$F$386*100,0)&amp;"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$428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IF(AND(YEAR(Расчёт!$B$1)=2026,MONTH(Расчёт!$B$1)=8),5+DAY(Расчёт!$B$1),0)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IF(Расчёт!$A$223=0,"Сб 1","Сб 1"&amp;CHAR(10)&amp;Расчёт!$W$223&amp;"/"&amp;$I$5)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IF(Расчёт!$A$224=0,"Вс 2","Вс 2"&amp;CHAR(10)&amp;Расчёт!$W$224&amp;"/"&amp;$I$5)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IF(Расчёт!$A$225=0,"Пн 3","Пн 3"&amp;CHAR(10)&amp;Расчёт!$W$225&amp;"/"&amp;$I$5)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IF(Расчёт!$A$226=0,"Вт 4","Вт 4"&amp;CHAR(10)&amp;Расчёт!$W$226&amp;"/"&amp;$I$5)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IF(Расчёт!$A$227=0,"Ср 5","Ср 5"&amp;CHAR(10)&amp;Расчёт!$W$227&amp;"/"&amp;$I$5)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IF(Расчёт!$A$228=0,"Чт 6","Чт 6"&amp;CHAR(10)&amp;Расчёт!$W$228&amp;"/"&amp;$I$5)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IF(Расчёт!$A$229=0,"Пт 7","Пт 7"&amp;CHAR(10)&amp;Расчёт!$W$229&amp;"/"&amp;$I$5)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IF(Расчёт!$A$230=0,"Сб 8","Сб 8"&amp;CHAR(10)&amp;Расчёт!$W$230&amp;"/"&amp;$I$5)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IF(Расчёт!$A$231=0,"Вс 9","Вс 9"&amp;CHAR(10)&amp;Расчёт!$W$231&amp;"/"&amp;$I$5)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IF(Расчёт!$A$232=0,"Пн 10","Пн 10"&amp;CHAR(10)&amp;Расчёт!$W$232&amp;"/"&amp;$I$5)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IF(Расчёт!$A$233=0,"Вт 11","Вт 11"&amp;CHAR(10)&amp;Расчёт!$W$233&amp;"/"&amp;$I$5)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IF(Расчёт!$A$234=0,"Ср 12","Ср 12"&amp;CHAR(10)&amp;Расчёт!$W$234&amp;"/"&amp;$I$5)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IF(Расчёт!$A$235=0,"Чт 13","Чт 13"&amp;CHAR(10)&amp;Расчёт!$W$235&amp;"/"&amp;$I$5)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IF(Расчёт!$A$236=0,"Пт 14","Пт 14"&amp;CHAR(10)&amp;Расчёт!$W$236&amp;"/"&amp;$I$5)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IF(Расчёт!$A$237=0,"Сб 15","Сб 15"&amp;CHAR(10)&amp;Расчёт!$W$237&amp;"/"&amp;$I$5)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IF(Расчёт!$A$238=0,"Вс 16","Вс 16"&amp;CHAR(10)&amp;Расчёт!$W$238&amp;"/"&amp;$I$5)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IF(Расчёт!$A$239=0,"Пн 17","Пн 17"&amp;CHAR(10)&amp;Расчёт!$W$239&amp;"/"&amp;$I$5)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IF(Расчёт!$A$240=0,"Вт 18","Вт 18"&amp;CHAR(10)&amp;Расчёт!$W$240&amp;"/"&amp;$I$5)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IF(Расчёт!$A$241=0,"Ср 19","Ср 19"&amp;CHAR(10)&amp;Расчёт!$W$241&amp;"/"&amp;$I$5)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IF(Расчёт!$A$242=0,"Чт 20","Чт 20"&amp;CHAR(10)&amp;Расчёт!$W$242&amp;"/"&amp;$I$5)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IF(Расчёт!$A$243=0,"Пт 21","Пт 21"&amp;CHAR(10)&amp;Расчёт!$W$243&amp;"/"&amp;$I$5)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IF(Расчёт!$A$244=0,"Сб 22","Сб 22"&amp;CHAR(10)&amp;Расчёт!$W$244&amp;"/"&amp;$I$5)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IF(Расчёт!$A$245=0,"Вс 23","Вс 23"&amp;CHAR(10)&amp;Расчёт!$W$245&amp;"/"&amp;$I$5)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IF(Расчёт!$A$246=0,"Пн 24","Пн 24"&amp;CHAR(10)&amp;Расчёт!$W$246&amp;"/"&amp;$I$5)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IF(Расчёт!$A$247=0,"Вт 25","Вт 25"&amp;CHAR(10)&amp;Расчёт!$W$247&amp;"/"&amp;$I$5)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IF(Расчёт!$A$248=0,"Ср 26","Ср 26"&amp;CHAR(10)&amp;Расчёт!$W$248&amp;"/"&amp;$I$5)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IF(Расчёт!$A$249=0,"Чт 27","Чт 27"&amp;CHAR(10)&amp;Расчёт!$W$249&amp;"/"&amp;$I$5)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IF(Расчёт!$A$250=0,"Пт 28","Пт 28"&amp;CHAR(10)&amp;Расчёт!$W$250&amp;"/"&amp;$I$5)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IF(Расчёт!$A$251=0,"Сб 29","Сб 29"&amp;CHAR(10)&amp;Расчёт!$W$251&amp;"/"&amp;$I$5)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IF(Расчёт!$A$252=0,"Вс 30","Вс 30"&amp;CHAR(10)&amp;Расчёт!$W$252&amp;"/"&amp;$I$5)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IF(Расчёт!$A$253=0,"Пн 31","Пн 31"&amp;CHAR(10)&amp;Расчёт!$W$253&amp;"/"&amp;$I$5)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IF('Старт'!$B$12="","",SUM(Расчёт!$B$223:$B$253)&amp;"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IF('Старт'!$B$12="","",MAX(Расчёт!$I$223:$I$253))</f>
        <v/>
      </c>
      <c r="K39" s="32">
        <f>IF(OR('Старт'!$B$12="",Расчёт!$C$386=0),"",MIN(1,SUM(Расчёт!$B$223:$B$253)/MAX(1,ROUND(IF('Старт'!$F$12="",7,'Старт'!$F$12)*31/7,0)*Расчёт!$C$386/31)))</f>
        <v/>
      </c>
      <c r="L39" s="33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IF('Старт'!$B$13="","",SUM(Расчёт!$C$223:$C$253)&amp;"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IF('Старт'!$B$13="","",MAX(Расчёт!$J$223:$J$253))</f>
        <v/>
      </c>
      <c r="K40" s="32">
        <f>IF(OR('Старт'!$B$13="",Расчёт!$C$386=0),"",MIN(1,SUM(Расчёт!$C$223:$C$253)/MAX(1,ROUND(IF('Старт'!$F$13="",7,'Старт'!$F$13)*31/7,0)*Расчёт!$C$386/31)))</f>
        <v/>
      </c>
      <c r="L40" s="33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IF('Старт'!$B$14="","",SUM(Расчёт!$D$223:$D$253)&amp;"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IF('Старт'!$B$14="","",MAX(Расчёт!$K$223:$K$253))</f>
        <v/>
      </c>
      <c r="K41" s="32">
        <f>IF(OR('Старт'!$B$14="",Расчёт!$C$386=0),"",MIN(1,SUM(Расчёт!$D$223:$D$253)/MAX(1,ROUND(IF('Старт'!$F$14="",7,'Старт'!$F$14)*31/7,0)*Расчёт!$C$386/31)))</f>
        <v/>
      </c>
      <c r="L41" s="33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IF('Старт'!$B$15="","",SUM(Расчёт!$E$223:$E$253)&amp;"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IF('Старт'!$B$15="","",MAX(Расчёт!$L$223:$L$253))</f>
        <v/>
      </c>
      <c r="K42" s="32">
        <f>IF(OR('Старт'!$B$15="",Расчёт!$C$386=0),"",MIN(1,SUM(Расчёт!$E$223:$E$253)/MAX(1,ROUND(IF('Старт'!$F$15="",7,'Старт'!$F$15)*31/7,0)*Расчёт!$C$386/31)))</f>
        <v/>
      </c>
      <c r="L42" s="33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IF('Старт'!$B$16="","",SUM(Расчёт!$F$223:$F$253)&amp;"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IF('Старт'!$B$16="","",MAX(Расчёт!$M$223:$M$253))</f>
        <v/>
      </c>
      <c r="K43" s="32">
        <f>IF(OR('Старт'!$B$16="",Расчёт!$C$386=0),"",MIN(1,SUM(Расчёт!$F$223:$F$253)/MAX(1,ROUND(IF('Старт'!$F$16="",7,'Старт'!$F$16)*31/7,0)*Расчёт!$C$386/31)))</f>
        <v/>
      </c>
      <c r="L43" s="33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IF('Старт'!$B$17="","",SUM(Расчёт!$G$223:$G$253)&amp;"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IF('Старт'!$B$17="","",MAX(Расчёт!$N$223:$N$253))</f>
        <v/>
      </c>
      <c r="K44" s="32">
        <f>IF(OR('Старт'!$B$17="",Расчёт!$C$386=0),"",MIN(1,SUM(Расчёт!$G$223:$G$253)/MAX(1,ROUND(IF('Старт'!$F$17="",7,'Старт'!$F$17)*31/7,0)*Расчёт!$C$386/31)))</f>
        <v/>
      </c>
      <c r="L44" s="33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IF('Старт'!$B$18="","",SUM(Расчёт!$H$223:$H$253)&amp;"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IF('Старт'!$B$18="","",MAX(Расчёт!$O$223:$O$253))</f>
        <v/>
      </c>
      <c r="K45" s="32">
        <f>IF(OR('Старт'!$B$18="",Расчёт!$C$386=0),"",MIN(1,SUM(Расчёт!$H$223:$H$253)/MAX(1,ROUND(IF('Старт'!$F$18="",7,'Старт'!$F$18)*31/7,0)*Расчёт!$C$386/31)))</f>
        <v/>
      </c>
      <c r="L45" s="33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IF(Расчёт!$H$428=0,"Первая неделя закроется в воскресенье","Неделя · "&amp;Расчёт!$G$428&amp;" из "&amp;Расчёт!$H$428&amp;IF(Расчёт!$I$428=0,""," · прошлая "&amp;ROUND(MIN(1,Расчёт!$I$428/MAX(1,Расчёт!$H$427))*100,0)&amp;"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IF(OR(Расчёт!$D$428=0,Расчёт!$H$428=0),"","Просело: "&amp;INDEX('Старт'!$E$12:$E$18,MAX(1,Расчёт!$D$428))&amp;" — "&amp;IF(INDEX('Старт'!$B$20:$B$26,MAX(1,Расчёт!$D$428))="","подтяни на этой неделе",INDEX('Старт'!$B$20:$B$26,MAX(1,Расчёт!$D$428))))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IF(Расчёт!$C$386=0,"Первая галочка — и месяц пошёл","Полных дней: "&amp;Расчёт!$G$386&amp;" · опыт за месяц: "&amp;Расчёт!$I$386)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IF(Расчёт!$D$428=0,"Испытание появится в воскресенье","Испытание: "&amp;INDEX('Старт'!$E$12:$E$18,MAX(1,Расчёт!$D$428))&amp;" "&amp;Расчёт!$E$428&amp;" из 5"&amp;IF(Расчёт!$F$428=1,"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SPARKLINE(Расчёт!$W$223:$W$253,{"charttype","column";"color","#22A35E";"empty","zero"})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"СЕН 2026"</f>
        <v/>
      </c>
      <c r="B1" s="17"/>
      <c r="C1" s="17"/>
      <c r="D1" s="17"/>
      <c r="E1" s="17"/>
      <c r="F1" s="18">
        <f>IF(Расчёт!$C$387=0,"Не идеально, а регулярно",ROUND(Расчёт!$F$387*100,0)&amp;"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$431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IF(AND(YEAR(Расчёт!$B$1)=2026,MONTH(Расчёт!$B$1)=9),5+DAY(Расчёт!$B$1),0)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IF(Расчёт!$A$254=0,"Вт 1","Вт 1"&amp;CHAR(10)&amp;Расчёт!$W$254&amp;"/"&amp;$I$5)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IF(Расчёт!$A$255=0,"Ср 2","Ср 2"&amp;CHAR(10)&amp;Расчёт!$W$255&amp;"/"&amp;$I$5)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IF(Расчёт!$A$256=0,"Чт 3","Чт 3"&amp;CHAR(10)&amp;Расчёт!$W$256&amp;"/"&amp;$I$5)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IF(Расчёт!$A$257=0,"Пт 4","Пт 4"&amp;CHAR(10)&amp;Расчёт!$W$257&amp;"/"&amp;$I$5)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IF(Расчёт!$A$258=0,"Сб 5","Сб 5"&amp;CHAR(10)&amp;Расчёт!$W$258&amp;"/"&amp;$I$5)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IF(Расчёт!$A$259=0,"Вс 6","Вс 6"&amp;CHAR(10)&amp;Расчёт!$W$259&amp;"/"&amp;$I$5)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IF(Расчёт!$A$260=0,"Пн 7","Пн 7"&amp;CHAR(10)&amp;Расчёт!$W$260&amp;"/"&amp;$I$5)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IF(Расчёт!$A$261=0,"Вт 8","Вт 8"&amp;CHAR(10)&amp;Расчёт!$W$261&amp;"/"&amp;$I$5)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IF(Расчёт!$A$262=0,"Ср 9","Ср 9"&amp;CHAR(10)&amp;Расчёт!$W$262&amp;"/"&amp;$I$5)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IF(Расчёт!$A$263=0,"Чт 10","Чт 10"&amp;CHAR(10)&amp;Расчёт!$W$263&amp;"/"&amp;$I$5)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IF(Расчёт!$A$264=0,"Пт 11","Пт 11"&amp;CHAR(10)&amp;Расчёт!$W$264&amp;"/"&amp;$I$5)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IF(Расчёт!$A$265=0,"Сб 12","Сб 12"&amp;CHAR(10)&amp;Расчёт!$W$265&amp;"/"&amp;$I$5)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IF(Расчёт!$A$266=0,"Вс 13","Вс 13"&amp;CHAR(10)&amp;Расчёт!$W$266&amp;"/"&amp;$I$5)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IF(Расчёт!$A$267=0,"Пн 14","Пн 14"&amp;CHAR(10)&amp;Расчёт!$W$267&amp;"/"&amp;$I$5)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IF(Расчёт!$A$268=0,"Вт 15","Вт 15"&amp;CHAR(10)&amp;Расчёт!$W$268&amp;"/"&amp;$I$5)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IF(Расчёт!$A$269=0,"Ср 16","Ср 16"&amp;CHAR(10)&amp;Расчёт!$W$269&amp;"/"&amp;$I$5)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IF(Расчёт!$A$270=0,"Чт 17","Чт 17"&amp;CHAR(10)&amp;Расчёт!$W$270&amp;"/"&amp;$I$5)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IF(Расчёт!$A$271=0,"Пт 18","Пт 18"&amp;CHAR(10)&amp;Расчёт!$W$271&amp;"/"&amp;$I$5)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IF(Расчёт!$A$272=0,"Сб 19","Сб 19"&amp;CHAR(10)&amp;Расчёт!$W$272&amp;"/"&amp;$I$5)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IF(Расчёт!$A$273=0,"Вс 20","Вс 20"&amp;CHAR(10)&amp;Расчёт!$W$273&amp;"/"&amp;$I$5)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IF(Расчёт!$A$274=0,"Пн 21","Пн 21"&amp;CHAR(10)&amp;Расчёт!$W$274&amp;"/"&amp;$I$5)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IF(Расчёт!$A$275=0,"Вт 22","Вт 22"&amp;CHAR(10)&amp;Расчёт!$W$275&amp;"/"&amp;$I$5)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IF(Расчёт!$A$276=0,"Ср 23","Ср 23"&amp;CHAR(10)&amp;Расчёт!$W$276&amp;"/"&amp;$I$5)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IF(Расчёт!$A$277=0,"Чт 24","Чт 24"&amp;CHAR(10)&amp;Расчёт!$W$277&amp;"/"&amp;$I$5)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IF(Расчёт!$A$278=0,"Пт 25","Пт 25"&amp;CHAR(10)&amp;Расчёт!$W$278&amp;"/"&amp;$I$5)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IF(Расчёт!$A$279=0,"Сб 26","Сб 26"&amp;CHAR(10)&amp;Расчёт!$W$279&amp;"/"&amp;$I$5)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IF(Расчёт!$A$280=0,"Вс 27","Вс 27"&amp;CHAR(10)&amp;Расчёт!$W$280&amp;"/"&amp;$I$5)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IF(Расчёт!$A$281=0,"Пн 28","Пн 28"&amp;CHAR(10)&amp;Расчёт!$W$281&amp;"/"&amp;$I$5)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IF(Расчёт!$A$282=0,"Вт 29","Вт 29"&amp;CHAR(10)&amp;Расчёт!$W$282&amp;"/"&amp;$I$5)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IF(Расчёт!$A$283=0,"Ср 30","Ср 30"&amp;CHAR(10)&amp;Расчёт!$W$283&amp;"/"&amp;$I$5)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IF('Старт'!$B$12="","",SUM(Расчёт!$B$254:$B$283)&amp;"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IF('Старт'!$B$12="","",MAX(Расчёт!$I$254:$I$283))</f>
        <v/>
      </c>
      <c r="K39" s="32">
        <f>IF(OR('Старт'!$B$12="",Расчёт!$C$387=0),"",MIN(1,SUM(Расчёт!$B$254:$B$283)/MAX(1,ROUND(IF('Старт'!$F$12="",7,'Старт'!$F$12)*30/7,0)*Расчёт!$C$387/30)))</f>
        <v/>
      </c>
      <c r="L39" s="33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IF('Старт'!$B$13="","",SUM(Расчёт!$C$254:$C$283)&amp;"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IF('Старт'!$B$13="","",MAX(Расчёт!$J$254:$J$283))</f>
        <v/>
      </c>
      <c r="K40" s="32">
        <f>IF(OR('Старт'!$B$13="",Расчёт!$C$387=0),"",MIN(1,SUM(Расчёт!$C$254:$C$283)/MAX(1,ROUND(IF('Старт'!$F$13="",7,'Старт'!$F$13)*30/7,0)*Расчёт!$C$387/30)))</f>
        <v/>
      </c>
      <c r="L40" s="33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IF('Старт'!$B$14="","",SUM(Расчёт!$D$254:$D$283)&amp;"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IF('Старт'!$B$14="","",MAX(Расчёт!$K$254:$K$283))</f>
        <v/>
      </c>
      <c r="K41" s="32">
        <f>IF(OR('Старт'!$B$14="",Расчёт!$C$387=0),"",MIN(1,SUM(Расчёт!$D$254:$D$283)/MAX(1,ROUND(IF('Старт'!$F$14="",7,'Старт'!$F$14)*30/7,0)*Расчёт!$C$387/30)))</f>
        <v/>
      </c>
      <c r="L41" s="33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IF('Старт'!$B$15="","",SUM(Расчёт!$E$254:$E$283)&amp;"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IF('Старт'!$B$15="","",MAX(Расчёт!$L$254:$L$283))</f>
        <v/>
      </c>
      <c r="K42" s="32">
        <f>IF(OR('Старт'!$B$15="",Расчёт!$C$387=0),"",MIN(1,SUM(Расчёт!$E$254:$E$283)/MAX(1,ROUND(IF('Старт'!$F$15="",7,'Старт'!$F$15)*30/7,0)*Расчёт!$C$387/30)))</f>
        <v/>
      </c>
      <c r="L42" s="33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IF('Старт'!$B$16="","",SUM(Расчёт!$F$254:$F$283)&amp;"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IF('Старт'!$B$16="","",MAX(Расчёт!$M$254:$M$283))</f>
        <v/>
      </c>
      <c r="K43" s="32">
        <f>IF(OR('Старт'!$B$16="",Расчёт!$C$387=0),"",MIN(1,SUM(Расчёт!$F$254:$F$283)/MAX(1,ROUND(IF('Старт'!$F$16="",7,'Старт'!$F$16)*30/7,0)*Расчёт!$C$387/30)))</f>
        <v/>
      </c>
      <c r="L43" s="33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IF('Старт'!$B$17="","",SUM(Расчёт!$G$254:$G$283)&amp;"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IF('Старт'!$B$17="","",MAX(Расчёт!$N$254:$N$283))</f>
        <v/>
      </c>
      <c r="K44" s="32">
        <f>IF(OR('Старт'!$B$17="",Расчёт!$C$387=0),"",MIN(1,SUM(Расчёт!$G$254:$G$283)/MAX(1,ROUND(IF('Старт'!$F$17="",7,'Старт'!$F$17)*30/7,0)*Расчёт!$C$387/30)))</f>
        <v/>
      </c>
      <c r="L44" s="33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IF('Старт'!$B$18="","",SUM(Расчёт!$H$254:$H$283)&amp;"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IF('Старт'!$B$18="","",MAX(Расчёт!$O$254:$O$283))</f>
        <v/>
      </c>
      <c r="K45" s="32">
        <f>IF(OR('Старт'!$B$18="",Расчёт!$C$387=0),"",MIN(1,SUM(Расчёт!$H$254:$H$283)/MAX(1,ROUND(IF('Старт'!$F$18="",7,'Старт'!$F$18)*30/7,0)*Расчёт!$C$387/30)))</f>
        <v/>
      </c>
      <c r="L45" s="33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IF(Расчёт!$H$431=0,"Первая неделя закроется в воскресенье","Неделя · "&amp;Расчёт!$G$431&amp;" из "&amp;Расчёт!$H$431&amp;IF(Расчёт!$I$431=0,""," · прошлая "&amp;ROUND(MIN(1,Расчёт!$I$431/MAX(1,Расчёт!$H$430))*100,0)&amp;"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IF(OR(Расчёт!$D$431=0,Расчёт!$H$431=0),"","Просело: "&amp;INDEX('Старт'!$E$12:$E$18,MAX(1,Расчёт!$D$431))&amp;" — "&amp;IF(INDEX('Старт'!$B$20:$B$26,MAX(1,Расчёт!$D$431))="","подтяни на этой неделе",INDEX('Старт'!$B$20:$B$26,MAX(1,Расчёт!$D$431))))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IF(Расчёт!$C$387=0,"Первая галочка — и месяц пошёл","Полных дней: "&amp;Расчёт!$G$387&amp;" · опыт за месяц: "&amp;Расчёт!$I$387)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IF(Расчёт!$D$431=0,"Испытание появится в воскресенье","Испытание: "&amp;INDEX('Старт'!$E$12:$E$18,MAX(1,Расчёт!$D$431))&amp;" "&amp;Расчёт!$E$431&amp;" из 5"&amp;IF(Расчёт!$F$431=1,"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SPARKLINE(Расчёт!$W$254:$W$283,{"charttype","column";"color","#22A35E";"empty","zero"})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"ОКТ 2026"</f>
        <v/>
      </c>
      <c r="B1" s="17"/>
      <c r="C1" s="17"/>
      <c r="D1" s="17"/>
      <c r="E1" s="17"/>
      <c r="F1" s="18">
        <f>IF(Расчёт!$C$388=0,"Не идеально, а регулярно",ROUND(Расчёт!$F$388*100,0)&amp;"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$436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IF(AND(YEAR(Расчёт!$B$1)=2026,MONTH(Расчёт!$B$1)=10),5+DAY(Расчёт!$B$1),0)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IF(Расчёт!$A$284=0,"Чт 1","Чт 1"&amp;CHAR(10)&amp;Расчёт!$W$284&amp;"/"&amp;$I$5)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IF(Расчёт!$A$285=0,"Пт 2","Пт 2"&amp;CHAR(10)&amp;Расчёт!$W$285&amp;"/"&amp;$I$5)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IF(Расчёт!$A$286=0,"Сб 3","Сб 3"&amp;CHAR(10)&amp;Расчёт!$W$286&amp;"/"&amp;$I$5)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IF(Расчёт!$A$287=0,"Вс 4","Вс 4"&amp;CHAR(10)&amp;Расчёт!$W$287&amp;"/"&amp;$I$5)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IF(Расчёт!$A$288=0,"Пн 5","Пн 5"&amp;CHAR(10)&amp;Расчёт!$W$288&amp;"/"&amp;$I$5)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IF(Расчёт!$A$289=0,"Вт 6","Вт 6"&amp;CHAR(10)&amp;Расчёт!$W$289&amp;"/"&amp;$I$5)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IF(Расчёт!$A$290=0,"Ср 7","Ср 7"&amp;CHAR(10)&amp;Расчёт!$W$290&amp;"/"&amp;$I$5)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IF(Расчёт!$A$291=0,"Чт 8","Чт 8"&amp;CHAR(10)&amp;Расчёт!$W$291&amp;"/"&amp;$I$5)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IF(Расчёт!$A$292=0,"Пт 9","Пт 9"&amp;CHAR(10)&amp;Расчёт!$W$292&amp;"/"&amp;$I$5)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IF(Расчёт!$A$293=0,"Сб 10","Сб 10"&amp;CHAR(10)&amp;Расчёт!$W$293&amp;"/"&amp;$I$5)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IF(Расчёт!$A$294=0,"Вс 11","Вс 11"&amp;CHAR(10)&amp;Расчёт!$W$294&amp;"/"&amp;$I$5)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IF(Расчёт!$A$295=0,"Пн 12","Пн 12"&amp;CHAR(10)&amp;Расчёт!$W$295&amp;"/"&amp;$I$5)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IF(Расчёт!$A$296=0,"Вт 13","Вт 13"&amp;CHAR(10)&amp;Расчёт!$W$296&amp;"/"&amp;$I$5)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IF(Расчёт!$A$297=0,"Ср 14","Ср 14"&amp;CHAR(10)&amp;Расчёт!$W$297&amp;"/"&amp;$I$5)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IF(Расчёт!$A$298=0,"Чт 15","Чт 15"&amp;CHAR(10)&amp;Расчёт!$W$298&amp;"/"&amp;$I$5)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IF(Расчёт!$A$299=0,"Пт 16","Пт 16"&amp;CHAR(10)&amp;Расчёт!$W$299&amp;"/"&amp;$I$5)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IF(Расчёт!$A$300=0,"Сб 17","Сб 17"&amp;CHAR(10)&amp;Расчёт!$W$300&amp;"/"&amp;$I$5)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IF(Расчёт!$A$301=0,"Вс 18","Вс 18"&amp;CHAR(10)&amp;Расчёт!$W$301&amp;"/"&amp;$I$5)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IF(Расчёт!$A$302=0,"Пн 19","Пн 19"&amp;CHAR(10)&amp;Расчёт!$W$302&amp;"/"&amp;$I$5)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IF(Расчёт!$A$303=0,"Вт 20","Вт 20"&amp;CHAR(10)&amp;Расчёт!$W$303&amp;"/"&amp;$I$5)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IF(Расчёт!$A$304=0,"Ср 21","Ср 21"&amp;CHAR(10)&amp;Расчёт!$W$304&amp;"/"&amp;$I$5)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IF(Расчёт!$A$305=0,"Чт 22","Чт 22"&amp;CHAR(10)&amp;Расчёт!$W$305&amp;"/"&amp;$I$5)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IF(Расчёт!$A$306=0,"Пт 23","Пт 23"&amp;CHAR(10)&amp;Расчёт!$W$306&amp;"/"&amp;$I$5)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IF(Расчёт!$A$307=0,"Сб 24","Сб 24"&amp;CHAR(10)&amp;Расчёт!$W$307&amp;"/"&amp;$I$5)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IF(Расчёт!$A$308=0,"Вс 25","Вс 25"&amp;CHAR(10)&amp;Расчёт!$W$308&amp;"/"&amp;$I$5)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IF(Расчёт!$A$309=0,"Пн 26","Пн 26"&amp;CHAR(10)&amp;Расчёт!$W$309&amp;"/"&amp;$I$5)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IF(Расчёт!$A$310=0,"Вт 27","Вт 27"&amp;CHAR(10)&amp;Расчёт!$W$310&amp;"/"&amp;$I$5)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IF(Расчёт!$A$311=0,"Ср 28","Ср 28"&amp;CHAR(10)&amp;Расчёт!$W$311&amp;"/"&amp;$I$5)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IF(Расчёт!$A$312=0,"Чт 29","Чт 29"&amp;CHAR(10)&amp;Расчёт!$W$312&amp;"/"&amp;$I$5)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IF(Расчёт!$A$313=0,"Пт 30","Пт 30"&amp;CHAR(10)&amp;Расчёт!$W$313&amp;"/"&amp;$I$5)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IF(Расчёт!$A$314=0,"Сб 31","Сб 31"&amp;CHAR(10)&amp;Расчёт!$W$314&amp;"/"&amp;$I$5)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IF('Старт'!$B$12="","",SUM(Расчёт!$B$284:$B$314)&amp;"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IF('Старт'!$B$12="","",MAX(Расчёт!$I$284:$I$314))</f>
        <v/>
      </c>
      <c r="K39" s="32">
        <f>IF(OR('Старт'!$B$12="",Расчёт!$C$388=0),"",MIN(1,SUM(Расчёт!$B$284:$B$314)/MAX(1,ROUND(IF('Старт'!$F$12="",7,'Старт'!$F$12)*31/7,0)*Расчёт!$C$388/31)))</f>
        <v/>
      </c>
      <c r="L39" s="33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IF('Старт'!$B$13="","",SUM(Расчёт!$C$284:$C$314)&amp;"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IF('Старт'!$B$13="","",MAX(Расчёт!$J$284:$J$314))</f>
        <v/>
      </c>
      <c r="K40" s="32">
        <f>IF(OR('Старт'!$B$13="",Расчёт!$C$388=0),"",MIN(1,SUM(Расчёт!$C$284:$C$314)/MAX(1,ROUND(IF('Старт'!$F$13="",7,'Старт'!$F$13)*31/7,0)*Расчёт!$C$388/31)))</f>
        <v/>
      </c>
      <c r="L40" s="33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IF('Старт'!$B$14="","",SUM(Расчёт!$D$284:$D$314)&amp;"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IF('Старт'!$B$14="","",MAX(Расчёт!$K$284:$K$314))</f>
        <v/>
      </c>
      <c r="K41" s="32">
        <f>IF(OR('Старт'!$B$14="",Расчёт!$C$388=0),"",MIN(1,SUM(Расчёт!$D$284:$D$314)/MAX(1,ROUND(IF('Старт'!$F$14="",7,'Старт'!$F$14)*31/7,0)*Расчёт!$C$388/31)))</f>
        <v/>
      </c>
      <c r="L41" s="33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IF('Старт'!$B$15="","",SUM(Расчёт!$E$284:$E$314)&amp;"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IF('Старт'!$B$15="","",MAX(Расчёт!$L$284:$L$314))</f>
        <v/>
      </c>
      <c r="K42" s="32">
        <f>IF(OR('Старт'!$B$15="",Расчёт!$C$388=0),"",MIN(1,SUM(Расчёт!$E$284:$E$314)/MAX(1,ROUND(IF('Старт'!$F$15="",7,'Старт'!$F$15)*31/7,0)*Расчёт!$C$388/31)))</f>
        <v/>
      </c>
      <c r="L42" s="33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IF('Старт'!$B$16="","",SUM(Расчёт!$F$284:$F$314)&amp;"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IF('Старт'!$B$16="","",MAX(Расчёт!$M$284:$M$314))</f>
        <v/>
      </c>
      <c r="K43" s="32">
        <f>IF(OR('Старт'!$B$16="",Расчёт!$C$388=0),"",MIN(1,SUM(Расчёт!$F$284:$F$314)/MAX(1,ROUND(IF('Старт'!$F$16="",7,'Старт'!$F$16)*31/7,0)*Расчёт!$C$388/31)))</f>
        <v/>
      </c>
      <c r="L43" s="33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IF('Старт'!$B$17="","",SUM(Расчёт!$G$284:$G$314)&amp;"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IF('Старт'!$B$17="","",MAX(Расчёт!$N$284:$N$314))</f>
        <v/>
      </c>
      <c r="K44" s="32">
        <f>IF(OR('Старт'!$B$17="",Расчёт!$C$388=0),"",MIN(1,SUM(Расчёт!$G$284:$G$314)/MAX(1,ROUND(IF('Старт'!$F$17="",7,'Старт'!$F$17)*31/7,0)*Расчёт!$C$388/31)))</f>
        <v/>
      </c>
      <c r="L44" s="33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IF('Старт'!$B$18="","",SUM(Расчёт!$H$284:$H$314)&amp;"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IF('Старт'!$B$18="","",MAX(Расчёт!$O$284:$O$314))</f>
        <v/>
      </c>
      <c r="K45" s="32">
        <f>IF(OR('Старт'!$B$18="",Расчёт!$C$388=0),"",MIN(1,SUM(Расчёт!$H$284:$H$314)/MAX(1,ROUND(IF('Старт'!$F$18="",7,'Старт'!$F$18)*31/7,0)*Расчёт!$C$388/31)))</f>
        <v/>
      </c>
      <c r="L45" s="33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IF(Расчёт!$H$436=0,"Первая неделя закроется в воскресенье","Неделя · "&amp;Расчёт!$G$436&amp;" из "&amp;Расчёт!$H$436&amp;IF(Расчёт!$I$436=0,""," · прошлая "&amp;ROUND(MIN(1,Расчёт!$I$436/MAX(1,Расчёт!$H$435))*100,0)&amp;"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IF(OR(Расчёт!$D$436=0,Расчёт!$H$436=0),"","Просело: "&amp;INDEX('Старт'!$E$12:$E$18,MAX(1,Расчёт!$D$436))&amp;" — "&amp;IF(INDEX('Старт'!$B$20:$B$26,MAX(1,Расчёт!$D$436))="","подтяни на этой неделе",INDEX('Старт'!$B$20:$B$26,MAX(1,Расчёт!$D$436))))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IF(Расчёт!$C$388=0,"Первая галочка — и месяц пошёл","Полных дней: "&amp;Расчёт!$G$388&amp;" · опыт за месяц: "&amp;Расчёт!$I$388)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IF(Расчёт!$D$436=0,"Испытание появится в воскресенье","Испытание: "&amp;INDEX('Старт'!$E$12:$E$18,MAX(1,Расчёт!$D$436))&amp;" "&amp;Расчёт!$E$436&amp;" из 5"&amp;IF(Расчёт!$F$436=1,"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SPARKLINE(Расчёт!$W$284:$W$314,{"charttype","column";"color","#22A35E";"empty","zero"})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"НОЯ 2026"</f>
        <v/>
      </c>
      <c r="B1" s="17"/>
      <c r="C1" s="17"/>
      <c r="D1" s="17"/>
      <c r="E1" s="17"/>
      <c r="F1" s="18">
        <f>IF(Расчёт!$C$389=0,"Не идеально, а регулярно",ROUND(Расчёт!$F$389*100,0)&amp;"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$441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IF(AND(YEAR(Расчёт!$B$1)=2026,MONTH(Расчёт!$B$1)=11),5+DAY(Расчёт!$B$1),0)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IF(Расчёт!$A$315=0,"Вс 1","Вс 1"&amp;CHAR(10)&amp;Расчёт!$W$315&amp;"/"&amp;$I$5)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IF(Расчёт!$A$316=0,"Пн 2","Пн 2"&amp;CHAR(10)&amp;Расчёт!$W$316&amp;"/"&amp;$I$5)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IF(Расчёт!$A$317=0,"Вт 3","Вт 3"&amp;CHAR(10)&amp;Расчёт!$W$317&amp;"/"&amp;$I$5)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IF(Расчёт!$A$318=0,"Ср 4","Ср 4"&amp;CHAR(10)&amp;Расчёт!$W$318&amp;"/"&amp;$I$5)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IF(Расчёт!$A$319=0,"Чт 5","Чт 5"&amp;CHAR(10)&amp;Расчёт!$W$319&amp;"/"&amp;$I$5)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IF(Расчёт!$A$320=0,"Пт 6","Пт 6"&amp;CHAR(10)&amp;Расчёт!$W$320&amp;"/"&amp;$I$5)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IF(Расчёт!$A$321=0,"Сб 7","Сб 7"&amp;CHAR(10)&amp;Расчёт!$W$321&amp;"/"&amp;$I$5)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IF(Расчёт!$A$322=0,"Вс 8","Вс 8"&amp;CHAR(10)&amp;Расчёт!$W$322&amp;"/"&amp;$I$5)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IF(Расчёт!$A$323=0,"Пн 9","Пн 9"&amp;CHAR(10)&amp;Расчёт!$W$323&amp;"/"&amp;$I$5)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IF(Расчёт!$A$324=0,"Вт 10","Вт 10"&amp;CHAR(10)&amp;Расчёт!$W$324&amp;"/"&amp;$I$5)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IF(Расчёт!$A$325=0,"Ср 11","Ср 11"&amp;CHAR(10)&amp;Расчёт!$W$325&amp;"/"&amp;$I$5)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IF(Расчёт!$A$326=0,"Чт 12","Чт 12"&amp;CHAR(10)&amp;Расчёт!$W$326&amp;"/"&amp;$I$5)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IF(Расчёт!$A$327=0,"Пт 13","Пт 13"&amp;CHAR(10)&amp;Расчёт!$W$327&amp;"/"&amp;$I$5)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IF(Расчёт!$A$328=0,"Сб 14","Сб 14"&amp;CHAR(10)&amp;Расчёт!$W$328&amp;"/"&amp;$I$5)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IF(Расчёт!$A$329=0,"Вс 15","Вс 15"&amp;CHAR(10)&amp;Расчёт!$W$329&amp;"/"&amp;$I$5)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IF(Расчёт!$A$330=0,"Пн 16","Пн 16"&amp;CHAR(10)&amp;Расчёт!$W$330&amp;"/"&amp;$I$5)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IF(Расчёт!$A$331=0,"Вт 17","Вт 17"&amp;CHAR(10)&amp;Расчёт!$W$331&amp;"/"&amp;$I$5)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IF(Расчёт!$A$332=0,"Ср 18","Ср 18"&amp;CHAR(10)&amp;Расчёт!$W$332&amp;"/"&amp;$I$5)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IF(Расчёт!$A$333=0,"Чт 19","Чт 19"&amp;CHAR(10)&amp;Расчёт!$W$333&amp;"/"&amp;$I$5)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IF(Расчёт!$A$334=0,"Пт 20","Пт 20"&amp;CHAR(10)&amp;Расчёт!$W$334&amp;"/"&amp;$I$5)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IF(Расчёт!$A$335=0,"Сб 21","Сб 21"&amp;CHAR(10)&amp;Расчёт!$W$335&amp;"/"&amp;$I$5)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IF(Расчёт!$A$336=0,"Вс 22","Вс 22"&amp;CHAR(10)&amp;Расчёт!$W$336&amp;"/"&amp;$I$5)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IF(Расчёт!$A$337=0,"Пн 23","Пн 23"&amp;CHAR(10)&amp;Расчёт!$W$337&amp;"/"&amp;$I$5)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IF(Расчёт!$A$338=0,"Вт 24","Вт 24"&amp;CHAR(10)&amp;Расчёт!$W$338&amp;"/"&amp;$I$5)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IF(Расчёт!$A$339=0,"Ср 25","Ср 25"&amp;CHAR(10)&amp;Расчёт!$W$339&amp;"/"&amp;$I$5)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IF(Расчёт!$A$340=0,"Чт 26","Чт 26"&amp;CHAR(10)&amp;Расчёт!$W$340&amp;"/"&amp;$I$5)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IF(Расчёт!$A$341=0,"Пт 27","Пт 27"&amp;CHAR(10)&amp;Расчёт!$W$341&amp;"/"&amp;$I$5)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IF(Расчёт!$A$342=0,"Сб 28","Сб 28"&amp;CHAR(10)&amp;Расчёт!$W$342&amp;"/"&amp;$I$5)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IF(Расчёт!$A$343=0,"Вс 29","Вс 29"&amp;CHAR(10)&amp;Расчёт!$W$343&amp;"/"&amp;$I$5)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IF(Расчёт!$A$344=0,"Пн 30","Пн 30"&amp;CHAR(10)&amp;Расчёт!$W$344&amp;"/"&amp;$I$5)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IF('Старт'!$B$12="","",SUM(Расчёт!$B$315:$B$344)&amp;"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IF('Старт'!$B$12="","",MAX(Расчёт!$I$315:$I$344))</f>
        <v/>
      </c>
      <c r="K39" s="32">
        <f>IF(OR('Старт'!$B$12="",Расчёт!$C$389=0),"",MIN(1,SUM(Расчёт!$B$315:$B$344)/MAX(1,ROUND(IF('Старт'!$F$12="",7,'Старт'!$F$12)*30/7,0)*Расчёт!$C$389/30)))</f>
        <v/>
      </c>
      <c r="L39" s="33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IF('Старт'!$B$13="","",SUM(Расчёт!$C$315:$C$344)&amp;"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IF('Старт'!$B$13="","",MAX(Расчёт!$J$315:$J$344))</f>
        <v/>
      </c>
      <c r="K40" s="32">
        <f>IF(OR('Старт'!$B$13="",Расчёт!$C$389=0),"",MIN(1,SUM(Расчёт!$C$315:$C$344)/MAX(1,ROUND(IF('Старт'!$F$13="",7,'Старт'!$F$13)*30/7,0)*Расчёт!$C$389/30)))</f>
        <v/>
      </c>
      <c r="L40" s="33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IF('Старт'!$B$14="","",SUM(Расчёт!$D$315:$D$344)&amp;"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IF('Старт'!$B$14="","",MAX(Расчёт!$K$315:$K$344))</f>
        <v/>
      </c>
      <c r="K41" s="32">
        <f>IF(OR('Старт'!$B$14="",Расчёт!$C$389=0),"",MIN(1,SUM(Расчёт!$D$315:$D$344)/MAX(1,ROUND(IF('Старт'!$F$14="",7,'Старт'!$F$14)*30/7,0)*Расчёт!$C$389/30)))</f>
        <v/>
      </c>
      <c r="L41" s="33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IF('Старт'!$B$15="","",SUM(Расчёт!$E$315:$E$344)&amp;"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IF('Старт'!$B$15="","",MAX(Расчёт!$L$315:$L$344))</f>
        <v/>
      </c>
      <c r="K42" s="32">
        <f>IF(OR('Старт'!$B$15="",Расчёт!$C$389=0),"",MIN(1,SUM(Расчёт!$E$315:$E$344)/MAX(1,ROUND(IF('Старт'!$F$15="",7,'Старт'!$F$15)*30/7,0)*Расчёт!$C$389/30)))</f>
        <v/>
      </c>
      <c r="L42" s="33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IF('Старт'!$B$16="","",SUM(Расчёт!$F$315:$F$344)&amp;"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IF('Старт'!$B$16="","",MAX(Расчёт!$M$315:$M$344))</f>
        <v/>
      </c>
      <c r="K43" s="32">
        <f>IF(OR('Старт'!$B$16="",Расчёт!$C$389=0),"",MIN(1,SUM(Расчёт!$F$315:$F$344)/MAX(1,ROUND(IF('Старт'!$F$16="",7,'Старт'!$F$16)*30/7,0)*Расчёт!$C$389/30)))</f>
        <v/>
      </c>
      <c r="L43" s="33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IF('Старт'!$B$17="","",SUM(Расчёт!$G$315:$G$344)&amp;"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IF('Старт'!$B$17="","",MAX(Расчёт!$N$315:$N$344))</f>
        <v/>
      </c>
      <c r="K44" s="32">
        <f>IF(OR('Старт'!$B$17="",Расчёт!$C$389=0),"",MIN(1,SUM(Расчёт!$G$315:$G$344)/MAX(1,ROUND(IF('Старт'!$F$17="",7,'Старт'!$F$17)*30/7,0)*Расчёт!$C$389/30)))</f>
        <v/>
      </c>
      <c r="L44" s="33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IF('Старт'!$B$18="","",SUM(Расчёт!$H$315:$H$344)&amp;"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IF('Старт'!$B$18="","",MAX(Расчёт!$O$315:$O$344))</f>
        <v/>
      </c>
      <c r="K45" s="32">
        <f>IF(OR('Старт'!$B$18="",Расчёт!$C$389=0),"",MIN(1,SUM(Расчёт!$H$315:$H$344)/MAX(1,ROUND(IF('Старт'!$F$18="",7,'Старт'!$F$18)*30/7,0)*Расчёт!$C$389/30)))</f>
        <v/>
      </c>
      <c r="L45" s="33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IF(Расчёт!$H$441=0,"Первая неделя закроется в воскресенье","Неделя · "&amp;Расчёт!$G$441&amp;" из "&amp;Расчёт!$H$441&amp;IF(Расчёт!$I$441=0,""," · прошлая "&amp;ROUND(MIN(1,Расчёт!$I$441/MAX(1,Расчёт!$H$440))*100,0)&amp;"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IF(OR(Расчёт!$D$441=0,Расчёт!$H$441=0),"","Просело: "&amp;INDEX('Старт'!$E$12:$E$18,MAX(1,Расчёт!$D$441))&amp;" — "&amp;IF(INDEX('Старт'!$B$20:$B$26,MAX(1,Расчёт!$D$441))="","подтяни на этой неделе",INDEX('Старт'!$B$20:$B$26,MAX(1,Расчёт!$D$441))))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IF(Расчёт!$C$389=0,"Первая галочка — и месяц пошёл","Полных дней: "&amp;Расчёт!$G$389&amp;" · опыт за месяц: "&amp;Расчёт!$I$389)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IF(Расчёт!$D$441=0,"Испытание появится в воскресенье","Испытание: "&amp;INDEX('Старт'!$E$12:$E$18,MAX(1,Расчёт!$D$441))&amp;" "&amp;Расчёт!$E$441&amp;" из 5"&amp;IF(Расчёт!$F$441=1,"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SPARKLINE(Расчёт!$W$315:$W$344,{"charttype","column";"color","#22A35E";"empty","zero"})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"ДЕК 2026"</f>
        <v/>
      </c>
      <c r="B1" s="17"/>
      <c r="C1" s="17"/>
      <c r="D1" s="17"/>
      <c r="E1" s="17"/>
      <c r="F1" s="18">
        <f>IF(Расчёт!$C$390=0,"Не идеально, а регулярно",ROUND(Расчёт!$F$390*100,0)&amp;"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$445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IF(AND(YEAR(Расчёт!$B$1)=2026,MONTH(Расчёт!$B$1)=12),5+DAY(Расчёт!$B$1),0)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IF(Расчёт!$A$345=0,"Вт 1","Вт 1"&amp;CHAR(10)&amp;Расчёт!$W$345&amp;"/"&amp;$I$5)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IF(Расчёт!$A$346=0,"Ср 2","Ср 2"&amp;CHAR(10)&amp;Расчёт!$W$346&amp;"/"&amp;$I$5)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IF(Расчёт!$A$347=0,"Чт 3","Чт 3"&amp;CHAR(10)&amp;Расчёт!$W$347&amp;"/"&amp;$I$5)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IF(Расчёт!$A$348=0,"Пт 4","Пт 4"&amp;CHAR(10)&amp;Расчёт!$W$348&amp;"/"&amp;$I$5)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IF(Расчёт!$A$349=0,"Сб 5","Сб 5"&amp;CHAR(10)&amp;Расчёт!$W$349&amp;"/"&amp;$I$5)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IF(Расчёт!$A$350=0,"Вс 6","Вс 6"&amp;CHAR(10)&amp;Расчёт!$W$350&amp;"/"&amp;$I$5)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IF(Расчёт!$A$351=0,"Пн 7","Пн 7"&amp;CHAR(10)&amp;Расчёт!$W$351&amp;"/"&amp;$I$5)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IF(Расчёт!$A$352=0,"Вт 8","Вт 8"&amp;CHAR(10)&amp;Расчёт!$W$352&amp;"/"&amp;$I$5)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IF(Расчёт!$A$353=0,"Ср 9","Ср 9"&amp;CHAR(10)&amp;Расчёт!$W$353&amp;"/"&amp;$I$5)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IF(Расчёт!$A$354=0,"Чт 10","Чт 10"&amp;CHAR(10)&amp;Расчёт!$W$354&amp;"/"&amp;$I$5)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IF(Расчёт!$A$355=0,"Пт 11","Пт 11"&amp;CHAR(10)&amp;Расчёт!$W$355&amp;"/"&amp;$I$5)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IF(Расчёт!$A$356=0,"Сб 12","Сб 12"&amp;CHAR(10)&amp;Расчёт!$W$356&amp;"/"&amp;$I$5)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IF(Расчёт!$A$357=0,"Вс 13","Вс 13"&amp;CHAR(10)&amp;Расчёт!$W$357&amp;"/"&amp;$I$5)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IF(Расчёт!$A$358=0,"Пн 14","Пн 14"&amp;CHAR(10)&amp;Расчёт!$W$358&amp;"/"&amp;$I$5)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IF(Расчёт!$A$359=0,"Вт 15","Вт 15"&amp;CHAR(10)&amp;Расчёт!$W$359&amp;"/"&amp;$I$5)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IF(Расчёт!$A$360=0,"Ср 16","Ср 16"&amp;CHAR(10)&amp;Расчёт!$W$360&amp;"/"&amp;$I$5)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IF(Расчёт!$A$361=0,"Чт 17","Чт 17"&amp;CHAR(10)&amp;Расчёт!$W$361&amp;"/"&amp;$I$5)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IF(Расчёт!$A$362=0,"Пт 18","Пт 18"&amp;CHAR(10)&amp;Расчёт!$W$362&amp;"/"&amp;$I$5)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IF(Расчёт!$A$363=0,"Сб 19","Сб 19"&amp;CHAR(10)&amp;Расчёт!$W$363&amp;"/"&amp;$I$5)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IF(Расчёт!$A$364=0,"Вс 20","Вс 20"&amp;CHAR(10)&amp;Расчёт!$W$364&amp;"/"&amp;$I$5)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IF(Расчёт!$A$365=0,"Пн 21","Пн 21"&amp;CHAR(10)&amp;Расчёт!$W$365&amp;"/"&amp;$I$5)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IF(Расчёт!$A$366=0,"Вт 22","Вт 22"&amp;CHAR(10)&amp;Расчёт!$W$366&amp;"/"&amp;$I$5)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IF(Расчёт!$A$367=0,"Ср 23","Ср 23"&amp;CHAR(10)&amp;Расчёт!$W$367&amp;"/"&amp;$I$5)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IF(Расчёт!$A$368=0,"Чт 24","Чт 24"&amp;CHAR(10)&amp;Расчёт!$W$368&amp;"/"&amp;$I$5)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IF(Расчёт!$A$369=0,"Пт 25","Пт 25"&amp;CHAR(10)&amp;Расчёт!$W$369&amp;"/"&amp;$I$5)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IF(Расчёт!$A$370=0,"Сб 26","Сб 26"&amp;CHAR(10)&amp;Расчёт!$W$370&amp;"/"&amp;$I$5)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IF(Расчёт!$A$371=0,"Вс 27","Вс 27"&amp;CHAR(10)&amp;Расчёт!$W$371&amp;"/"&amp;$I$5)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IF(Расчёт!$A$372=0,"Пн 28","Пн 28"&amp;CHAR(10)&amp;Расчёт!$W$372&amp;"/"&amp;$I$5)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IF(Расчёт!$A$373=0,"Вт 29","Вт 29"&amp;CHAR(10)&amp;Расчёт!$W$373&amp;"/"&amp;$I$5)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IF(Расчёт!$A$374=0,"Ср 30","Ср 30"&amp;CHAR(10)&amp;Расчёт!$W$374&amp;"/"&amp;$I$5)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IF(Расчёт!$A$375=0,"Чт 31","Чт 31"&amp;CHAR(10)&amp;Расчёт!$W$375&amp;"/"&amp;$I$5)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IF('Старт'!$B$12="","",SUM(Расчёт!$B$345:$B$375)&amp;"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IF('Старт'!$B$12="","",MAX(Расчёт!$I$345:$I$375))</f>
        <v/>
      </c>
      <c r="K39" s="32">
        <f>IF(OR('Старт'!$B$12="",Расчёт!$C$390=0),"",MIN(1,SUM(Расчёт!$B$345:$B$375)/MAX(1,ROUND(IF('Старт'!$F$12="",7,'Старт'!$F$12)*31/7,0)*Расчёт!$C$390/31)))</f>
        <v/>
      </c>
      <c r="L39" s="33">
        <f>IF($K$39="","",SPARKLINE($K$39,{"charttype","bar";"max",1;"color1","#22A35E";"color2","#262B38"}))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IF('Старт'!$B$13="","",SUM(Расчёт!$C$345:$C$375)&amp;"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IF('Старт'!$B$13="","",MAX(Расчёт!$J$345:$J$375))</f>
        <v/>
      </c>
      <c r="K40" s="32">
        <f>IF(OR('Старт'!$B$13="",Расчёт!$C$390=0),"",MIN(1,SUM(Расчёт!$C$345:$C$375)/MAX(1,ROUND(IF('Старт'!$F$13="",7,'Старт'!$F$13)*31/7,0)*Расчёт!$C$390/31)))</f>
        <v/>
      </c>
      <c r="L40" s="33">
        <f>IF($K$40="","",SPARKLINE($K$40,{"charttype","bar";"max",1;"color1","#22A35E";"color2","#262B38"}))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IF('Старт'!$B$14="","",SUM(Расчёт!$D$345:$D$375)&amp;"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IF('Старт'!$B$14="","",MAX(Расчёт!$K$345:$K$375))</f>
        <v/>
      </c>
      <c r="K41" s="32">
        <f>IF(OR('Старт'!$B$14="",Расчёт!$C$390=0),"",MIN(1,SUM(Расчёт!$D$345:$D$375)/MAX(1,ROUND(IF('Старт'!$F$14="",7,'Старт'!$F$14)*31/7,0)*Расчёт!$C$390/31)))</f>
        <v/>
      </c>
      <c r="L41" s="33">
        <f>IF($K$41="","",SPARKLINE($K$41,{"charttype","bar";"max",1;"color1","#22A35E";"color2","#262B38"}))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IF('Старт'!$B$15="","",SUM(Расчёт!$E$345:$E$375)&amp;"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IF('Старт'!$B$15="","",MAX(Расчёт!$L$345:$L$375))</f>
        <v/>
      </c>
      <c r="K42" s="32">
        <f>IF(OR('Старт'!$B$15="",Расчёт!$C$390=0),"",MIN(1,SUM(Расчёт!$E$345:$E$375)/MAX(1,ROUND(IF('Старт'!$F$15="",7,'Старт'!$F$15)*31/7,0)*Расчёт!$C$390/31)))</f>
        <v/>
      </c>
      <c r="L42" s="33">
        <f>IF($K$42="","",SPARKLINE($K$42,{"charttype","bar";"max",1;"color1","#22A35E";"color2","#262B38"}))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IF('Старт'!$B$16="","",SUM(Расчёт!$F$345:$F$375)&amp;"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IF('Старт'!$B$16="","",MAX(Расчёт!$M$345:$M$375))</f>
        <v/>
      </c>
      <c r="K43" s="32">
        <f>IF(OR('Старт'!$B$16="",Расчёт!$C$390=0),"",MIN(1,SUM(Расчёт!$F$345:$F$375)/MAX(1,ROUND(IF('Старт'!$F$16="",7,'Старт'!$F$16)*31/7,0)*Расчёт!$C$390/31)))</f>
        <v/>
      </c>
      <c r="L43" s="33">
        <f>IF($K$43="","",SPARKLINE($K$43,{"charttype","bar";"max",1;"color1","#22A35E";"color2","#262B38"}))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IF('Старт'!$B$17="","",SUM(Расчёт!$G$345:$G$375)&amp;"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IF('Старт'!$B$17="","",MAX(Расчёт!$N$345:$N$375))</f>
        <v/>
      </c>
      <c r="K44" s="32">
        <f>IF(OR('Старт'!$B$17="",Расчёт!$C$390=0),"",MIN(1,SUM(Расчёт!$G$345:$G$375)/MAX(1,ROUND(IF('Старт'!$F$17="",7,'Старт'!$F$17)*31/7,0)*Расчёт!$C$390/31)))</f>
        <v/>
      </c>
      <c r="L44" s="33">
        <f>IF($K$44="","",SPARKLINE($K$44,{"charttype","bar";"max",1;"color1","#22A35E";"color2","#262B38"}))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IF('Старт'!$B$18="","",SUM(Расчёт!$H$345:$H$375)&amp;"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IF('Старт'!$B$18="","",MAX(Расчёт!$O$345:$O$375))</f>
        <v/>
      </c>
      <c r="K45" s="32">
        <f>IF(OR('Старт'!$B$18="",Расчёт!$C$390=0),"",MIN(1,SUM(Расчёт!$H$345:$H$375)/MAX(1,ROUND(IF('Старт'!$F$18="",7,'Старт'!$F$18)*31/7,0)*Расчёт!$C$390/31)))</f>
        <v/>
      </c>
      <c r="L45" s="33">
        <f>IF($K$45="","",SPARKLINE($K$45,{"charttype","bar";"max",1;"color1","#22A35E";"color2","#262B38"}))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IF(Расчёт!$H$445=0,"Первая неделя закроется в воскресенье","Неделя · "&amp;Расчёт!$G$445&amp;" из "&amp;Расчёт!$H$445&amp;IF(Расчёт!$I$445=0,""," · прошлая "&amp;ROUND(MIN(1,Расчёт!$I$445/MAX(1,Расчёт!$H$444))*100,0)&amp;"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IF(OR(Расчёт!$D$445=0,Расчёт!$H$445=0),"","Просело: "&amp;INDEX('Старт'!$E$12:$E$18,MAX(1,Расчёт!$D$445))&amp;" — "&amp;IF(INDEX('Старт'!$B$20:$B$26,MAX(1,Расчёт!$D$445))="","подтяни на этой неделе",INDEX('Старт'!$B$20:$B$26,MAX(1,Расчёт!$D$445))))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IF(Расчёт!$C$390=0,"Первая галочка — и месяц пошёл","Полных дней: "&amp;Расчёт!$G$390&amp;" · опыт за месяц: "&amp;Расчёт!$I$390)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IF(Расчёт!$D$445=0,"Испытание появится в воскресенье","Испытание: "&amp;INDEX('Старт'!$E$12:$E$18,MAX(1,Расчёт!$D$445))&amp;" "&amp;Расчёт!$E$445&amp;" из 5"&amp;IF(Расчёт!$F$445=1,"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SPARKLINE(Расчёт!$W$345:$W$375,{"charttype","column";"color","#22A35E";"empty","zero"})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454"/>
  <sheetViews>
    <sheetView workbookViewId="0"/>
  </sheetViews>
  <sheetFormatPr defaultRowHeight="15"/>
  <cols>
    <col min="1" max="30" width="9.7109375" style="38" customWidth="1"/>
  </cols>
  <sheetData>
    <row r="1" spans="1:28">
      <c r="B1" s="39">
        <f>IF('Старт'!$C$9="",TODAY(),'Старт'!$C$9)</f>
        <v/>
      </c>
      <c r="C1" s="38" t="s">
        <v>56</v>
      </c>
      <c r="F1" s="38">
        <f>IF('Старт'!$F$12="",7,'Старт'!$F$12)</f>
        <v/>
      </c>
      <c r="G1" s="38">
        <f>IF('Старт'!$F$13="",7,'Старт'!$F$13)</f>
        <v/>
      </c>
      <c r="H1" s="38">
        <f>IF('Старт'!$F$14="",7,'Старт'!$F$14)</f>
        <v/>
      </c>
      <c r="I1" s="38">
        <f>IF('Старт'!$F$15="",7,'Старт'!$F$15)</f>
        <v/>
      </c>
      <c r="J1" s="38">
        <f>IF('Старт'!$F$16="",7,'Старт'!$F$16)</f>
        <v/>
      </c>
      <c r="K1" s="38">
        <f>IF('Старт'!$F$17="",7,'Старт'!$F$17)</f>
        <v/>
      </c>
      <c r="L1" s="38">
        <f>IF('Старт'!$F$18="",7,'Старт'!$F$18)</f>
        <v/>
      </c>
    </row>
    <row r="2" spans="1:28">
      <c r="B2" s="39">
        <f>IF(OR($B$1&lt;DATE(2026,1,1),$B$1&gt;DATE(2026,12,31)),0,11+$B$1-DATE(2026,1,1))</f>
        <v/>
      </c>
      <c r="C2" s="38" t="s">
        <v>57</v>
      </c>
    </row>
    <row r="3" spans="1:28">
      <c r="B3" s="39">
        <f>COUNTA('Старт'!$B$12:$B$18)</f>
        <v/>
      </c>
      <c r="C3" s="38" t="s">
        <v>58</v>
      </c>
    </row>
    <row r="4" spans="1:28">
      <c r="B4" s="39">
        <f>IF($B$2=0,0,INDEX(Z:Z,$B$2)+100*$B$8)</f>
        <v/>
      </c>
      <c r="C4" s="38" t="s">
        <v>59</v>
      </c>
    </row>
    <row r="5" spans="1:28">
      <c r="B5" s="39">
        <f>MATCH($B$4,'Списки'!$E$2:$E$21,1)</f>
        <v/>
      </c>
      <c r="C5" s="38" t="s">
        <v>60</v>
      </c>
    </row>
    <row r="6" spans="1:28">
      <c r="B6" s="39">
        <f>INDEX('Списки'!$F$2:$F$21,$B$5)</f>
        <v/>
      </c>
      <c r="C6" s="38" t="s">
        <v>61</v>
      </c>
    </row>
    <row r="7" spans="1:28">
      <c r="B7" s="39">
        <f>IFERROR(($B$4-INDEX('Списки'!$E$2:$E$21,$B$5))/(INDEX('Списки'!$E$2:$E$21,$B$5+1)-INDEX('Списки'!$E$2:$E$21,$B$5)),1)</f>
        <v/>
      </c>
      <c r="C7" s="38" t="s">
        <v>62</v>
      </c>
    </row>
    <row r="8" spans="1:28">
      <c r="B8" s="39">
        <f>SUM(F393:F445)</f>
        <v/>
      </c>
      <c r="C8" s="38" t="s">
        <v>63</v>
      </c>
    </row>
    <row r="11" spans="1:28">
      <c r="A11" s="38">
        <f>IF($B$1&gt;=DATE(2026,1,1),1,0)</f>
        <v/>
      </c>
      <c r="B11" s="38">
        <f>IFERROR(IF('Янв'!$B6=TRUE,1,0),0)</f>
        <v/>
      </c>
      <c r="C11" s="38">
        <f>IFERROR(IF('Янв'!$C6=TRUE,1,0),0)</f>
        <v/>
      </c>
      <c r="D11" s="38">
        <f>IFERROR(IF('Янв'!$D6=TRUE,1,0),0)</f>
        <v/>
      </c>
      <c r="E11" s="38">
        <f>IFERROR(IF('Янв'!$E6=TRUE,1,0),0)</f>
        <v/>
      </c>
      <c r="F11" s="38">
        <f>IFERROR(IF('Янв'!$F6=TRUE,1,0),0)</f>
        <v/>
      </c>
      <c r="G11" s="38">
        <f>IFERROR(IF('Янв'!$G6=TRUE,1,0),0)</f>
        <v/>
      </c>
      <c r="H11" s="38">
        <f>IFERROR(IF('Янв'!$H6=TRUE,1,0),0)</f>
        <v/>
      </c>
      <c r="I11" s="38">
        <f>IF($A11=0,0,IF($B11=1,0+1,IF($P11&lt;=1,0,0)))</f>
        <v/>
      </c>
      <c r="J11" s="38">
        <f>IF($A11=0,0,IF($C11=1,0+1,IF($Q11&lt;=1,0,0)))</f>
        <v/>
      </c>
      <c r="K11" s="38">
        <f>IF($A11=0,0,IF($D11=1,0+1,IF($R11&lt;=1,0,0)))</f>
        <v/>
      </c>
      <c r="L11" s="38">
        <f>IF($A11=0,0,IF($E11=1,0+1,IF($S11&lt;=1,0,0)))</f>
        <v/>
      </c>
      <c r="M11" s="38">
        <f>IF($A11=0,0,IF($F11=1,0+1,IF($T11&lt;=1,0,0)))</f>
        <v/>
      </c>
      <c r="N11" s="38">
        <f>IF($A11=0,0,IF($G11=1,0+1,IF($U11&lt;=1,0,0)))</f>
        <v/>
      </c>
      <c r="O11" s="38">
        <f>IF($A11=0,0,IF($H11=1,0+1,IF($V11&lt;=1,0,0)))</f>
        <v/>
      </c>
      <c r="P11" s="38">
        <f>IF($A11=0,0,0+IF($B11=1,0,1))</f>
        <v/>
      </c>
      <c r="Q11" s="38">
        <f>IF($A11=0,0,0+IF($C11=1,0,1))</f>
        <v/>
      </c>
      <c r="R11" s="38">
        <f>IF($A11=0,0,0+IF($D11=1,0,1))</f>
        <v/>
      </c>
      <c r="S11" s="38">
        <f>IF($A11=0,0,0+IF($E11=1,0,1))</f>
        <v/>
      </c>
      <c r="T11" s="38">
        <f>IF($A11=0,0,0+IF($F11=1,0,1))</f>
        <v/>
      </c>
      <c r="U11" s="38">
        <f>IF($A11=0,0,0+IF($G11=1,0,1))</f>
        <v/>
      </c>
      <c r="V11" s="38">
        <f>IF($A11=0,0,0+IF($H11=1,0,1))</f>
        <v/>
      </c>
      <c r="W11" s="38">
        <f>SUM($B11:$H11)</f>
        <v/>
      </c>
      <c r="X11" s="38">
        <f>IF(AND($A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=1),1,0)+IF(AND($G$1=7,$C11=1),1,0)+IF(AND($H$1=7,$D11=1),1,0)+IF(AND($I$1=7,$E11=1),1,0)+IF(AND($J$1=7,$F11=1),1,0)+IF(AND($K$1=7,$G11=1),1,0)+IF(AND($L$1=7,$H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" s="38">
        <f>IF($B11=1,IF($F$1&lt;7,10,IF(AND($F$1=7,0=0,0&gt;1),15,IF(0&gt;=20,15,IF(0&gt;=6,13,10)))),0)+IF($C11=1,IF($G$1&lt;7,10,IF(AND($G$1=7,0=0,0&gt;1),15,IF(0&gt;=20,15,IF(0&gt;=6,13,10)))),0)+IF($D11=1,IF($H$1&lt;7,10,IF(AND($H$1=7,0=0,0&gt;1),15,IF(0&gt;=20,15,IF(0&gt;=6,13,10)))),0)+IF($E11=1,IF($I$1&lt;7,10,IF(AND($I$1=7,0=0,0&gt;1),15,IF(0&gt;=20,15,IF(0&gt;=6,13,10)))),0)+IF($F11=1,IF($J$1&lt;7,10,IF(AND($J$1=7,0=0,0&gt;1),15,IF(0&gt;=20,15,IF(0&gt;=6,13,10)))),0)+IF($G11=1,IF($K$1&lt;7,10,IF(AND($K$1=7,0=0,0&gt;1),15,IF(0&gt;=20,15,IF(0&gt;=6,13,10)))),0)+IF($H11=1,IF($L$1&lt;7,10,IF(AND($L$1=7,0=0,0&gt;1),15,IF(0&gt;=20,15,IF(0&gt;=6,13,10)))),0)</f>
        <v/>
      </c>
      <c r="Z11" s="38">
        <f>0+$Y11</f>
        <v/>
      </c>
      <c r="AA11" s="38">
        <f>IF(AND($B11=1,AND($F$1=7,0=0,0&gt;1)),1,0)+IF(AND($C11=1,AND($G$1=7,0=0,0&gt;1)),1,0)+IF(AND($D11=1,AND($H$1=7,0=0,0&gt;1)),1,0)+IF(AND($E11=1,AND($I$1=7,0=0,0&gt;1)),1,0)+IF(AND($F11=1,AND($J$1=7,0=0,0&gt;1)),1,0)+IF(AND($G11=1,AND($K$1=7,0=0,0&gt;1)),1,0)+IF(AND($H11=1,AND($L$1=7,0=0,0&gt;1)),1,0)</f>
        <v/>
      </c>
      <c r="AB11" s="38">
        <f>IF(IFERROR('Янв'!$I6,"")="",0,0+1)</f>
        <v/>
      </c>
    </row>
    <row r="12" spans="1:28">
      <c r="A12" s="38">
        <f>IF($B$1&gt;=DATE(2026,1,2),1,0)</f>
        <v/>
      </c>
      <c r="B12" s="38">
        <f>IFERROR(IF('Янв'!$B7=TRUE,1,0),0)</f>
        <v/>
      </c>
      <c r="C12" s="38">
        <f>IFERROR(IF('Янв'!$C7=TRUE,1,0),0)</f>
        <v/>
      </c>
      <c r="D12" s="38">
        <f>IFERROR(IF('Янв'!$D7=TRUE,1,0),0)</f>
        <v/>
      </c>
      <c r="E12" s="38">
        <f>IFERROR(IF('Янв'!$E7=TRUE,1,0),0)</f>
        <v/>
      </c>
      <c r="F12" s="38">
        <f>IFERROR(IF('Янв'!$F7=TRUE,1,0),0)</f>
        <v/>
      </c>
      <c r="G12" s="38">
        <f>IFERROR(IF('Янв'!$G7=TRUE,1,0),0)</f>
        <v/>
      </c>
      <c r="H12" s="38">
        <f>IFERROR(IF('Янв'!$H7=TRUE,1,0),0)</f>
        <v/>
      </c>
      <c r="I12" s="38">
        <f>IF($A12=0,$I11,IF($B12=1,$I11+1,IF($P12&lt;=1,$I11,0)))</f>
        <v/>
      </c>
      <c r="J12" s="38">
        <f>IF($A12=0,$J11,IF($C12=1,$J11+1,IF($Q12&lt;=1,$J11,0)))</f>
        <v/>
      </c>
      <c r="K12" s="38">
        <f>IF($A12=0,$K11,IF($D12=1,$K11+1,IF($R12&lt;=1,$K11,0)))</f>
        <v/>
      </c>
      <c r="L12" s="38">
        <f>IF($A12=0,$L11,IF($E12=1,$L11+1,IF($S12&lt;=1,$L11,0)))</f>
        <v/>
      </c>
      <c r="M12" s="38">
        <f>IF($A12=0,$M11,IF($F12=1,$M11+1,IF($T12&lt;=1,$M11,0)))</f>
        <v/>
      </c>
      <c r="N12" s="38">
        <f>IF($A12=0,$N11,IF($G12=1,$N11+1,IF($U12&lt;=1,$N11,0)))</f>
        <v/>
      </c>
      <c r="O12" s="38">
        <f>IF($A12=0,$O11,IF($H12=1,$O11+1,IF($V12&lt;=1,$O11,0)))</f>
        <v/>
      </c>
      <c r="P12" s="38">
        <f>IF($A12=0,$P11,$P11+IF($B12=1,0,1))</f>
        <v/>
      </c>
      <c r="Q12" s="38">
        <f>IF($A12=0,$Q11,$Q11+IF($C12=1,0,1))</f>
        <v/>
      </c>
      <c r="R12" s="38">
        <f>IF($A12=0,$R11,$R11+IF($D12=1,0,1))</f>
        <v/>
      </c>
      <c r="S12" s="38">
        <f>IF($A12=0,$S11,$S11+IF($E12=1,0,1))</f>
        <v/>
      </c>
      <c r="T12" s="38">
        <f>IF($A12=0,$T11,$T11+IF($F12=1,0,1))</f>
        <v/>
      </c>
      <c r="U12" s="38">
        <f>IF($A12=0,$U11,$U11+IF($G12=1,0,1))</f>
        <v/>
      </c>
      <c r="V12" s="38">
        <f>IF($A12=0,$V11,$V11+IF($H12=1,0,1))</f>
        <v/>
      </c>
      <c r="W12" s="38">
        <f>SUM($B12:$H12)</f>
        <v/>
      </c>
      <c r="X12" s="38">
        <f>IF(AND($A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=1),1,0)+IF(AND($G$1=7,$C12=1),1,0)+IF(AND($H$1=7,$D12=1),1,0)+IF(AND($I$1=7,$E12=1),1,0)+IF(AND($J$1=7,$F12=1),1,0)+IF(AND($K$1=7,$G12=1),1,0)+IF(AND($L$1=7,$H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" s="38">
        <f>IF($B12=1,IF($F$1&lt;7,10,IF(AND($F$1=7,$I11=0,$P11&gt;1),15,IF($I11&gt;=20,15,IF($I11&gt;=6,13,10)))),0)+IF($C12=1,IF($G$1&lt;7,10,IF(AND($G$1=7,$J11=0,$Q11&gt;1),15,IF($J11&gt;=20,15,IF($J11&gt;=6,13,10)))),0)+IF($D12=1,IF($H$1&lt;7,10,IF(AND($H$1=7,$K11=0,$R11&gt;1),15,IF($K11&gt;=20,15,IF($K11&gt;=6,13,10)))),0)+IF($E12=1,IF($I$1&lt;7,10,IF(AND($I$1=7,$L11=0,$S11&gt;1),15,IF($L11&gt;=20,15,IF($L11&gt;=6,13,10)))),0)+IF($F12=1,IF($J$1&lt;7,10,IF(AND($J$1=7,$M11=0,$T11&gt;1),15,IF($M11&gt;=20,15,IF($M11&gt;=6,13,10)))),0)+IF($G12=1,IF($K$1&lt;7,10,IF(AND($K$1=7,$N11=0,$U11&gt;1),15,IF($N11&gt;=20,15,IF($N11&gt;=6,13,10)))),0)+IF($H12=1,IF($L$1&lt;7,10,IF(AND($L$1=7,$O11=0,$V11&gt;1),15,IF($O11&gt;=20,15,IF($O11&gt;=6,13,10)))),0)</f>
        <v/>
      </c>
      <c r="Z12" s="38">
        <f>$Z11+$Y12</f>
        <v/>
      </c>
      <c r="AA12" s="38">
        <f>IF(AND($B12=1,AND($F$1=7,$I11=0,$P11&gt;1)),1,0)+IF(AND($C12=1,AND($G$1=7,$J11=0,$Q11&gt;1)),1,0)+IF(AND($D12=1,AND($H$1=7,$K11=0,$R11&gt;1)),1,0)+IF(AND($E12=1,AND($I$1=7,$L11=0,$S11&gt;1)),1,0)+IF(AND($F12=1,AND($J$1=7,$M11=0,$T11&gt;1)),1,0)+IF(AND($G12=1,AND($K$1=7,$N11=0,$U11&gt;1)),1,0)+IF(AND($H12=1,AND($L$1=7,$O11=0,$V11&gt;1)),1,0)</f>
        <v/>
      </c>
      <c r="AB12" s="38">
        <f>IF(IFERROR('Янв'!$I7,"")="",0,$AB11+1)</f>
        <v/>
      </c>
    </row>
    <row r="13" spans="1:28">
      <c r="A13" s="38">
        <f>IF($B$1&gt;=DATE(2026,1,3),1,0)</f>
        <v/>
      </c>
      <c r="B13" s="38">
        <f>IFERROR(IF('Янв'!$B8=TRUE,1,0),0)</f>
        <v/>
      </c>
      <c r="C13" s="38">
        <f>IFERROR(IF('Янв'!$C8=TRUE,1,0),0)</f>
        <v/>
      </c>
      <c r="D13" s="38">
        <f>IFERROR(IF('Янв'!$D8=TRUE,1,0),0)</f>
        <v/>
      </c>
      <c r="E13" s="38">
        <f>IFERROR(IF('Янв'!$E8=TRUE,1,0),0)</f>
        <v/>
      </c>
      <c r="F13" s="38">
        <f>IFERROR(IF('Янв'!$F8=TRUE,1,0),0)</f>
        <v/>
      </c>
      <c r="G13" s="38">
        <f>IFERROR(IF('Янв'!$G8=TRUE,1,0),0)</f>
        <v/>
      </c>
      <c r="H13" s="38">
        <f>IFERROR(IF('Янв'!$H8=TRUE,1,0),0)</f>
        <v/>
      </c>
      <c r="I13" s="38">
        <f>IF($A13=0,$I12,IF($B13=1,$I12+1,IF($P13&lt;=1,$I12,0)))</f>
        <v/>
      </c>
      <c r="J13" s="38">
        <f>IF($A13=0,$J12,IF($C13=1,$J12+1,IF($Q13&lt;=1,$J12,0)))</f>
        <v/>
      </c>
      <c r="K13" s="38">
        <f>IF($A13=0,$K12,IF($D13=1,$K12+1,IF($R13&lt;=1,$K12,0)))</f>
        <v/>
      </c>
      <c r="L13" s="38">
        <f>IF($A13=0,$L12,IF($E13=1,$L12+1,IF($S13&lt;=1,$L12,0)))</f>
        <v/>
      </c>
      <c r="M13" s="38">
        <f>IF($A13=0,$M12,IF($F13=1,$M12+1,IF($T13&lt;=1,$M12,0)))</f>
        <v/>
      </c>
      <c r="N13" s="38">
        <f>IF($A13=0,$N12,IF($G13=1,$N12+1,IF($U13&lt;=1,$N12,0)))</f>
        <v/>
      </c>
      <c r="O13" s="38">
        <f>IF($A13=0,$O12,IF($H13=1,$O12+1,IF($V13&lt;=1,$O12,0)))</f>
        <v/>
      </c>
      <c r="P13" s="38">
        <f>IF($A13=0,$P12,$P12+IF($B13=1,0,1))</f>
        <v/>
      </c>
      <c r="Q13" s="38">
        <f>IF($A13=0,$Q12,$Q12+IF($C13=1,0,1))</f>
        <v/>
      </c>
      <c r="R13" s="38">
        <f>IF($A13=0,$R12,$R12+IF($D13=1,0,1))</f>
        <v/>
      </c>
      <c r="S13" s="38">
        <f>IF($A13=0,$S12,$S12+IF($E13=1,0,1))</f>
        <v/>
      </c>
      <c r="T13" s="38">
        <f>IF($A13=0,$T12,$T12+IF($F13=1,0,1))</f>
        <v/>
      </c>
      <c r="U13" s="38">
        <f>IF($A13=0,$U12,$U12+IF($G13=1,0,1))</f>
        <v/>
      </c>
      <c r="V13" s="38">
        <f>IF($A13=0,$V12,$V12+IF($H13=1,0,1))</f>
        <v/>
      </c>
      <c r="W13" s="38">
        <f>SUM($B13:$H13)</f>
        <v/>
      </c>
      <c r="X13" s="38">
        <f>IF(AND($A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=1),1,0)+IF(AND($G$1=7,$C13=1),1,0)+IF(AND($H$1=7,$D13=1),1,0)+IF(AND($I$1=7,$E13=1),1,0)+IF(AND($J$1=7,$F13=1),1,0)+IF(AND($K$1=7,$G13=1),1,0)+IF(AND($L$1=7,$H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" s="38">
        <f>IF($B13=1,IF($F$1&lt;7,10,IF(AND($F$1=7,$I12=0,$P12&gt;1),15,IF($I12&gt;=20,15,IF($I12&gt;=6,13,10)))),0)+IF($C13=1,IF($G$1&lt;7,10,IF(AND($G$1=7,$J12=0,$Q12&gt;1),15,IF($J12&gt;=20,15,IF($J12&gt;=6,13,10)))),0)+IF($D13=1,IF($H$1&lt;7,10,IF(AND($H$1=7,$K12=0,$R12&gt;1),15,IF($K12&gt;=20,15,IF($K12&gt;=6,13,10)))),0)+IF($E13=1,IF($I$1&lt;7,10,IF(AND($I$1=7,$L12=0,$S12&gt;1),15,IF($L12&gt;=20,15,IF($L12&gt;=6,13,10)))),0)+IF($F13=1,IF($J$1&lt;7,10,IF(AND($J$1=7,$M12=0,$T12&gt;1),15,IF($M12&gt;=20,15,IF($M12&gt;=6,13,10)))),0)+IF($G13=1,IF($K$1&lt;7,10,IF(AND($K$1=7,$N12=0,$U12&gt;1),15,IF($N12&gt;=20,15,IF($N12&gt;=6,13,10)))),0)+IF($H13=1,IF($L$1&lt;7,10,IF(AND($L$1=7,$O12=0,$V12&gt;1),15,IF($O12&gt;=20,15,IF($O12&gt;=6,13,10)))),0)</f>
        <v/>
      </c>
      <c r="Z13" s="38">
        <f>$Z12+$Y13</f>
        <v/>
      </c>
      <c r="AA13" s="38">
        <f>IF(AND($B13=1,AND($F$1=7,$I12=0,$P12&gt;1)),1,0)+IF(AND($C13=1,AND($G$1=7,$J12=0,$Q12&gt;1)),1,0)+IF(AND($D13=1,AND($H$1=7,$K12=0,$R12&gt;1)),1,0)+IF(AND($E13=1,AND($I$1=7,$L12=0,$S12&gt;1)),1,0)+IF(AND($F13=1,AND($J$1=7,$M12=0,$T12&gt;1)),1,0)+IF(AND($G13=1,AND($K$1=7,$N12=0,$U12&gt;1)),1,0)+IF(AND($H13=1,AND($L$1=7,$O12=0,$V12&gt;1)),1,0)</f>
        <v/>
      </c>
      <c r="AB13" s="38">
        <f>IF(IFERROR('Янв'!$I8,"")="",0,$AB12+1)</f>
        <v/>
      </c>
    </row>
    <row r="14" spans="1:28">
      <c r="A14" s="38">
        <f>IF($B$1&gt;=DATE(2026,1,4),1,0)</f>
        <v/>
      </c>
      <c r="B14" s="38">
        <f>IFERROR(IF('Янв'!$B9=TRUE,1,0),0)</f>
        <v/>
      </c>
      <c r="C14" s="38">
        <f>IFERROR(IF('Янв'!$C9=TRUE,1,0),0)</f>
        <v/>
      </c>
      <c r="D14" s="38">
        <f>IFERROR(IF('Янв'!$D9=TRUE,1,0),0)</f>
        <v/>
      </c>
      <c r="E14" s="38">
        <f>IFERROR(IF('Янв'!$E9=TRUE,1,0),0)</f>
        <v/>
      </c>
      <c r="F14" s="38">
        <f>IFERROR(IF('Янв'!$F9=TRUE,1,0),0)</f>
        <v/>
      </c>
      <c r="G14" s="38">
        <f>IFERROR(IF('Янв'!$G9=TRUE,1,0),0)</f>
        <v/>
      </c>
      <c r="H14" s="38">
        <f>IFERROR(IF('Янв'!$H9=TRUE,1,0),0)</f>
        <v/>
      </c>
      <c r="I14" s="38">
        <f>IF($A14=0,$I13,IF($B14=1,$I13+1,IF($P14&lt;=1,$I13,0)))</f>
        <v/>
      </c>
      <c r="J14" s="38">
        <f>IF($A14=0,$J13,IF($C14=1,$J13+1,IF($Q14&lt;=1,$J13,0)))</f>
        <v/>
      </c>
      <c r="K14" s="38">
        <f>IF($A14=0,$K13,IF($D14=1,$K13+1,IF($R14&lt;=1,$K13,0)))</f>
        <v/>
      </c>
      <c r="L14" s="38">
        <f>IF($A14=0,$L13,IF($E14=1,$L13+1,IF($S14&lt;=1,$L13,0)))</f>
        <v/>
      </c>
      <c r="M14" s="38">
        <f>IF($A14=0,$M13,IF($F14=1,$M13+1,IF($T14&lt;=1,$M13,0)))</f>
        <v/>
      </c>
      <c r="N14" s="38">
        <f>IF($A14=0,$N13,IF($G14=1,$N13+1,IF($U14&lt;=1,$N13,0)))</f>
        <v/>
      </c>
      <c r="O14" s="38">
        <f>IF($A14=0,$O13,IF($H14=1,$O13+1,IF($V14&lt;=1,$O13,0)))</f>
        <v/>
      </c>
      <c r="P14" s="38">
        <f>IF($A14=0,$P13,$P13+IF($B14=1,0,1))</f>
        <v/>
      </c>
      <c r="Q14" s="38">
        <f>IF($A14=0,$Q13,$Q13+IF($C14=1,0,1))</f>
        <v/>
      </c>
      <c r="R14" s="38">
        <f>IF($A14=0,$R13,$R13+IF($D14=1,0,1))</f>
        <v/>
      </c>
      <c r="S14" s="38">
        <f>IF($A14=0,$S13,$S13+IF($E14=1,0,1))</f>
        <v/>
      </c>
      <c r="T14" s="38">
        <f>IF($A14=0,$T13,$T13+IF($F14=1,0,1))</f>
        <v/>
      </c>
      <c r="U14" s="38">
        <f>IF($A14=0,$U13,$U13+IF($G14=1,0,1))</f>
        <v/>
      </c>
      <c r="V14" s="38">
        <f>IF($A14=0,$V13,$V13+IF($H14=1,0,1))</f>
        <v/>
      </c>
      <c r="W14" s="38">
        <f>SUM($B14:$H14)</f>
        <v/>
      </c>
      <c r="X14" s="38">
        <f>IF(AND($A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=1),1,0)+IF(AND($G$1=7,$C14=1),1,0)+IF(AND($H$1=7,$D14=1),1,0)+IF(AND($I$1=7,$E14=1),1,0)+IF(AND($J$1=7,$F14=1),1,0)+IF(AND($K$1=7,$G14=1),1,0)+IF(AND($L$1=7,$H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" s="38">
        <f>IF($B14=1,IF($F$1&lt;7,10,IF(AND($F$1=7,$I13=0,$P13&gt;1),15,IF($I13&gt;=20,15,IF($I13&gt;=6,13,10)))),0)+IF($C14=1,IF($G$1&lt;7,10,IF(AND($G$1=7,$J13=0,$Q13&gt;1),15,IF($J13&gt;=20,15,IF($J13&gt;=6,13,10)))),0)+IF($D14=1,IF($H$1&lt;7,10,IF(AND($H$1=7,$K13=0,$R13&gt;1),15,IF($K13&gt;=20,15,IF($K13&gt;=6,13,10)))),0)+IF($E14=1,IF($I$1&lt;7,10,IF(AND($I$1=7,$L13=0,$S13&gt;1),15,IF($L13&gt;=20,15,IF($L13&gt;=6,13,10)))),0)+IF($F14=1,IF($J$1&lt;7,10,IF(AND($J$1=7,$M13=0,$T13&gt;1),15,IF($M13&gt;=20,15,IF($M13&gt;=6,13,10)))),0)+IF($G14=1,IF($K$1&lt;7,10,IF(AND($K$1=7,$N13=0,$U13&gt;1),15,IF($N13&gt;=20,15,IF($N13&gt;=6,13,10)))),0)+IF($H14=1,IF($L$1&lt;7,10,IF(AND($L$1=7,$O13=0,$V13&gt;1),15,IF($O13&gt;=20,15,IF($O13&gt;=6,13,10)))),0)</f>
        <v/>
      </c>
      <c r="Z14" s="38">
        <f>$Z13+$Y14</f>
        <v/>
      </c>
      <c r="AA14" s="38">
        <f>IF(AND($B14=1,AND($F$1=7,$I13=0,$P13&gt;1)),1,0)+IF(AND($C14=1,AND($G$1=7,$J13=0,$Q13&gt;1)),1,0)+IF(AND($D14=1,AND($H$1=7,$K13=0,$R13&gt;1)),1,0)+IF(AND($E14=1,AND($I$1=7,$L13=0,$S13&gt;1)),1,0)+IF(AND($F14=1,AND($J$1=7,$M13=0,$T13&gt;1)),1,0)+IF(AND($G14=1,AND($K$1=7,$N13=0,$U13&gt;1)),1,0)+IF(AND($H14=1,AND($L$1=7,$O13=0,$V13&gt;1)),1,0)</f>
        <v/>
      </c>
      <c r="AB14" s="38">
        <f>IF(IFERROR('Янв'!$I9,"")="",0,$AB13+1)</f>
        <v/>
      </c>
    </row>
    <row r="15" spans="1:28">
      <c r="A15" s="38">
        <f>IF($B$1&gt;=DATE(2026,1,5),1,0)</f>
        <v/>
      </c>
      <c r="B15" s="38">
        <f>IFERROR(IF('Янв'!$B10=TRUE,1,0),0)</f>
        <v/>
      </c>
      <c r="C15" s="38">
        <f>IFERROR(IF('Янв'!$C10=TRUE,1,0),0)</f>
        <v/>
      </c>
      <c r="D15" s="38">
        <f>IFERROR(IF('Янв'!$D10=TRUE,1,0),0)</f>
        <v/>
      </c>
      <c r="E15" s="38">
        <f>IFERROR(IF('Янв'!$E10=TRUE,1,0),0)</f>
        <v/>
      </c>
      <c r="F15" s="38">
        <f>IFERROR(IF('Янв'!$F10=TRUE,1,0),0)</f>
        <v/>
      </c>
      <c r="G15" s="38">
        <f>IFERROR(IF('Янв'!$G10=TRUE,1,0),0)</f>
        <v/>
      </c>
      <c r="H15" s="38">
        <f>IFERROR(IF('Янв'!$H10=TRUE,1,0),0)</f>
        <v/>
      </c>
      <c r="I15" s="38">
        <f>IF($A15=0,$I14,IF($B15=1,$I14+1,IF($P15&lt;=1,$I14,0)))</f>
        <v/>
      </c>
      <c r="J15" s="38">
        <f>IF($A15=0,$J14,IF($C15=1,$J14+1,IF($Q15&lt;=1,$J14,0)))</f>
        <v/>
      </c>
      <c r="K15" s="38">
        <f>IF($A15=0,$K14,IF($D15=1,$K14+1,IF($R15&lt;=1,$K14,0)))</f>
        <v/>
      </c>
      <c r="L15" s="38">
        <f>IF($A15=0,$L14,IF($E15=1,$L14+1,IF($S15&lt;=1,$L14,0)))</f>
        <v/>
      </c>
      <c r="M15" s="38">
        <f>IF($A15=0,$M14,IF($F15=1,$M14+1,IF($T15&lt;=1,$M14,0)))</f>
        <v/>
      </c>
      <c r="N15" s="38">
        <f>IF($A15=0,$N14,IF($G15=1,$N14+1,IF($U15&lt;=1,$N14,0)))</f>
        <v/>
      </c>
      <c r="O15" s="38">
        <f>IF($A15=0,$O14,IF($H15=1,$O14+1,IF($V15&lt;=1,$O14,0)))</f>
        <v/>
      </c>
      <c r="P15" s="38">
        <f>IF($A15=0,$P14,$P14+IF($B15=1,0,1))</f>
        <v/>
      </c>
      <c r="Q15" s="38">
        <f>IF($A15=0,$Q14,$Q14+IF($C15=1,0,1))</f>
        <v/>
      </c>
      <c r="R15" s="38">
        <f>IF($A15=0,$R14,$R14+IF($D15=1,0,1))</f>
        <v/>
      </c>
      <c r="S15" s="38">
        <f>IF($A15=0,$S14,$S14+IF($E15=1,0,1))</f>
        <v/>
      </c>
      <c r="T15" s="38">
        <f>IF($A15=0,$T14,$T14+IF($F15=1,0,1))</f>
        <v/>
      </c>
      <c r="U15" s="38">
        <f>IF($A15=0,$U14,$U14+IF($G15=1,0,1))</f>
        <v/>
      </c>
      <c r="V15" s="38">
        <f>IF($A15=0,$V14,$V14+IF($H15=1,0,1))</f>
        <v/>
      </c>
      <c r="W15" s="38">
        <f>SUM($B15:$H15)</f>
        <v/>
      </c>
      <c r="X15" s="38">
        <f>IF(AND($A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=1),1,0)+IF(AND($G$1=7,$C15=1),1,0)+IF(AND($H$1=7,$D15=1),1,0)+IF(AND($I$1=7,$E15=1),1,0)+IF(AND($J$1=7,$F15=1),1,0)+IF(AND($K$1=7,$G15=1),1,0)+IF(AND($L$1=7,$H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" s="38">
        <f>IF($B15=1,IF($F$1&lt;7,10,IF(AND($F$1=7,$I14=0,$P14&gt;1),15,IF($I14&gt;=20,15,IF($I14&gt;=6,13,10)))),0)+IF($C15=1,IF($G$1&lt;7,10,IF(AND($G$1=7,$J14=0,$Q14&gt;1),15,IF($J14&gt;=20,15,IF($J14&gt;=6,13,10)))),0)+IF($D15=1,IF($H$1&lt;7,10,IF(AND($H$1=7,$K14=0,$R14&gt;1),15,IF($K14&gt;=20,15,IF($K14&gt;=6,13,10)))),0)+IF($E15=1,IF($I$1&lt;7,10,IF(AND($I$1=7,$L14=0,$S14&gt;1),15,IF($L14&gt;=20,15,IF($L14&gt;=6,13,10)))),0)+IF($F15=1,IF($J$1&lt;7,10,IF(AND($J$1=7,$M14=0,$T14&gt;1),15,IF($M14&gt;=20,15,IF($M14&gt;=6,13,10)))),0)+IF($G15=1,IF($K$1&lt;7,10,IF(AND($K$1=7,$N14=0,$U14&gt;1),15,IF($N14&gt;=20,15,IF($N14&gt;=6,13,10)))),0)+IF($H15=1,IF($L$1&lt;7,10,IF(AND($L$1=7,$O14=0,$V14&gt;1),15,IF($O14&gt;=20,15,IF($O14&gt;=6,13,10)))),0)</f>
        <v/>
      </c>
      <c r="Z15" s="38">
        <f>$Z14+$Y15</f>
        <v/>
      </c>
      <c r="AA15" s="38">
        <f>IF(AND($B15=1,AND($F$1=7,$I14=0,$P14&gt;1)),1,0)+IF(AND($C15=1,AND($G$1=7,$J14=0,$Q14&gt;1)),1,0)+IF(AND($D15=1,AND($H$1=7,$K14=0,$R14&gt;1)),1,0)+IF(AND($E15=1,AND($I$1=7,$L14=0,$S14&gt;1)),1,0)+IF(AND($F15=1,AND($J$1=7,$M14=0,$T14&gt;1)),1,0)+IF(AND($G15=1,AND($K$1=7,$N14=0,$U14&gt;1)),1,0)+IF(AND($H15=1,AND($L$1=7,$O14=0,$V14&gt;1)),1,0)</f>
        <v/>
      </c>
      <c r="AB15" s="38">
        <f>IF(IFERROR('Янв'!$I10,"")="",0,$AB14+1)</f>
        <v/>
      </c>
    </row>
    <row r="16" spans="1:28">
      <c r="A16" s="38">
        <f>IF($B$1&gt;=DATE(2026,1,6),1,0)</f>
        <v/>
      </c>
      <c r="B16" s="38">
        <f>IFERROR(IF('Янв'!$B11=TRUE,1,0),0)</f>
        <v/>
      </c>
      <c r="C16" s="38">
        <f>IFERROR(IF('Янв'!$C11=TRUE,1,0),0)</f>
        <v/>
      </c>
      <c r="D16" s="38">
        <f>IFERROR(IF('Янв'!$D11=TRUE,1,0),0)</f>
        <v/>
      </c>
      <c r="E16" s="38">
        <f>IFERROR(IF('Янв'!$E11=TRUE,1,0),0)</f>
        <v/>
      </c>
      <c r="F16" s="38">
        <f>IFERROR(IF('Янв'!$F11=TRUE,1,0),0)</f>
        <v/>
      </c>
      <c r="G16" s="38">
        <f>IFERROR(IF('Янв'!$G11=TRUE,1,0),0)</f>
        <v/>
      </c>
      <c r="H16" s="38">
        <f>IFERROR(IF('Янв'!$H11=TRUE,1,0),0)</f>
        <v/>
      </c>
      <c r="I16" s="38">
        <f>IF($A16=0,$I15,IF($B16=1,$I15+1,IF($P16&lt;=1,$I15,0)))</f>
        <v/>
      </c>
      <c r="J16" s="38">
        <f>IF($A16=0,$J15,IF($C16=1,$J15+1,IF($Q16&lt;=1,$J15,0)))</f>
        <v/>
      </c>
      <c r="K16" s="38">
        <f>IF($A16=0,$K15,IF($D16=1,$K15+1,IF($R16&lt;=1,$K15,0)))</f>
        <v/>
      </c>
      <c r="L16" s="38">
        <f>IF($A16=0,$L15,IF($E16=1,$L15+1,IF($S16&lt;=1,$L15,0)))</f>
        <v/>
      </c>
      <c r="M16" s="38">
        <f>IF($A16=0,$M15,IF($F16=1,$M15+1,IF($T16&lt;=1,$M15,0)))</f>
        <v/>
      </c>
      <c r="N16" s="38">
        <f>IF($A16=0,$N15,IF($G16=1,$N15+1,IF($U16&lt;=1,$N15,0)))</f>
        <v/>
      </c>
      <c r="O16" s="38">
        <f>IF($A16=0,$O15,IF($H16=1,$O15+1,IF($V16&lt;=1,$O15,0)))</f>
        <v/>
      </c>
      <c r="P16" s="38">
        <f>IF($A16=0,$P15,$P15+IF($B16=1,0,1))</f>
        <v/>
      </c>
      <c r="Q16" s="38">
        <f>IF($A16=0,$Q15,$Q15+IF($C16=1,0,1))</f>
        <v/>
      </c>
      <c r="R16" s="38">
        <f>IF($A16=0,$R15,$R15+IF($D16=1,0,1))</f>
        <v/>
      </c>
      <c r="S16" s="38">
        <f>IF($A16=0,$S15,$S15+IF($E16=1,0,1))</f>
        <v/>
      </c>
      <c r="T16" s="38">
        <f>IF($A16=0,$T15,$T15+IF($F16=1,0,1))</f>
        <v/>
      </c>
      <c r="U16" s="38">
        <f>IF($A16=0,$U15,$U15+IF($G16=1,0,1))</f>
        <v/>
      </c>
      <c r="V16" s="38">
        <f>IF($A16=0,$V15,$V15+IF($H16=1,0,1))</f>
        <v/>
      </c>
      <c r="W16" s="38">
        <f>SUM($B16:$H16)</f>
        <v/>
      </c>
      <c r="X16" s="38">
        <f>IF(AND($A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=1),1,0)+IF(AND($G$1=7,$C16=1),1,0)+IF(AND($H$1=7,$D16=1),1,0)+IF(AND($I$1=7,$E16=1),1,0)+IF(AND($J$1=7,$F16=1),1,0)+IF(AND($K$1=7,$G16=1),1,0)+IF(AND($L$1=7,$H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" s="38">
        <f>IF($B16=1,IF($F$1&lt;7,10,IF(AND($F$1=7,$I15=0,$P15&gt;1),15,IF($I15&gt;=20,15,IF($I15&gt;=6,13,10)))),0)+IF($C16=1,IF($G$1&lt;7,10,IF(AND($G$1=7,$J15=0,$Q15&gt;1),15,IF($J15&gt;=20,15,IF($J15&gt;=6,13,10)))),0)+IF($D16=1,IF($H$1&lt;7,10,IF(AND($H$1=7,$K15=0,$R15&gt;1),15,IF($K15&gt;=20,15,IF($K15&gt;=6,13,10)))),0)+IF($E16=1,IF($I$1&lt;7,10,IF(AND($I$1=7,$L15=0,$S15&gt;1),15,IF($L15&gt;=20,15,IF($L15&gt;=6,13,10)))),0)+IF($F16=1,IF($J$1&lt;7,10,IF(AND($J$1=7,$M15=0,$T15&gt;1),15,IF($M15&gt;=20,15,IF($M15&gt;=6,13,10)))),0)+IF($G16=1,IF($K$1&lt;7,10,IF(AND($K$1=7,$N15=0,$U15&gt;1),15,IF($N15&gt;=20,15,IF($N15&gt;=6,13,10)))),0)+IF($H16=1,IF($L$1&lt;7,10,IF(AND($L$1=7,$O15=0,$V15&gt;1),15,IF($O15&gt;=20,15,IF($O15&gt;=6,13,10)))),0)</f>
        <v/>
      </c>
      <c r="Z16" s="38">
        <f>$Z15+$Y16</f>
        <v/>
      </c>
      <c r="AA16" s="38">
        <f>IF(AND($B16=1,AND($F$1=7,$I15=0,$P15&gt;1)),1,0)+IF(AND($C16=1,AND($G$1=7,$J15=0,$Q15&gt;1)),1,0)+IF(AND($D16=1,AND($H$1=7,$K15=0,$R15&gt;1)),1,0)+IF(AND($E16=1,AND($I$1=7,$L15=0,$S15&gt;1)),1,0)+IF(AND($F16=1,AND($J$1=7,$M15=0,$T15&gt;1)),1,0)+IF(AND($G16=1,AND($K$1=7,$N15=0,$U15&gt;1)),1,0)+IF(AND($H16=1,AND($L$1=7,$O15=0,$V15&gt;1)),1,0)</f>
        <v/>
      </c>
      <c r="AB16" s="38">
        <f>IF(IFERROR('Янв'!$I11,"")="",0,$AB15+1)</f>
        <v/>
      </c>
    </row>
    <row r="17" spans="1:28">
      <c r="A17" s="38">
        <f>IF($B$1&gt;=DATE(2026,1,7),1,0)</f>
        <v/>
      </c>
      <c r="B17" s="38">
        <f>IFERROR(IF('Янв'!$B12=TRUE,1,0),0)</f>
        <v/>
      </c>
      <c r="C17" s="38">
        <f>IFERROR(IF('Янв'!$C12=TRUE,1,0),0)</f>
        <v/>
      </c>
      <c r="D17" s="38">
        <f>IFERROR(IF('Янв'!$D12=TRUE,1,0),0)</f>
        <v/>
      </c>
      <c r="E17" s="38">
        <f>IFERROR(IF('Янв'!$E12=TRUE,1,0),0)</f>
        <v/>
      </c>
      <c r="F17" s="38">
        <f>IFERROR(IF('Янв'!$F12=TRUE,1,0),0)</f>
        <v/>
      </c>
      <c r="G17" s="38">
        <f>IFERROR(IF('Янв'!$G12=TRUE,1,0),0)</f>
        <v/>
      </c>
      <c r="H17" s="38">
        <f>IFERROR(IF('Янв'!$H12=TRUE,1,0),0)</f>
        <v/>
      </c>
      <c r="I17" s="38">
        <f>IF($A17=0,$I16,IF($B17=1,$I16+1,IF($P17&lt;=1,$I16,0)))</f>
        <v/>
      </c>
      <c r="J17" s="38">
        <f>IF($A17=0,$J16,IF($C17=1,$J16+1,IF($Q17&lt;=1,$J16,0)))</f>
        <v/>
      </c>
      <c r="K17" s="38">
        <f>IF($A17=0,$K16,IF($D17=1,$K16+1,IF($R17&lt;=1,$K16,0)))</f>
        <v/>
      </c>
      <c r="L17" s="38">
        <f>IF($A17=0,$L16,IF($E17=1,$L16+1,IF($S17&lt;=1,$L16,0)))</f>
        <v/>
      </c>
      <c r="M17" s="38">
        <f>IF($A17=0,$M16,IF($F17=1,$M16+1,IF($T17&lt;=1,$M16,0)))</f>
        <v/>
      </c>
      <c r="N17" s="38">
        <f>IF($A17=0,$N16,IF($G17=1,$N16+1,IF($U17&lt;=1,$N16,0)))</f>
        <v/>
      </c>
      <c r="O17" s="38">
        <f>IF($A17=0,$O16,IF($H17=1,$O16+1,IF($V17&lt;=1,$O16,0)))</f>
        <v/>
      </c>
      <c r="P17" s="38">
        <f>IF($A17=0,$P16,$P16+IF($B17=1,0,1))</f>
        <v/>
      </c>
      <c r="Q17" s="38">
        <f>IF($A17=0,$Q16,$Q16+IF($C17=1,0,1))</f>
        <v/>
      </c>
      <c r="R17" s="38">
        <f>IF($A17=0,$R16,$R16+IF($D17=1,0,1))</f>
        <v/>
      </c>
      <c r="S17" s="38">
        <f>IF($A17=0,$S16,$S16+IF($E17=1,0,1))</f>
        <v/>
      </c>
      <c r="T17" s="38">
        <f>IF($A17=0,$T16,$T16+IF($F17=1,0,1))</f>
        <v/>
      </c>
      <c r="U17" s="38">
        <f>IF($A17=0,$U16,$U16+IF($G17=1,0,1))</f>
        <v/>
      </c>
      <c r="V17" s="38">
        <f>IF($A17=0,$V16,$V16+IF($H17=1,0,1))</f>
        <v/>
      </c>
      <c r="W17" s="38">
        <f>SUM($B17:$H17)</f>
        <v/>
      </c>
      <c r="X17" s="38">
        <f>IF(AND($A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=1),1,0)+IF(AND($G$1=7,$C17=1),1,0)+IF(AND($H$1=7,$D17=1),1,0)+IF(AND($I$1=7,$E17=1),1,0)+IF(AND($J$1=7,$F17=1),1,0)+IF(AND($K$1=7,$G17=1),1,0)+IF(AND($L$1=7,$H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" s="38">
        <f>IF($B17=1,IF($F$1&lt;7,10,IF(AND($F$1=7,$I16=0,$P16&gt;1),15,IF($I16&gt;=20,15,IF($I16&gt;=6,13,10)))),0)+IF($C17=1,IF($G$1&lt;7,10,IF(AND($G$1=7,$J16=0,$Q16&gt;1),15,IF($J16&gt;=20,15,IF($J16&gt;=6,13,10)))),0)+IF($D17=1,IF($H$1&lt;7,10,IF(AND($H$1=7,$K16=0,$R16&gt;1),15,IF($K16&gt;=20,15,IF($K16&gt;=6,13,10)))),0)+IF($E17=1,IF($I$1&lt;7,10,IF(AND($I$1=7,$L16=0,$S16&gt;1),15,IF($L16&gt;=20,15,IF($L16&gt;=6,13,10)))),0)+IF($F17=1,IF($J$1&lt;7,10,IF(AND($J$1=7,$M16=0,$T16&gt;1),15,IF($M16&gt;=20,15,IF($M16&gt;=6,13,10)))),0)+IF($G17=1,IF($K$1&lt;7,10,IF(AND($K$1=7,$N16=0,$U16&gt;1),15,IF($N16&gt;=20,15,IF($N16&gt;=6,13,10)))),0)+IF($H17=1,IF($L$1&lt;7,10,IF(AND($L$1=7,$O16=0,$V16&gt;1),15,IF($O16&gt;=20,15,IF($O16&gt;=6,13,10)))),0)</f>
        <v/>
      </c>
      <c r="Z17" s="38">
        <f>$Z16+$Y17</f>
        <v/>
      </c>
      <c r="AA17" s="38">
        <f>IF(AND($B17=1,AND($F$1=7,$I16=0,$P16&gt;1)),1,0)+IF(AND($C17=1,AND($G$1=7,$J16=0,$Q16&gt;1)),1,0)+IF(AND($D17=1,AND($H$1=7,$K16=0,$R16&gt;1)),1,0)+IF(AND($E17=1,AND($I$1=7,$L16=0,$S16&gt;1)),1,0)+IF(AND($F17=1,AND($J$1=7,$M16=0,$T16&gt;1)),1,0)+IF(AND($G17=1,AND($K$1=7,$N16=0,$U16&gt;1)),1,0)+IF(AND($H17=1,AND($L$1=7,$O16=0,$V16&gt;1)),1,0)</f>
        <v/>
      </c>
      <c r="AB17" s="38">
        <f>IF(IFERROR('Янв'!$I12,"")="",0,$AB16+1)</f>
        <v/>
      </c>
    </row>
    <row r="18" spans="1:28">
      <c r="A18" s="38">
        <f>IF($B$1&gt;=DATE(2026,1,8),1,0)</f>
        <v/>
      </c>
      <c r="B18" s="38">
        <f>IFERROR(IF('Янв'!$B13=TRUE,1,0),0)</f>
        <v/>
      </c>
      <c r="C18" s="38">
        <f>IFERROR(IF('Янв'!$C13=TRUE,1,0),0)</f>
        <v/>
      </c>
      <c r="D18" s="38">
        <f>IFERROR(IF('Янв'!$D13=TRUE,1,0),0)</f>
        <v/>
      </c>
      <c r="E18" s="38">
        <f>IFERROR(IF('Янв'!$E13=TRUE,1,0),0)</f>
        <v/>
      </c>
      <c r="F18" s="38">
        <f>IFERROR(IF('Янв'!$F13=TRUE,1,0),0)</f>
        <v/>
      </c>
      <c r="G18" s="38">
        <f>IFERROR(IF('Янв'!$G13=TRUE,1,0),0)</f>
        <v/>
      </c>
      <c r="H18" s="38">
        <f>IFERROR(IF('Янв'!$H13=TRUE,1,0),0)</f>
        <v/>
      </c>
      <c r="I18" s="38">
        <f>IF($A18=0,$I17,IF($B18=1,$I17+1,IF($P18&lt;=1,$I17,0)))</f>
        <v/>
      </c>
      <c r="J18" s="38">
        <f>IF($A18=0,$J17,IF($C18=1,$J17+1,IF($Q18&lt;=1,$J17,0)))</f>
        <v/>
      </c>
      <c r="K18" s="38">
        <f>IF($A18=0,$K17,IF($D18=1,$K17+1,IF($R18&lt;=1,$K17,0)))</f>
        <v/>
      </c>
      <c r="L18" s="38">
        <f>IF($A18=0,$L17,IF($E18=1,$L17+1,IF($S18&lt;=1,$L17,0)))</f>
        <v/>
      </c>
      <c r="M18" s="38">
        <f>IF($A18=0,$M17,IF($F18=1,$M17+1,IF($T18&lt;=1,$M17,0)))</f>
        <v/>
      </c>
      <c r="N18" s="38">
        <f>IF($A18=0,$N17,IF($G18=1,$N17+1,IF($U18&lt;=1,$N17,0)))</f>
        <v/>
      </c>
      <c r="O18" s="38">
        <f>IF($A18=0,$O17,IF($H18=1,$O17+1,IF($V18&lt;=1,$O17,0)))</f>
        <v/>
      </c>
      <c r="P18" s="38">
        <f>IF($A18=0,$P17,$P17+IF($B18=1,0,1))</f>
        <v/>
      </c>
      <c r="Q18" s="38">
        <f>IF($A18=0,$Q17,$Q17+IF($C18=1,0,1))</f>
        <v/>
      </c>
      <c r="R18" s="38">
        <f>IF($A18=0,$R17,$R17+IF($D18=1,0,1))</f>
        <v/>
      </c>
      <c r="S18" s="38">
        <f>IF($A18=0,$S17,$S17+IF($E18=1,0,1))</f>
        <v/>
      </c>
      <c r="T18" s="38">
        <f>IF($A18=0,$T17,$T17+IF($F18=1,0,1))</f>
        <v/>
      </c>
      <c r="U18" s="38">
        <f>IF($A18=0,$U17,$U17+IF($G18=1,0,1))</f>
        <v/>
      </c>
      <c r="V18" s="38">
        <f>IF($A18=0,$V17,$V17+IF($H18=1,0,1))</f>
        <v/>
      </c>
      <c r="W18" s="38">
        <f>SUM($B18:$H18)</f>
        <v/>
      </c>
      <c r="X18" s="38">
        <f>IF(AND($A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=1),1,0)+IF(AND($G$1=7,$C18=1),1,0)+IF(AND($H$1=7,$D18=1),1,0)+IF(AND($I$1=7,$E18=1),1,0)+IF(AND($J$1=7,$F18=1),1,0)+IF(AND($K$1=7,$G18=1),1,0)+IF(AND($L$1=7,$H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" s="38">
        <f>IF($B18=1,IF($F$1&lt;7,10,IF(AND($F$1=7,$I17=0,$P17&gt;1),15,IF($I17&gt;=20,15,IF($I17&gt;=6,13,10)))),0)+IF($C18=1,IF($G$1&lt;7,10,IF(AND($G$1=7,$J17=0,$Q17&gt;1),15,IF($J17&gt;=20,15,IF($J17&gt;=6,13,10)))),0)+IF($D18=1,IF($H$1&lt;7,10,IF(AND($H$1=7,$K17=0,$R17&gt;1),15,IF($K17&gt;=20,15,IF($K17&gt;=6,13,10)))),0)+IF($E18=1,IF($I$1&lt;7,10,IF(AND($I$1=7,$L17=0,$S17&gt;1),15,IF($L17&gt;=20,15,IF($L17&gt;=6,13,10)))),0)+IF($F18=1,IF($J$1&lt;7,10,IF(AND($J$1=7,$M17=0,$T17&gt;1),15,IF($M17&gt;=20,15,IF($M17&gt;=6,13,10)))),0)+IF($G18=1,IF($K$1&lt;7,10,IF(AND($K$1=7,$N17=0,$U17&gt;1),15,IF($N17&gt;=20,15,IF($N17&gt;=6,13,10)))),0)+IF($H18=1,IF($L$1&lt;7,10,IF(AND($L$1=7,$O17=0,$V17&gt;1),15,IF($O17&gt;=20,15,IF($O17&gt;=6,13,10)))),0)</f>
        <v/>
      </c>
      <c r="Z18" s="38">
        <f>$Z17+$Y18</f>
        <v/>
      </c>
      <c r="AA18" s="38">
        <f>IF(AND($B18=1,AND($F$1=7,$I17=0,$P17&gt;1)),1,0)+IF(AND($C18=1,AND($G$1=7,$J17=0,$Q17&gt;1)),1,0)+IF(AND($D18=1,AND($H$1=7,$K17=0,$R17&gt;1)),1,0)+IF(AND($E18=1,AND($I$1=7,$L17=0,$S17&gt;1)),1,0)+IF(AND($F18=1,AND($J$1=7,$M17=0,$T17&gt;1)),1,0)+IF(AND($G18=1,AND($K$1=7,$N17=0,$U17&gt;1)),1,0)+IF(AND($H18=1,AND($L$1=7,$O17=0,$V17&gt;1)),1,0)</f>
        <v/>
      </c>
      <c r="AB18" s="38">
        <f>IF(IFERROR('Янв'!$I13,"")="",0,$AB17+1)</f>
        <v/>
      </c>
    </row>
    <row r="19" spans="1:28">
      <c r="A19" s="38">
        <f>IF($B$1&gt;=DATE(2026,1,9),1,0)</f>
        <v/>
      </c>
      <c r="B19" s="38">
        <f>IFERROR(IF('Янв'!$B14=TRUE,1,0),0)</f>
        <v/>
      </c>
      <c r="C19" s="38">
        <f>IFERROR(IF('Янв'!$C14=TRUE,1,0),0)</f>
        <v/>
      </c>
      <c r="D19" s="38">
        <f>IFERROR(IF('Янв'!$D14=TRUE,1,0),0)</f>
        <v/>
      </c>
      <c r="E19" s="38">
        <f>IFERROR(IF('Янв'!$E14=TRUE,1,0),0)</f>
        <v/>
      </c>
      <c r="F19" s="38">
        <f>IFERROR(IF('Янв'!$F14=TRUE,1,0),0)</f>
        <v/>
      </c>
      <c r="G19" s="38">
        <f>IFERROR(IF('Янв'!$G14=TRUE,1,0),0)</f>
        <v/>
      </c>
      <c r="H19" s="38">
        <f>IFERROR(IF('Янв'!$H14=TRUE,1,0),0)</f>
        <v/>
      </c>
      <c r="I19" s="38">
        <f>IF($A19=0,$I18,IF($B19=1,$I18+1,IF($P19&lt;=1,$I18,0)))</f>
        <v/>
      </c>
      <c r="J19" s="38">
        <f>IF($A19=0,$J18,IF($C19=1,$J18+1,IF($Q19&lt;=1,$J18,0)))</f>
        <v/>
      </c>
      <c r="K19" s="38">
        <f>IF($A19=0,$K18,IF($D19=1,$K18+1,IF($R19&lt;=1,$K18,0)))</f>
        <v/>
      </c>
      <c r="L19" s="38">
        <f>IF($A19=0,$L18,IF($E19=1,$L18+1,IF($S19&lt;=1,$L18,0)))</f>
        <v/>
      </c>
      <c r="M19" s="38">
        <f>IF($A19=0,$M18,IF($F19=1,$M18+1,IF($T19&lt;=1,$M18,0)))</f>
        <v/>
      </c>
      <c r="N19" s="38">
        <f>IF($A19=0,$N18,IF($G19=1,$N18+1,IF($U19&lt;=1,$N18,0)))</f>
        <v/>
      </c>
      <c r="O19" s="38">
        <f>IF($A19=0,$O18,IF($H19=1,$O18+1,IF($V19&lt;=1,$O18,0)))</f>
        <v/>
      </c>
      <c r="P19" s="38">
        <f>IF($A19=0,$P18,$P18+IF($B19=1,0,1))</f>
        <v/>
      </c>
      <c r="Q19" s="38">
        <f>IF($A19=0,$Q18,$Q18+IF($C19=1,0,1))</f>
        <v/>
      </c>
      <c r="R19" s="38">
        <f>IF($A19=0,$R18,$R18+IF($D19=1,0,1))</f>
        <v/>
      </c>
      <c r="S19" s="38">
        <f>IF($A19=0,$S18,$S18+IF($E19=1,0,1))</f>
        <v/>
      </c>
      <c r="T19" s="38">
        <f>IF($A19=0,$T18,$T18+IF($F19=1,0,1))</f>
        <v/>
      </c>
      <c r="U19" s="38">
        <f>IF($A19=0,$U18,$U18+IF($G19=1,0,1))</f>
        <v/>
      </c>
      <c r="V19" s="38">
        <f>IF($A19=0,$V18,$V18+IF($H19=1,0,1))</f>
        <v/>
      </c>
      <c r="W19" s="38">
        <f>SUM($B19:$H19)</f>
        <v/>
      </c>
      <c r="X19" s="38">
        <f>IF(AND($A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=1),1,0)+IF(AND($G$1=7,$C19=1),1,0)+IF(AND($H$1=7,$D19=1),1,0)+IF(AND($I$1=7,$E19=1),1,0)+IF(AND($J$1=7,$F19=1),1,0)+IF(AND($K$1=7,$G19=1),1,0)+IF(AND($L$1=7,$H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" s="38">
        <f>IF($B19=1,IF($F$1&lt;7,10,IF(AND($F$1=7,$I18=0,$P18&gt;1),15,IF($I18&gt;=20,15,IF($I18&gt;=6,13,10)))),0)+IF($C19=1,IF($G$1&lt;7,10,IF(AND($G$1=7,$J18=0,$Q18&gt;1),15,IF($J18&gt;=20,15,IF($J18&gt;=6,13,10)))),0)+IF($D19=1,IF($H$1&lt;7,10,IF(AND($H$1=7,$K18=0,$R18&gt;1),15,IF($K18&gt;=20,15,IF($K18&gt;=6,13,10)))),0)+IF($E19=1,IF($I$1&lt;7,10,IF(AND($I$1=7,$L18=0,$S18&gt;1),15,IF($L18&gt;=20,15,IF($L18&gt;=6,13,10)))),0)+IF($F19=1,IF($J$1&lt;7,10,IF(AND($J$1=7,$M18=0,$T18&gt;1),15,IF($M18&gt;=20,15,IF($M18&gt;=6,13,10)))),0)+IF($G19=1,IF($K$1&lt;7,10,IF(AND($K$1=7,$N18=0,$U18&gt;1),15,IF($N18&gt;=20,15,IF($N18&gt;=6,13,10)))),0)+IF($H19=1,IF($L$1&lt;7,10,IF(AND($L$1=7,$O18=0,$V18&gt;1),15,IF($O18&gt;=20,15,IF($O18&gt;=6,13,10)))),0)</f>
        <v/>
      </c>
      <c r="Z19" s="38">
        <f>$Z18+$Y19</f>
        <v/>
      </c>
      <c r="AA19" s="38">
        <f>IF(AND($B19=1,AND($F$1=7,$I18=0,$P18&gt;1)),1,0)+IF(AND($C19=1,AND($G$1=7,$J18=0,$Q18&gt;1)),1,0)+IF(AND($D19=1,AND($H$1=7,$K18=0,$R18&gt;1)),1,0)+IF(AND($E19=1,AND($I$1=7,$L18=0,$S18&gt;1)),1,0)+IF(AND($F19=1,AND($J$1=7,$M18=0,$T18&gt;1)),1,0)+IF(AND($G19=1,AND($K$1=7,$N18=0,$U18&gt;1)),1,0)+IF(AND($H19=1,AND($L$1=7,$O18=0,$V18&gt;1)),1,0)</f>
        <v/>
      </c>
      <c r="AB19" s="38">
        <f>IF(IFERROR('Янв'!$I14,"")="",0,$AB18+1)</f>
        <v/>
      </c>
    </row>
    <row r="20" spans="1:28">
      <c r="A20" s="38">
        <f>IF($B$1&gt;=DATE(2026,1,10),1,0)</f>
        <v/>
      </c>
      <c r="B20" s="38">
        <f>IFERROR(IF('Янв'!$B15=TRUE,1,0),0)</f>
        <v/>
      </c>
      <c r="C20" s="38">
        <f>IFERROR(IF('Янв'!$C15=TRUE,1,0),0)</f>
        <v/>
      </c>
      <c r="D20" s="38">
        <f>IFERROR(IF('Янв'!$D15=TRUE,1,0),0)</f>
        <v/>
      </c>
      <c r="E20" s="38">
        <f>IFERROR(IF('Янв'!$E15=TRUE,1,0),0)</f>
        <v/>
      </c>
      <c r="F20" s="38">
        <f>IFERROR(IF('Янв'!$F15=TRUE,1,0),0)</f>
        <v/>
      </c>
      <c r="G20" s="38">
        <f>IFERROR(IF('Янв'!$G15=TRUE,1,0),0)</f>
        <v/>
      </c>
      <c r="H20" s="38">
        <f>IFERROR(IF('Янв'!$H15=TRUE,1,0),0)</f>
        <v/>
      </c>
      <c r="I20" s="38">
        <f>IF($A20=0,$I19,IF($B20=1,$I19+1,IF($P20&lt;=1,$I19,0)))</f>
        <v/>
      </c>
      <c r="J20" s="38">
        <f>IF($A20=0,$J19,IF($C20=1,$J19+1,IF($Q20&lt;=1,$J19,0)))</f>
        <v/>
      </c>
      <c r="K20" s="38">
        <f>IF($A20=0,$K19,IF($D20=1,$K19+1,IF($R20&lt;=1,$K19,0)))</f>
        <v/>
      </c>
      <c r="L20" s="38">
        <f>IF($A20=0,$L19,IF($E20=1,$L19+1,IF($S20&lt;=1,$L19,0)))</f>
        <v/>
      </c>
      <c r="M20" s="38">
        <f>IF($A20=0,$M19,IF($F20=1,$M19+1,IF($T20&lt;=1,$M19,0)))</f>
        <v/>
      </c>
      <c r="N20" s="38">
        <f>IF($A20=0,$N19,IF($G20=1,$N19+1,IF($U20&lt;=1,$N19,0)))</f>
        <v/>
      </c>
      <c r="O20" s="38">
        <f>IF($A20=0,$O19,IF($H20=1,$O19+1,IF($V20&lt;=1,$O19,0)))</f>
        <v/>
      </c>
      <c r="P20" s="38">
        <f>IF($A20=0,$P19,$P19+IF($B20=1,0,1))</f>
        <v/>
      </c>
      <c r="Q20" s="38">
        <f>IF($A20=0,$Q19,$Q19+IF($C20=1,0,1))</f>
        <v/>
      </c>
      <c r="R20" s="38">
        <f>IF($A20=0,$R19,$R19+IF($D20=1,0,1))</f>
        <v/>
      </c>
      <c r="S20" s="38">
        <f>IF($A20=0,$S19,$S19+IF($E20=1,0,1))</f>
        <v/>
      </c>
      <c r="T20" s="38">
        <f>IF($A20=0,$T19,$T19+IF($F20=1,0,1))</f>
        <v/>
      </c>
      <c r="U20" s="38">
        <f>IF($A20=0,$U19,$U19+IF($G20=1,0,1))</f>
        <v/>
      </c>
      <c r="V20" s="38">
        <f>IF($A20=0,$V19,$V19+IF($H20=1,0,1))</f>
        <v/>
      </c>
      <c r="W20" s="38">
        <f>SUM($B20:$H20)</f>
        <v/>
      </c>
      <c r="X20" s="38">
        <f>IF(AND($A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=1),1,0)+IF(AND($G$1=7,$C20=1),1,0)+IF(AND($H$1=7,$D20=1),1,0)+IF(AND($I$1=7,$E20=1),1,0)+IF(AND($J$1=7,$F20=1),1,0)+IF(AND($K$1=7,$G20=1),1,0)+IF(AND($L$1=7,$H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" s="38">
        <f>IF($B20=1,IF($F$1&lt;7,10,IF(AND($F$1=7,$I19=0,$P19&gt;1),15,IF($I19&gt;=20,15,IF($I19&gt;=6,13,10)))),0)+IF($C20=1,IF($G$1&lt;7,10,IF(AND($G$1=7,$J19=0,$Q19&gt;1),15,IF($J19&gt;=20,15,IF($J19&gt;=6,13,10)))),0)+IF($D20=1,IF($H$1&lt;7,10,IF(AND($H$1=7,$K19=0,$R19&gt;1),15,IF($K19&gt;=20,15,IF($K19&gt;=6,13,10)))),0)+IF($E20=1,IF($I$1&lt;7,10,IF(AND($I$1=7,$L19=0,$S19&gt;1),15,IF($L19&gt;=20,15,IF($L19&gt;=6,13,10)))),0)+IF($F20=1,IF($J$1&lt;7,10,IF(AND($J$1=7,$M19=0,$T19&gt;1),15,IF($M19&gt;=20,15,IF($M19&gt;=6,13,10)))),0)+IF($G20=1,IF($K$1&lt;7,10,IF(AND($K$1=7,$N19=0,$U19&gt;1),15,IF($N19&gt;=20,15,IF($N19&gt;=6,13,10)))),0)+IF($H20=1,IF($L$1&lt;7,10,IF(AND($L$1=7,$O19=0,$V19&gt;1),15,IF($O19&gt;=20,15,IF($O19&gt;=6,13,10)))),0)</f>
        <v/>
      </c>
      <c r="Z20" s="38">
        <f>$Z19+$Y20</f>
        <v/>
      </c>
      <c r="AA20" s="38">
        <f>IF(AND($B20=1,AND($F$1=7,$I19=0,$P19&gt;1)),1,0)+IF(AND($C20=1,AND($G$1=7,$J19=0,$Q19&gt;1)),1,0)+IF(AND($D20=1,AND($H$1=7,$K19=0,$R19&gt;1)),1,0)+IF(AND($E20=1,AND($I$1=7,$L19=0,$S19&gt;1)),1,0)+IF(AND($F20=1,AND($J$1=7,$M19=0,$T19&gt;1)),1,0)+IF(AND($G20=1,AND($K$1=7,$N19=0,$U19&gt;1)),1,0)+IF(AND($H20=1,AND($L$1=7,$O19=0,$V19&gt;1)),1,0)</f>
        <v/>
      </c>
      <c r="AB20" s="38">
        <f>IF(IFERROR('Янв'!$I15,"")="",0,$AB19+1)</f>
        <v/>
      </c>
    </row>
    <row r="21" spans="1:28">
      <c r="A21" s="38">
        <f>IF($B$1&gt;=DATE(2026,1,11),1,0)</f>
        <v/>
      </c>
      <c r="B21" s="38">
        <f>IFERROR(IF('Янв'!$B16=TRUE,1,0),0)</f>
        <v/>
      </c>
      <c r="C21" s="38">
        <f>IFERROR(IF('Янв'!$C16=TRUE,1,0),0)</f>
        <v/>
      </c>
      <c r="D21" s="38">
        <f>IFERROR(IF('Янв'!$D16=TRUE,1,0),0)</f>
        <v/>
      </c>
      <c r="E21" s="38">
        <f>IFERROR(IF('Янв'!$E16=TRUE,1,0),0)</f>
        <v/>
      </c>
      <c r="F21" s="38">
        <f>IFERROR(IF('Янв'!$F16=TRUE,1,0),0)</f>
        <v/>
      </c>
      <c r="G21" s="38">
        <f>IFERROR(IF('Янв'!$G16=TRUE,1,0),0)</f>
        <v/>
      </c>
      <c r="H21" s="38">
        <f>IFERROR(IF('Янв'!$H16=TRUE,1,0),0)</f>
        <v/>
      </c>
      <c r="I21" s="38">
        <f>IF($A21=0,$I20,IF($B21=1,$I20+1,IF($P21&lt;=1,$I20,0)))</f>
        <v/>
      </c>
      <c r="J21" s="38">
        <f>IF($A21=0,$J20,IF($C21=1,$J20+1,IF($Q21&lt;=1,$J20,0)))</f>
        <v/>
      </c>
      <c r="K21" s="38">
        <f>IF($A21=0,$K20,IF($D21=1,$K20+1,IF($R21&lt;=1,$K20,0)))</f>
        <v/>
      </c>
      <c r="L21" s="38">
        <f>IF($A21=0,$L20,IF($E21=1,$L20+1,IF($S21&lt;=1,$L20,0)))</f>
        <v/>
      </c>
      <c r="M21" s="38">
        <f>IF($A21=0,$M20,IF($F21=1,$M20+1,IF($T21&lt;=1,$M20,0)))</f>
        <v/>
      </c>
      <c r="N21" s="38">
        <f>IF($A21=0,$N20,IF($G21=1,$N20+1,IF($U21&lt;=1,$N20,0)))</f>
        <v/>
      </c>
      <c r="O21" s="38">
        <f>IF($A21=0,$O20,IF($H21=1,$O20+1,IF($V21&lt;=1,$O20,0)))</f>
        <v/>
      </c>
      <c r="P21" s="38">
        <f>IF($A21=0,$P20,$P20+IF($B21=1,0,1))</f>
        <v/>
      </c>
      <c r="Q21" s="38">
        <f>IF($A21=0,$Q20,$Q20+IF($C21=1,0,1))</f>
        <v/>
      </c>
      <c r="R21" s="38">
        <f>IF($A21=0,$R20,$R20+IF($D21=1,0,1))</f>
        <v/>
      </c>
      <c r="S21" s="38">
        <f>IF($A21=0,$S20,$S20+IF($E21=1,0,1))</f>
        <v/>
      </c>
      <c r="T21" s="38">
        <f>IF($A21=0,$T20,$T20+IF($F21=1,0,1))</f>
        <v/>
      </c>
      <c r="U21" s="38">
        <f>IF($A21=0,$U20,$U20+IF($G21=1,0,1))</f>
        <v/>
      </c>
      <c r="V21" s="38">
        <f>IF($A21=0,$V20,$V20+IF($H21=1,0,1))</f>
        <v/>
      </c>
      <c r="W21" s="38">
        <f>SUM($B21:$H21)</f>
        <v/>
      </c>
      <c r="X21" s="38">
        <f>IF(AND($A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=1),1,0)+IF(AND($G$1=7,$C21=1),1,0)+IF(AND($H$1=7,$D21=1),1,0)+IF(AND($I$1=7,$E21=1),1,0)+IF(AND($J$1=7,$F21=1),1,0)+IF(AND($K$1=7,$G21=1),1,0)+IF(AND($L$1=7,$H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" s="38">
        <f>IF($B21=1,IF($F$1&lt;7,10,IF(AND($F$1=7,$I20=0,$P20&gt;1),15,IF($I20&gt;=20,15,IF($I20&gt;=6,13,10)))),0)+IF($C21=1,IF($G$1&lt;7,10,IF(AND($G$1=7,$J20=0,$Q20&gt;1),15,IF($J20&gt;=20,15,IF($J20&gt;=6,13,10)))),0)+IF($D21=1,IF($H$1&lt;7,10,IF(AND($H$1=7,$K20=0,$R20&gt;1),15,IF($K20&gt;=20,15,IF($K20&gt;=6,13,10)))),0)+IF($E21=1,IF($I$1&lt;7,10,IF(AND($I$1=7,$L20=0,$S20&gt;1),15,IF($L20&gt;=20,15,IF($L20&gt;=6,13,10)))),0)+IF($F21=1,IF($J$1&lt;7,10,IF(AND($J$1=7,$M20=0,$T20&gt;1),15,IF($M20&gt;=20,15,IF($M20&gt;=6,13,10)))),0)+IF($G21=1,IF($K$1&lt;7,10,IF(AND($K$1=7,$N20=0,$U20&gt;1),15,IF($N20&gt;=20,15,IF($N20&gt;=6,13,10)))),0)+IF($H21=1,IF($L$1&lt;7,10,IF(AND($L$1=7,$O20=0,$V20&gt;1),15,IF($O20&gt;=20,15,IF($O20&gt;=6,13,10)))),0)</f>
        <v/>
      </c>
      <c r="Z21" s="38">
        <f>$Z20+$Y21</f>
        <v/>
      </c>
      <c r="AA21" s="38">
        <f>IF(AND($B21=1,AND($F$1=7,$I20=0,$P20&gt;1)),1,0)+IF(AND($C21=1,AND($G$1=7,$J20=0,$Q20&gt;1)),1,0)+IF(AND($D21=1,AND($H$1=7,$K20=0,$R20&gt;1)),1,0)+IF(AND($E21=1,AND($I$1=7,$L20=0,$S20&gt;1)),1,0)+IF(AND($F21=1,AND($J$1=7,$M20=0,$T20&gt;1)),1,0)+IF(AND($G21=1,AND($K$1=7,$N20=0,$U20&gt;1)),1,0)+IF(AND($H21=1,AND($L$1=7,$O20=0,$V20&gt;1)),1,0)</f>
        <v/>
      </c>
      <c r="AB21" s="38">
        <f>IF(IFERROR('Янв'!$I16,"")="",0,$AB20+1)</f>
        <v/>
      </c>
    </row>
    <row r="22" spans="1:28">
      <c r="A22" s="38">
        <f>IF($B$1&gt;=DATE(2026,1,12),1,0)</f>
        <v/>
      </c>
      <c r="B22" s="38">
        <f>IFERROR(IF('Янв'!$B17=TRUE,1,0),0)</f>
        <v/>
      </c>
      <c r="C22" s="38">
        <f>IFERROR(IF('Янв'!$C17=TRUE,1,0),0)</f>
        <v/>
      </c>
      <c r="D22" s="38">
        <f>IFERROR(IF('Янв'!$D17=TRUE,1,0),0)</f>
        <v/>
      </c>
      <c r="E22" s="38">
        <f>IFERROR(IF('Янв'!$E17=TRUE,1,0),0)</f>
        <v/>
      </c>
      <c r="F22" s="38">
        <f>IFERROR(IF('Янв'!$F17=TRUE,1,0),0)</f>
        <v/>
      </c>
      <c r="G22" s="38">
        <f>IFERROR(IF('Янв'!$G17=TRUE,1,0),0)</f>
        <v/>
      </c>
      <c r="H22" s="38">
        <f>IFERROR(IF('Янв'!$H17=TRUE,1,0),0)</f>
        <v/>
      </c>
      <c r="I22" s="38">
        <f>IF($A22=0,$I21,IF($B22=1,$I21+1,IF($P22&lt;=1,$I21,0)))</f>
        <v/>
      </c>
      <c r="J22" s="38">
        <f>IF($A22=0,$J21,IF($C22=1,$J21+1,IF($Q22&lt;=1,$J21,0)))</f>
        <v/>
      </c>
      <c r="K22" s="38">
        <f>IF($A22=0,$K21,IF($D22=1,$K21+1,IF($R22&lt;=1,$K21,0)))</f>
        <v/>
      </c>
      <c r="L22" s="38">
        <f>IF($A22=0,$L21,IF($E22=1,$L21+1,IF($S22&lt;=1,$L21,0)))</f>
        <v/>
      </c>
      <c r="M22" s="38">
        <f>IF($A22=0,$M21,IF($F22=1,$M21+1,IF($T22&lt;=1,$M21,0)))</f>
        <v/>
      </c>
      <c r="N22" s="38">
        <f>IF($A22=0,$N21,IF($G22=1,$N21+1,IF($U22&lt;=1,$N21,0)))</f>
        <v/>
      </c>
      <c r="O22" s="38">
        <f>IF($A22=0,$O21,IF($H22=1,$O21+1,IF($V22&lt;=1,$O21,0)))</f>
        <v/>
      </c>
      <c r="P22" s="38">
        <f>IF($A22=0,$P21,$P21+IF($B22=1,0,1))</f>
        <v/>
      </c>
      <c r="Q22" s="38">
        <f>IF($A22=0,$Q21,$Q21+IF($C22=1,0,1))</f>
        <v/>
      </c>
      <c r="R22" s="38">
        <f>IF($A22=0,$R21,$R21+IF($D22=1,0,1))</f>
        <v/>
      </c>
      <c r="S22" s="38">
        <f>IF($A22=0,$S21,$S21+IF($E22=1,0,1))</f>
        <v/>
      </c>
      <c r="T22" s="38">
        <f>IF($A22=0,$T21,$T21+IF($F22=1,0,1))</f>
        <v/>
      </c>
      <c r="U22" s="38">
        <f>IF($A22=0,$U21,$U21+IF($G22=1,0,1))</f>
        <v/>
      </c>
      <c r="V22" s="38">
        <f>IF($A22=0,$V21,$V21+IF($H22=1,0,1))</f>
        <v/>
      </c>
      <c r="W22" s="38">
        <f>SUM($B22:$H22)</f>
        <v/>
      </c>
      <c r="X22" s="38">
        <f>IF(AND($A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=1),1,0)+IF(AND($G$1=7,$C22=1),1,0)+IF(AND($H$1=7,$D22=1),1,0)+IF(AND($I$1=7,$E22=1),1,0)+IF(AND($J$1=7,$F22=1),1,0)+IF(AND($K$1=7,$G22=1),1,0)+IF(AND($L$1=7,$H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" s="38">
        <f>IF($B22=1,IF($F$1&lt;7,10,IF(AND($F$1=7,$I21=0,$P21&gt;1),15,IF($I21&gt;=20,15,IF($I21&gt;=6,13,10)))),0)+IF($C22=1,IF($G$1&lt;7,10,IF(AND($G$1=7,$J21=0,$Q21&gt;1),15,IF($J21&gt;=20,15,IF($J21&gt;=6,13,10)))),0)+IF($D22=1,IF($H$1&lt;7,10,IF(AND($H$1=7,$K21=0,$R21&gt;1),15,IF($K21&gt;=20,15,IF($K21&gt;=6,13,10)))),0)+IF($E22=1,IF($I$1&lt;7,10,IF(AND($I$1=7,$L21=0,$S21&gt;1),15,IF($L21&gt;=20,15,IF($L21&gt;=6,13,10)))),0)+IF($F22=1,IF($J$1&lt;7,10,IF(AND($J$1=7,$M21=0,$T21&gt;1),15,IF($M21&gt;=20,15,IF($M21&gt;=6,13,10)))),0)+IF($G22=1,IF($K$1&lt;7,10,IF(AND($K$1=7,$N21=0,$U21&gt;1),15,IF($N21&gt;=20,15,IF($N21&gt;=6,13,10)))),0)+IF($H22=1,IF($L$1&lt;7,10,IF(AND($L$1=7,$O21=0,$V21&gt;1),15,IF($O21&gt;=20,15,IF($O21&gt;=6,13,10)))),0)</f>
        <v/>
      </c>
      <c r="Z22" s="38">
        <f>$Z21+$Y22</f>
        <v/>
      </c>
      <c r="AA22" s="38">
        <f>IF(AND($B22=1,AND($F$1=7,$I21=0,$P21&gt;1)),1,0)+IF(AND($C22=1,AND($G$1=7,$J21=0,$Q21&gt;1)),1,0)+IF(AND($D22=1,AND($H$1=7,$K21=0,$R21&gt;1)),1,0)+IF(AND($E22=1,AND($I$1=7,$L21=0,$S21&gt;1)),1,0)+IF(AND($F22=1,AND($J$1=7,$M21=0,$T21&gt;1)),1,0)+IF(AND($G22=1,AND($K$1=7,$N21=0,$U21&gt;1)),1,0)+IF(AND($H22=1,AND($L$1=7,$O21=0,$V21&gt;1)),1,0)</f>
        <v/>
      </c>
      <c r="AB22" s="38">
        <f>IF(IFERROR('Янв'!$I17,"")="",0,$AB21+1)</f>
        <v/>
      </c>
    </row>
    <row r="23" spans="1:28">
      <c r="A23" s="38">
        <f>IF($B$1&gt;=DATE(2026,1,13),1,0)</f>
        <v/>
      </c>
      <c r="B23" s="38">
        <f>IFERROR(IF('Янв'!$B18=TRUE,1,0),0)</f>
        <v/>
      </c>
      <c r="C23" s="38">
        <f>IFERROR(IF('Янв'!$C18=TRUE,1,0),0)</f>
        <v/>
      </c>
      <c r="D23" s="38">
        <f>IFERROR(IF('Янв'!$D18=TRUE,1,0),0)</f>
        <v/>
      </c>
      <c r="E23" s="38">
        <f>IFERROR(IF('Янв'!$E18=TRUE,1,0),0)</f>
        <v/>
      </c>
      <c r="F23" s="38">
        <f>IFERROR(IF('Янв'!$F18=TRUE,1,0),0)</f>
        <v/>
      </c>
      <c r="G23" s="38">
        <f>IFERROR(IF('Янв'!$G18=TRUE,1,0),0)</f>
        <v/>
      </c>
      <c r="H23" s="38">
        <f>IFERROR(IF('Янв'!$H18=TRUE,1,0),0)</f>
        <v/>
      </c>
      <c r="I23" s="38">
        <f>IF($A23=0,$I22,IF($B23=1,$I22+1,IF($P23&lt;=1,$I22,0)))</f>
        <v/>
      </c>
      <c r="J23" s="38">
        <f>IF($A23=0,$J22,IF($C23=1,$J22+1,IF($Q23&lt;=1,$J22,0)))</f>
        <v/>
      </c>
      <c r="K23" s="38">
        <f>IF($A23=0,$K22,IF($D23=1,$K22+1,IF($R23&lt;=1,$K22,0)))</f>
        <v/>
      </c>
      <c r="L23" s="38">
        <f>IF($A23=0,$L22,IF($E23=1,$L22+1,IF($S23&lt;=1,$L22,0)))</f>
        <v/>
      </c>
      <c r="M23" s="38">
        <f>IF($A23=0,$M22,IF($F23=1,$M22+1,IF($T23&lt;=1,$M22,0)))</f>
        <v/>
      </c>
      <c r="N23" s="38">
        <f>IF($A23=0,$N22,IF($G23=1,$N22+1,IF($U23&lt;=1,$N22,0)))</f>
        <v/>
      </c>
      <c r="O23" s="38">
        <f>IF($A23=0,$O22,IF($H23=1,$O22+1,IF($V23&lt;=1,$O22,0)))</f>
        <v/>
      </c>
      <c r="P23" s="38">
        <f>IF($A23=0,$P22,$P22+IF($B23=1,0,1))</f>
        <v/>
      </c>
      <c r="Q23" s="38">
        <f>IF($A23=0,$Q22,$Q22+IF($C23=1,0,1))</f>
        <v/>
      </c>
      <c r="R23" s="38">
        <f>IF($A23=0,$R22,$R22+IF($D23=1,0,1))</f>
        <v/>
      </c>
      <c r="S23" s="38">
        <f>IF($A23=0,$S22,$S22+IF($E23=1,0,1))</f>
        <v/>
      </c>
      <c r="T23" s="38">
        <f>IF($A23=0,$T22,$T22+IF($F23=1,0,1))</f>
        <v/>
      </c>
      <c r="U23" s="38">
        <f>IF($A23=0,$U22,$U22+IF($G23=1,0,1))</f>
        <v/>
      </c>
      <c r="V23" s="38">
        <f>IF($A23=0,$V22,$V22+IF($H23=1,0,1))</f>
        <v/>
      </c>
      <c r="W23" s="38">
        <f>SUM($B23:$H23)</f>
        <v/>
      </c>
      <c r="X23" s="38">
        <f>IF(AND($A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=1),1,0)+IF(AND($G$1=7,$C23=1),1,0)+IF(AND($H$1=7,$D23=1),1,0)+IF(AND($I$1=7,$E23=1),1,0)+IF(AND($J$1=7,$F23=1),1,0)+IF(AND($K$1=7,$G23=1),1,0)+IF(AND($L$1=7,$H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" s="38">
        <f>IF($B23=1,IF($F$1&lt;7,10,IF(AND($F$1=7,$I22=0,$P22&gt;1),15,IF($I22&gt;=20,15,IF($I22&gt;=6,13,10)))),0)+IF($C23=1,IF($G$1&lt;7,10,IF(AND($G$1=7,$J22=0,$Q22&gt;1),15,IF($J22&gt;=20,15,IF($J22&gt;=6,13,10)))),0)+IF($D23=1,IF($H$1&lt;7,10,IF(AND($H$1=7,$K22=0,$R22&gt;1),15,IF($K22&gt;=20,15,IF($K22&gt;=6,13,10)))),0)+IF($E23=1,IF($I$1&lt;7,10,IF(AND($I$1=7,$L22=0,$S22&gt;1),15,IF($L22&gt;=20,15,IF($L22&gt;=6,13,10)))),0)+IF($F23=1,IF($J$1&lt;7,10,IF(AND($J$1=7,$M22=0,$T22&gt;1),15,IF($M22&gt;=20,15,IF($M22&gt;=6,13,10)))),0)+IF($G23=1,IF($K$1&lt;7,10,IF(AND($K$1=7,$N22=0,$U22&gt;1),15,IF($N22&gt;=20,15,IF($N22&gt;=6,13,10)))),0)+IF($H23=1,IF($L$1&lt;7,10,IF(AND($L$1=7,$O22=0,$V22&gt;1),15,IF($O22&gt;=20,15,IF($O22&gt;=6,13,10)))),0)</f>
        <v/>
      </c>
      <c r="Z23" s="38">
        <f>$Z22+$Y23</f>
        <v/>
      </c>
      <c r="AA23" s="38">
        <f>IF(AND($B23=1,AND($F$1=7,$I22=0,$P22&gt;1)),1,0)+IF(AND($C23=1,AND($G$1=7,$J22=0,$Q22&gt;1)),1,0)+IF(AND($D23=1,AND($H$1=7,$K22=0,$R22&gt;1)),1,0)+IF(AND($E23=1,AND($I$1=7,$L22=0,$S22&gt;1)),1,0)+IF(AND($F23=1,AND($J$1=7,$M22=0,$T22&gt;1)),1,0)+IF(AND($G23=1,AND($K$1=7,$N22=0,$U22&gt;1)),1,0)+IF(AND($H23=1,AND($L$1=7,$O22=0,$V22&gt;1)),1,0)</f>
        <v/>
      </c>
      <c r="AB23" s="38">
        <f>IF(IFERROR('Янв'!$I18,"")="",0,$AB22+1)</f>
        <v/>
      </c>
    </row>
    <row r="24" spans="1:28">
      <c r="A24" s="38">
        <f>IF($B$1&gt;=DATE(2026,1,14),1,0)</f>
        <v/>
      </c>
      <c r="B24" s="38">
        <f>IFERROR(IF('Янв'!$B19=TRUE,1,0),0)</f>
        <v/>
      </c>
      <c r="C24" s="38">
        <f>IFERROR(IF('Янв'!$C19=TRUE,1,0),0)</f>
        <v/>
      </c>
      <c r="D24" s="38">
        <f>IFERROR(IF('Янв'!$D19=TRUE,1,0),0)</f>
        <v/>
      </c>
      <c r="E24" s="38">
        <f>IFERROR(IF('Янв'!$E19=TRUE,1,0),0)</f>
        <v/>
      </c>
      <c r="F24" s="38">
        <f>IFERROR(IF('Янв'!$F19=TRUE,1,0),0)</f>
        <v/>
      </c>
      <c r="G24" s="38">
        <f>IFERROR(IF('Янв'!$G19=TRUE,1,0),0)</f>
        <v/>
      </c>
      <c r="H24" s="38">
        <f>IFERROR(IF('Янв'!$H19=TRUE,1,0),0)</f>
        <v/>
      </c>
      <c r="I24" s="38">
        <f>IF($A24=0,$I23,IF($B24=1,$I23+1,IF($P24&lt;=1,$I23,0)))</f>
        <v/>
      </c>
      <c r="J24" s="38">
        <f>IF($A24=0,$J23,IF($C24=1,$J23+1,IF($Q24&lt;=1,$J23,0)))</f>
        <v/>
      </c>
      <c r="K24" s="38">
        <f>IF($A24=0,$K23,IF($D24=1,$K23+1,IF($R24&lt;=1,$K23,0)))</f>
        <v/>
      </c>
      <c r="L24" s="38">
        <f>IF($A24=0,$L23,IF($E24=1,$L23+1,IF($S24&lt;=1,$L23,0)))</f>
        <v/>
      </c>
      <c r="M24" s="38">
        <f>IF($A24=0,$M23,IF($F24=1,$M23+1,IF($T24&lt;=1,$M23,0)))</f>
        <v/>
      </c>
      <c r="N24" s="38">
        <f>IF($A24=0,$N23,IF($G24=1,$N23+1,IF($U24&lt;=1,$N23,0)))</f>
        <v/>
      </c>
      <c r="O24" s="38">
        <f>IF($A24=0,$O23,IF($H24=1,$O23+1,IF($V24&lt;=1,$O23,0)))</f>
        <v/>
      </c>
      <c r="P24" s="38">
        <f>IF($A24=0,$P23,$P23+IF($B24=1,0,1))</f>
        <v/>
      </c>
      <c r="Q24" s="38">
        <f>IF($A24=0,$Q23,$Q23+IF($C24=1,0,1))</f>
        <v/>
      </c>
      <c r="R24" s="38">
        <f>IF($A24=0,$R23,$R23+IF($D24=1,0,1))</f>
        <v/>
      </c>
      <c r="S24" s="38">
        <f>IF($A24=0,$S23,$S23+IF($E24=1,0,1))</f>
        <v/>
      </c>
      <c r="T24" s="38">
        <f>IF($A24=0,$T23,$T23+IF($F24=1,0,1))</f>
        <v/>
      </c>
      <c r="U24" s="38">
        <f>IF($A24=0,$U23,$U23+IF($G24=1,0,1))</f>
        <v/>
      </c>
      <c r="V24" s="38">
        <f>IF($A24=0,$V23,$V23+IF($H24=1,0,1))</f>
        <v/>
      </c>
      <c r="W24" s="38">
        <f>SUM($B24:$H24)</f>
        <v/>
      </c>
      <c r="X24" s="38">
        <f>IF(AND($A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=1),1,0)+IF(AND($G$1=7,$C24=1),1,0)+IF(AND($H$1=7,$D24=1),1,0)+IF(AND($I$1=7,$E24=1),1,0)+IF(AND($J$1=7,$F24=1),1,0)+IF(AND($K$1=7,$G24=1),1,0)+IF(AND($L$1=7,$H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" s="38">
        <f>IF($B24=1,IF($F$1&lt;7,10,IF(AND($F$1=7,$I23=0,$P23&gt;1),15,IF($I23&gt;=20,15,IF($I23&gt;=6,13,10)))),0)+IF($C24=1,IF($G$1&lt;7,10,IF(AND($G$1=7,$J23=0,$Q23&gt;1),15,IF($J23&gt;=20,15,IF($J23&gt;=6,13,10)))),0)+IF($D24=1,IF($H$1&lt;7,10,IF(AND($H$1=7,$K23=0,$R23&gt;1),15,IF($K23&gt;=20,15,IF($K23&gt;=6,13,10)))),0)+IF($E24=1,IF($I$1&lt;7,10,IF(AND($I$1=7,$L23=0,$S23&gt;1),15,IF($L23&gt;=20,15,IF($L23&gt;=6,13,10)))),0)+IF($F24=1,IF($J$1&lt;7,10,IF(AND($J$1=7,$M23=0,$T23&gt;1),15,IF($M23&gt;=20,15,IF($M23&gt;=6,13,10)))),0)+IF($G24=1,IF($K$1&lt;7,10,IF(AND($K$1=7,$N23=0,$U23&gt;1),15,IF($N23&gt;=20,15,IF($N23&gt;=6,13,10)))),0)+IF($H24=1,IF($L$1&lt;7,10,IF(AND($L$1=7,$O23=0,$V23&gt;1),15,IF($O23&gt;=20,15,IF($O23&gt;=6,13,10)))),0)</f>
        <v/>
      </c>
      <c r="Z24" s="38">
        <f>$Z23+$Y24</f>
        <v/>
      </c>
      <c r="AA24" s="38">
        <f>IF(AND($B24=1,AND($F$1=7,$I23=0,$P23&gt;1)),1,0)+IF(AND($C24=1,AND($G$1=7,$J23=0,$Q23&gt;1)),1,0)+IF(AND($D24=1,AND($H$1=7,$K23=0,$R23&gt;1)),1,0)+IF(AND($E24=1,AND($I$1=7,$L23=0,$S23&gt;1)),1,0)+IF(AND($F24=1,AND($J$1=7,$M23=0,$T23&gt;1)),1,0)+IF(AND($G24=1,AND($K$1=7,$N23=0,$U23&gt;1)),1,0)+IF(AND($H24=1,AND($L$1=7,$O23=0,$V23&gt;1)),1,0)</f>
        <v/>
      </c>
      <c r="AB24" s="38">
        <f>IF(IFERROR('Янв'!$I19,"")="",0,$AB23+1)</f>
        <v/>
      </c>
    </row>
    <row r="25" spans="1:28">
      <c r="A25" s="38">
        <f>IF($B$1&gt;=DATE(2026,1,15),1,0)</f>
        <v/>
      </c>
      <c r="B25" s="38">
        <f>IFERROR(IF('Янв'!$B20=TRUE,1,0),0)</f>
        <v/>
      </c>
      <c r="C25" s="38">
        <f>IFERROR(IF('Янв'!$C20=TRUE,1,0),0)</f>
        <v/>
      </c>
      <c r="D25" s="38">
        <f>IFERROR(IF('Янв'!$D20=TRUE,1,0),0)</f>
        <v/>
      </c>
      <c r="E25" s="38">
        <f>IFERROR(IF('Янв'!$E20=TRUE,1,0),0)</f>
        <v/>
      </c>
      <c r="F25" s="38">
        <f>IFERROR(IF('Янв'!$F20=TRUE,1,0),0)</f>
        <v/>
      </c>
      <c r="G25" s="38">
        <f>IFERROR(IF('Янв'!$G20=TRUE,1,0),0)</f>
        <v/>
      </c>
      <c r="H25" s="38">
        <f>IFERROR(IF('Янв'!$H20=TRUE,1,0),0)</f>
        <v/>
      </c>
      <c r="I25" s="38">
        <f>IF($A25=0,$I24,IF($B25=1,$I24+1,IF($P25&lt;=1,$I24,0)))</f>
        <v/>
      </c>
      <c r="J25" s="38">
        <f>IF($A25=0,$J24,IF($C25=1,$J24+1,IF($Q25&lt;=1,$J24,0)))</f>
        <v/>
      </c>
      <c r="K25" s="38">
        <f>IF($A25=0,$K24,IF($D25=1,$K24+1,IF($R25&lt;=1,$K24,0)))</f>
        <v/>
      </c>
      <c r="L25" s="38">
        <f>IF($A25=0,$L24,IF($E25=1,$L24+1,IF($S25&lt;=1,$L24,0)))</f>
        <v/>
      </c>
      <c r="M25" s="38">
        <f>IF($A25=0,$M24,IF($F25=1,$M24+1,IF($T25&lt;=1,$M24,0)))</f>
        <v/>
      </c>
      <c r="N25" s="38">
        <f>IF($A25=0,$N24,IF($G25=1,$N24+1,IF($U25&lt;=1,$N24,0)))</f>
        <v/>
      </c>
      <c r="O25" s="38">
        <f>IF($A25=0,$O24,IF($H25=1,$O24+1,IF($V25&lt;=1,$O24,0)))</f>
        <v/>
      </c>
      <c r="P25" s="38">
        <f>IF($A25=0,$P24,$P24+IF($B25=1,0,1))</f>
        <v/>
      </c>
      <c r="Q25" s="38">
        <f>IF($A25=0,$Q24,$Q24+IF($C25=1,0,1))</f>
        <v/>
      </c>
      <c r="R25" s="38">
        <f>IF($A25=0,$R24,$R24+IF($D25=1,0,1))</f>
        <v/>
      </c>
      <c r="S25" s="38">
        <f>IF($A25=0,$S24,$S24+IF($E25=1,0,1))</f>
        <v/>
      </c>
      <c r="T25" s="38">
        <f>IF($A25=0,$T24,$T24+IF($F25=1,0,1))</f>
        <v/>
      </c>
      <c r="U25" s="38">
        <f>IF($A25=0,$U24,$U24+IF($G25=1,0,1))</f>
        <v/>
      </c>
      <c r="V25" s="38">
        <f>IF($A25=0,$V24,$V24+IF($H25=1,0,1))</f>
        <v/>
      </c>
      <c r="W25" s="38">
        <f>SUM($B25:$H25)</f>
        <v/>
      </c>
      <c r="X25" s="38">
        <f>IF(AND($A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=1),1,0)+IF(AND($G$1=7,$C25=1),1,0)+IF(AND($H$1=7,$D25=1),1,0)+IF(AND($I$1=7,$E25=1),1,0)+IF(AND($J$1=7,$F25=1),1,0)+IF(AND($K$1=7,$G25=1),1,0)+IF(AND($L$1=7,$H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" s="38">
        <f>IF($B25=1,IF($F$1&lt;7,10,IF(AND($F$1=7,$I24=0,$P24&gt;1),15,IF($I24&gt;=20,15,IF($I24&gt;=6,13,10)))),0)+IF($C25=1,IF($G$1&lt;7,10,IF(AND($G$1=7,$J24=0,$Q24&gt;1),15,IF($J24&gt;=20,15,IF($J24&gt;=6,13,10)))),0)+IF($D25=1,IF($H$1&lt;7,10,IF(AND($H$1=7,$K24=0,$R24&gt;1),15,IF($K24&gt;=20,15,IF($K24&gt;=6,13,10)))),0)+IF($E25=1,IF($I$1&lt;7,10,IF(AND($I$1=7,$L24=0,$S24&gt;1),15,IF($L24&gt;=20,15,IF($L24&gt;=6,13,10)))),0)+IF($F25=1,IF($J$1&lt;7,10,IF(AND($J$1=7,$M24=0,$T24&gt;1),15,IF($M24&gt;=20,15,IF($M24&gt;=6,13,10)))),0)+IF($G25=1,IF($K$1&lt;7,10,IF(AND($K$1=7,$N24=0,$U24&gt;1),15,IF($N24&gt;=20,15,IF($N24&gt;=6,13,10)))),0)+IF($H25=1,IF($L$1&lt;7,10,IF(AND($L$1=7,$O24=0,$V24&gt;1),15,IF($O24&gt;=20,15,IF($O24&gt;=6,13,10)))),0)</f>
        <v/>
      </c>
      <c r="Z25" s="38">
        <f>$Z24+$Y25</f>
        <v/>
      </c>
      <c r="AA25" s="38">
        <f>IF(AND($B25=1,AND($F$1=7,$I24=0,$P24&gt;1)),1,0)+IF(AND($C25=1,AND($G$1=7,$J24=0,$Q24&gt;1)),1,0)+IF(AND($D25=1,AND($H$1=7,$K24=0,$R24&gt;1)),1,0)+IF(AND($E25=1,AND($I$1=7,$L24=0,$S24&gt;1)),1,0)+IF(AND($F25=1,AND($J$1=7,$M24=0,$T24&gt;1)),1,0)+IF(AND($G25=1,AND($K$1=7,$N24=0,$U24&gt;1)),1,0)+IF(AND($H25=1,AND($L$1=7,$O24=0,$V24&gt;1)),1,0)</f>
        <v/>
      </c>
      <c r="AB25" s="38">
        <f>IF(IFERROR('Янв'!$I20,"")="",0,$AB24+1)</f>
        <v/>
      </c>
    </row>
    <row r="26" spans="1:28">
      <c r="A26" s="38">
        <f>IF($B$1&gt;=DATE(2026,1,16),1,0)</f>
        <v/>
      </c>
      <c r="B26" s="38">
        <f>IFERROR(IF('Янв'!$B21=TRUE,1,0),0)</f>
        <v/>
      </c>
      <c r="C26" s="38">
        <f>IFERROR(IF('Янв'!$C21=TRUE,1,0),0)</f>
        <v/>
      </c>
      <c r="D26" s="38">
        <f>IFERROR(IF('Янв'!$D21=TRUE,1,0),0)</f>
        <v/>
      </c>
      <c r="E26" s="38">
        <f>IFERROR(IF('Янв'!$E21=TRUE,1,0),0)</f>
        <v/>
      </c>
      <c r="F26" s="38">
        <f>IFERROR(IF('Янв'!$F21=TRUE,1,0),0)</f>
        <v/>
      </c>
      <c r="G26" s="38">
        <f>IFERROR(IF('Янв'!$G21=TRUE,1,0),0)</f>
        <v/>
      </c>
      <c r="H26" s="38">
        <f>IFERROR(IF('Янв'!$H21=TRUE,1,0),0)</f>
        <v/>
      </c>
      <c r="I26" s="38">
        <f>IF($A26=0,$I25,IF($B26=1,$I25+1,IF($P26&lt;=1,$I25,0)))</f>
        <v/>
      </c>
      <c r="J26" s="38">
        <f>IF($A26=0,$J25,IF($C26=1,$J25+1,IF($Q26&lt;=1,$J25,0)))</f>
        <v/>
      </c>
      <c r="K26" s="38">
        <f>IF($A26=0,$K25,IF($D26=1,$K25+1,IF($R26&lt;=1,$K25,0)))</f>
        <v/>
      </c>
      <c r="L26" s="38">
        <f>IF($A26=0,$L25,IF($E26=1,$L25+1,IF($S26&lt;=1,$L25,0)))</f>
        <v/>
      </c>
      <c r="M26" s="38">
        <f>IF($A26=0,$M25,IF($F26=1,$M25+1,IF($T26&lt;=1,$M25,0)))</f>
        <v/>
      </c>
      <c r="N26" s="38">
        <f>IF($A26=0,$N25,IF($G26=1,$N25+1,IF($U26&lt;=1,$N25,0)))</f>
        <v/>
      </c>
      <c r="O26" s="38">
        <f>IF($A26=0,$O25,IF($H26=1,$O25+1,IF($V26&lt;=1,$O25,0)))</f>
        <v/>
      </c>
      <c r="P26" s="38">
        <f>IF($A26=0,$P25,$P25+IF($B26=1,0,1))</f>
        <v/>
      </c>
      <c r="Q26" s="38">
        <f>IF($A26=0,$Q25,$Q25+IF($C26=1,0,1))</f>
        <v/>
      </c>
      <c r="R26" s="38">
        <f>IF($A26=0,$R25,$R25+IF($D26=1,0,1))</f>
        <v/>
      </c>
      <c r="S26" s="38">
        <f>IF($A26=0,$S25,$S25+IF($E26=1,0,1))</f>
        <v/>
      </c>
      <c r="T26" s="38">
        <f>IF($A26=0,$T25,$T25+IF($F26=1,0,1))</f>
        <v/>
      </c>
      <c r="U26" s="38">
        <f>IF($A26=0,$U25,$U25+IF($G26=1,0,1))</f>
        <v/>
      </c>
      <c r="V26" s="38">
        <f>IF($A26=0,$V25,$V25+IF($H26=1,0,1))</f>
        <v/>
      </c>
      <c r="W26" s="38">
        <f>SUM($B26:$H26)</f>
        <v/>
      </c>
      <c r="X26" s="38">
        <f>IF(AND($A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=1),1,0)+IF(AND($G$1=7,$C26=1),1,0)+IF(AND($H$1=7,$D26=1),1,0)+IF(AND($I$1=7,$E26=1),1,0)+IF(AND($J$1=7,$F26=1),1,0)+IF(AND($K$1=7,$G26=1),1,0)+IF(AND($L$1=7,$H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" s="38">
        <f>IF($B26=1,IF($F$1&lt;7,10,IF(AND($F$1=7,$I25=0,$P25&gt;1),15,IF($I25&gt;=20,15,IF($I25&gt;=6,13,10)))),0)+IF($C26=1,IF($G$1&lt;7,10,IF(AND($G$1=7,$J25=0,$Q25&gt;1),15,IF($J25&gt;=20,15,IF($J25&gt;=6,13,10)))),0)+IF($D26=1,IF($H$1&lt;7,10,IF(AND($H$1=7,$K25=0,$R25&gt;1),15,IF($K25&gt;=20,15,IF($K25&gt;=6,13,10)))),0)+IF($E26=1,IF($I$1&lt;7,10,IF(AND($I$1=7,$L25=0,$S25&gt;1),15,IF($L25&gt;=20,15,IF($L25&gt;=6,13,10)))),0)+IF($F26=1,IF($J$1&lt;7,10,IF(AND($J$1=7,$M25=0,$T25&gt;1),15,IF($M25&gt;=20,15,IF($M25&gt;=6,13,10)))),0)+IF($G26=1,IF($K$1&lt;7,10,IF(AND($K$1=7,$N25=0,$U25&gt;1),15,IF($N25&gt;=20,15,IF($N25&gt;=6,13,10)))),0)+IF($H26=1,IF($L$1&lt;7,10,IF(AND($L$1=7,$O25=0,$V25&gt;1),15,IF($O25&gt;=20,15,IF($O25&gt;=6,13,10)))),0)</f>
        <v/>
      </c>
      <c r="Z26" s="38">
        <f>$Z25+$Y26</f>
        <v/>
      </c>
      <c r="AA26" s="38">
        <f>IF(AND($B26=1,AND($F$1=7,$I25=0,$P25&gt;1)),1,0)+IF(AND($C26=1,AND($G$1=7,$J25=0,$Q25&gt;1)),1,0)+IF(AND($D26=1,AND($H$1=7,$K25=0,$R25&gt;1)),1,0)+IF(AND($E26=1,AND($I$1=7,$L25=0,$S25&gt;1)),1,0)+IF(AND($F26=1,AND($J$1=7,$M25=0,$T25&gt;1)),1,0)+IF(AND($G26=1,AND($K$1=7,$N25=0,$U25&gt;1)),1,0)+IF(AND($H26=1,AND($L$1=7,$O25=0,$V25&gt;1)),1,0)</f>
        <v/>
      </c>
      <c r="AB26" s="38">
        <f>IF(IFERROR('Янв'!$I21,"")="",0,$AB25+1)</f>
        <v/>
      </c>
    </row>
    <row r="27" spans="1:28">
      <c r="A27" s="38">
        <f>IF($B$1&gt;=DATE(2026,1,17),1,0)</f>
        <v/>
      </c>
      <c r="B27" s="38">
        <f>IFERROR(IF('Янв'!$B22=TRUE,1,0),0)</f>
        <v/>
      </c>
      <c r="C27" s="38">
        <f>IFERROR(IF('Янв'!$C22=TRUE,1,0),0)</f>
        <v/>
      </c>
      <c r="D27" s="38">
        <f>IFERROR(IF('Янв'!$D22=TRUE,1,0),0)</f>
        <v/>
      </c>
      <c r="E27" s="38">
        <f>IFERROR(IF('Янв'!$E22=TRUE,1,0),0)</f>
        <v/>
      </c>
      <c r="F27" s="38">
        <f>IFERROR(IF('Янв'!$F22=TRUE,1,0),0)</f>
        <v/>
      </c>
      <c r="G27" s="38">
        <f>IFERROR(IF('Янв'!$G22=TRUE,1,0),0)</f>
        <v/>
      </c>
      <c r="H27" s="38">
        <f>IFERROR(IF('Янв'!$H22=TRUE,1,0),0)</f>
        <v/>
      </c>
      <c r="I27" s="38">
        <f>IF($A27=0,$I26,IF($B27=1,$I26+1,IF($P27&lt;=1,$I26,0)))</f>
        <v/>
      </c>
      <c r="J27" s="38">
        <f>IF($A27=0,$J26,IF($C27=1,$J26+1,IF($Q27&lt;=1,$J26,0)))</f>
        <v/>
      </c>
      <c r="K27" s="38">
        <f>IF($A27=0,$K26,IF($D27=1,$K26+1,IF($R27&lt;=1,$K26,0)))</f>
        <v/>
      </c>
      <c r="L27" s="38">
        <f>IF($A27=0,$L26,IF($E27=1,$L26+1,IF($S27&lt;=1,$L26,0)))</f>
        <v/>
      </c>
      <c r="M27" s="38">
        <f>IF($A27=0,$M26,IF($F27=1,$M26+1,IF($T27&lt;=1,$M26,0)))</f>
        <v/>
      </c>
      <c r="N27" s="38">
        <f>IF($A27=0,$N26,IF($G27=1,$N26+1,IF($U27&lt;=1,$N26,0)))</f>
        <v/>
      </c>
      <c r="O27" s="38">
        <f>IF($A27=0,$O26,IF($H27=1,$O26+1,IF($V27&lt;=1,$O26,0)))</f>
        <v/>
      </c>
      <c r="P27" s="38">
        <f>IF($A27=0,$P26,$P26+IF($B27=1,0,1))</f>
        <v/>
      </c>
      <c r="Q27" s="38">
        <f>IF($A27=0,$Q26,$Q26+IF($C27=1,0,1))</f>
        <v/>
      </c>
      <c r="R27" s="38">
        <f>IF($A27=0,$R26,$R26+IF($D27=1,0,1))</f>
        <v/>
      </c>
      <c r="S27" s="38">
        <f>IF($A27=0,$S26,$S26+IF($E27=1,0,1))</f>
        <v/>
      </c>
      <c r="T27" s="38">
        <f>IF($A27=0,$T26,$T26+IF($F27=1,0,1))</f>
        <v/>
      </c>
      <c r="U27" s="38">
        <f>IF($A27=0,$U26,$U26+IF($G27=1,0,1))</f>
        <v/>
      </c>
      <c r="V27" s="38">
        <f>IF($A27=0,$V26,$V26+IF($H27=1,0,1))</f>
        <v/>
      </c>
      <c r="W27" s="38">
        <f>SUM($B27:$H27)</f>
        <v/>
      </c>
      <c r="X27" s="38">
        <f>IF(AND($A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=1),1,0)+IF(AND($G$1=7,$C27=1),1,0)+IF(AND($H$1=7,$D27=1),1,0)+IF(AND($I$1=7,$E27=1),1,0)+IF(AND($J$1=7,$F27=1),1,0)+IF(AND($K$1=7,$G27=1),1,0)+IF(AND($L$1=7,$H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" s="38">
        <f>IF($B27=1,IF($F$1&lt;7,10,IF(AND($F$1=7,$I26=0,$P26&gt;1),15,IF($I26&gt;=20,15,IF($I26&gt;=6,13,10)))),0)+IF($C27=1,IF($G$1&lt;7,10,IF(AND($G$1=7,$J26=0,$Q26&gt;1),15,IF($J26&gt;=20,15,IF($J26&gt;=6,13,10)))),0)+IF($D27=1,IF($H$1&lt;7,10,IF(AND($H$1=7,$K26=0,$R26&gt;1),15,IF($K26&gt;=20,15,IF($K26&gt;=6,13,10)))),0)+IF($E27=1,IF($I$1&lt;7,10,IF(AND($I$1=7,$L26=0,$S26&gt;1),15,IF($L26&gt;=20,15,IF($L26&gt;=6,13,10)))),0)+IF($F27=1,IF($J$1&lt;7,10,IF(AND($J$1=7,$M26=0,$T26&gt;1),15,IF($M26&gt;=20,15,IF($M26&gt;=6,13,10)))),0)+IF($G27=1,IF($K$1&lt;7,10,IF(AND($K$1=7,$N26=0,$U26&gt;1),15,IF($N26&gt;=20,15,IF($N26&gt;=6,13,10)))),0)+IF($H27=1,IF($L$1&lt;7,10,IF(AND($L$1=7,$O26=0,$V26&gt;1),15,IF($O26&gt;=20,15,IF($O26&gt;=6,13,10)))),0)</f>
        <v/>
      </c>
      <c r="Z27" s="38">
        <f>$Z26+$Y27</f>
        <v/>
      </c>
      <c r="AA27" s="38">
        <f>IF(AND($B27=1,AND($F$1=7,$I26=0,$P26&gt;1)),1,0)+IF(AND($C27=1,AND($G$1=7,$J26=0,$Q26&gt;1)),1,0)+IF(AND($D27=1,AND($H$1=7,$K26=0,$R26&gt;1)),1,0)+IF(AND($E27=1,AND($I$1=7,$L26=0,$S26&gt;1)),1,0)+IF(AND($F27=1,AND($J$1=7,$M26=0,$T26&gt;1)),1,0)+IF(AND($G27=1,AND($K$1=7,$N26=0,$U26&gt;1)),1,0)+IF(AND($H27=1,AND($L$1=7,$O26=0,$V26&gt;1)),1,0)</f>
        <v/>
      </c>
      <c r="AB27" s="38">
        <f>IF(IFERROR('Янв'!$I22,"")="",0,$AB26+1)</f>
        <v/>
      </c>
    </row>
    <row r="28" spans="1:28">
      <c r="A28" s="38">
        <f>IF($B$1&gt;=DATE(2026,1,18),1,0)</f>
        <v/>
      </c>
      <c r="B28" s="38">
        <f>IFERROR(IF('Янв'!$B23=TRUE,1,0),0)</f>
        <v/>
      </c>
      <c r="C28" s="38">
        <f>IFERROR(IF('Янв'!$C23=TRUE,1,0),0)</f>
        <v/>
      </c>
      <c r="D28" s="38">
        <f>IFERROR(IF('Янв'!$D23=TRUE,1,0),0)</f>
        <v/>
      </c>
      <c r="E28" s="38">
        <f>IFERROR(IF('Янв'!$E23=TRUE,1,0),0)</f>
        <v/>
      </c>
      <c r="F28" s="38">
        <f>IFERROR(IF('Янв'!$F23=TRUE,1,0),0)</f>
        <v/>
      </c>
      <c r="G28" s="38">
        <f>IFERROR(IF('Янв'!$G23=TRUE,1,0),0)</f>
        <v/>
      </c>
      <c r="H28" s="38">
        <f>IFERROR(IF('Янв'!$H23=TRUE,1,0),0)</f>
        <v/>
      </c>
      <c r="I28" s="38">
        <f>IF($A28=0,$I27,IF($B28=1,$I27+1,IF($P28&lt;=1,$I27,0)))</f>
        <v/>
      </c>
      <c r="J28" s="38">
        <f>IF($A28=0,$J27,IF($C28=1,$J27+1,IF($Q28&lt;=1,$J27,0)))</f>
        <v/>
      </c>
      <c r="K28" s="38">
        <f>IF($A28=0,$K27,IF($D28=1,$K27+1,IF($R28&lt;=1,$K27,0)))</f>
        <v/>
      </c>
      <c r="L28" s="38">
        <f>IF($A28=0,$L27,IF($E28=1,$L27+1,IF($S28&lt;=1,$L27,0)))</f>
        <v/>
      </c>
      <c r="M28" s="38">
        <f>IF($A28=0,$M27,IF($F28=1,$M27+1,IF($T28&lt;=1,$M27,0)))</f>
        <v/>
      </c>
      <c r="N28" s="38">
        <f>IF($A28=0,$N27,IF($G28=1,$N27+1,IF($U28&lt;=1,$N27,0)))</f>
        <v/>
      </c>
      <c r="O28" s="38">
        <f>IF($A28=0,$O27,IF($H28=1,$O27+1,IF($V28&lt;=1,$O27,0)))</f>
        <v/>
      </c>
      <c r="P28" s="38">
        <f>IF($A28=0,$P27,$P27+IF($B28=1,0,1))</f>
        <v/>
      </c>
      <c r="Q28" s="38">
        <f>IF($A28=0,$Q27,$Q27+IF($C28=1,0,1))</f>
        <v/>
      </c>
      <c r="R28" s="38">
        <f>IF($A28=0,$R27,$R27+IF($D28=1,0,1))</f>
        <v/>
      </c>
      <c r="S28" s="38">
        <f>IF($A28=0,$S27,$S27+IF($E28=1,0,1))</f>
        <v/>
      </c>
      <c r="T28" s="38">
        <f>IF($A28=0,$T27,$T27+IF($F28=1,0,1))</f>
        <v/>
      </c>
      <c r="U28" s="38">
        <f>IF($A28=0,$U27,$U27+IF($G28=1,0,1))</f>
        <v/>
      </c>
      <c r="V28" s="38">
        <f>IF($A28=0,$V27,$V27+IF($H28=1,0,1))</f>
        <v/>
      </c>
      <c r="W28" s="38">
        <f>SUM($B28:$H28)</f>
        <v/>
      </c>
      <c r="X28" s="38">
        <f>IF(AND($A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=1),1,0)+IF(AND($G$1=7,$C28=1),1,0)+IF(AND($H$1=7,$D28=1),1,0)+IF(AND($I$1=7,$E28=1),1,0)+IF(AND($J$1=7,$F28=1),1,0)+IF(AND($K$1=7,$G28=1),1,0)+IF(AND($L$1=7,$H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" s="38">
        <f>IF($B28=1,IF($F$1&lt;7,10,IF(AND($F$1=7,$I27=0,$P27&gt;1),15,IF($I27&gt;=20,15,IF($I27&gt;=6,13,10)))),0)+IF($C28=1,IF($G$1&lt;7,10,IF(AND($G$1=7,$J27=0,$Q27&gt;1),15,IF($J27&gt;=20,15,IF($J27&gt;=6,13,10)))),0)+IF($D28=1,IF($H$1&lt;7,10,IF(AND($H$1=7,$K27=0,$R27&gt;1),15,IF($K27&gt;=20,15,IF($K27&gt;=6,13,10)))),0)+IF($E28=1,IF($I$1&lt;7,10,IF(AND($I$1=7,$L27=0,$S27&gt;1),15,IF($L27&gt;=20,15,IF($L27&gt;=6,13,10)))),0)+IF($F28=1,IF($J$1&lt;7,10,IF(AND($J$1=7,$M27=0,$T27&gt;1),15,IF($M27&gt;=20,15,IF($M27&gt;=6,13,10)))),0)+IF($G28=1,IF($K$1&lt;7,10,IF(AND($K$1=7,$N27=0,$U27&gt;1),15,IF($N27&gt;=20,15,IF($N27&gt;=6,13,10)))),0)+IF($H28=1,IF($L$1&lt;7,10,IF(AND($L$1=7,$O27=0,$V27&gt;1),15,IF($O27&gt;=20,15,IF($O27&gt;=6,13,10)))),0)</f>
        <v/>
      </c>
      <c r="Z28" s="38">
        <f>$Z27+$Y28</f>
        <v/>
      </c>
      <c r="AA28" s="38">
        <f>IF(AND($B28=1,AND($F$1=7,$I27=0,$P27&gt;1)),1,0)+IF(AND($C28=1,AND($G$1=7,$J27=0,$Q27&gt;1)),1,0)+IF(AND($D28=1,AND($H$1=7,$K27=0,$R27&gt;1)),1,0)+IF(AND($E28=1,AND($I$1=7,$L27=0,$S27&gt;1)),1,0)+IF(AND($F28=1,AND($J$1=7,$M27=0,$T27&gt;1)),1,0)+IF(AND($G28=1,AND($K$1=7,$N27=0,$U27&gt;1)),1,0)+IF(AND($H28=1,AND($L$1=7,$O27=0,$V27&gt;1)),1,0)</f>
        <v/>
      </c>
      <c r="AB28" s="38">
        <f>IF(IFERROR('Янв'!$I23,"")="",0,$AB27+1)</f>
        <v/>
      </c>
    </row>
    <row r="29" spans="1:28">
      <c r="A29" s="38">
        <f>IF($B$1&gt;=DATE(2026,1,19),1,0)</f>
        <v/>
      </c>
      <c r="B29" s="38">
        <f>IFERROR(IF('Янв'!$B24=TRUE,1,0),0)</f>
        <v/>
      </c>
      <c r="C29" s="38">
        <f>IFERROR(IF('Янв'!$C24=TRUE,1,0),0)</f>
        <v/>
      </c>
      <c r="D29" s="38">
        <f>IFERROR(IF('Янв'!$D24=TRUE,1,0),0)</f>
        <v/>
      </c>
      <c r="E29" s="38">
        <f>IFERROR(IF('Янв'!$E24=TRUE,1,0),0)</f>
        <v/>
      </c>
      <c r="F29" s="38">
        <f>IFERROR(IF('Янв'!$F24=TRUE,1,0),0)</f>
        <v/>
      </c>
      <c r="G29" s="38">
        <f>IFERROR(IF('Янв'!$G24=TRUE,1,0),0)</f>
        <v/>
      </c>
      <c r="H29" s="38">
        <f>IFERROR(IF('Янв'!$H24=TRUE,1,0),0)</f>
        <v/>
      </c>
      <c r="I29" s="38">
        <f>IF($A29=0,$I28,IF($B29=1,$I28+1,IF($P29&lt;=1,$I28,0)))</f>
        <v/>
      </c>
      <c r="J29" s="38">
        <f>IF($A29=0,$J28,IF($C29=1,$J28+1,IF($Q29&lt;=1,$J28,0)))</f>
        <v/>
      </c>
      <c r="K29" s="38">
        <f>IF($A29=0,$K28,IF($D29=1,$K28+1,IF($R29&lt;=1,$K28,0)))</f>
        <v/>
      </c>
      <c r="L29" s="38">
        <f>IF($A29=0,$L28,IF($E29=1,$L28+1,IF($S29&lt;=1,$L28,0)))</f>
        <v/>
      </c>
      <c r="M29" s="38">
        <f>IF($A29=0,$M28,IF($F29=1,$M28+1,IF($T29&lt;=1,$M28,0)))</f>
        <v/>
      </c>
      <c r="N29" s="38">
        <f>IF($A29=0,$N28,IF($G29=1,$N28+1,IF($U29&lt;=1,$N28,0)))</f>
        <v/>
      </c>
      <c r="O29" s="38">
        <f>IF($A29=0,$O28,IF($H29=1,$O28+1,IF($V29&lt;=1,$O28,0)))</f>
        <v/>
      </c>
      <c r="P29" s="38">
        <f>IF($A29=0,$P28,$P28+IF($B29=1,0,1))</f>
        <v/>
      </c>
      <c r="Q29" s="38">
        <f>IF($A29=0,$Q28,$Q28+IF($C29=1,0,1))</f>
        <v/>
      </c>
      <c r="R29" s="38">
        <f>IF($A29=0,$R28,$R28+IF($D29=1,0,1))</f>
        <v/>
      </c>
      <c r="S29" s="38">
        <f>IF($A29=0,$S28,$S28+IF($E29=1,0,1))</f>
        <v/>
      </c>
      <c r="T29" s="38">
        <f>IF($A29=0,$T28,$T28+IF($F29=1,0,1))</f>
        <v/>
      </c>
      <c r="U29" s="38">
        <f>IF($A29=0,$U28,$U28+IF($G29=1,0,1))</f>
        <v/>
      </c>
      <c r="V29" s="38">
        <f>IF($A29=0,$V28,$V28+IF($H29=1,0,1))</f>
        <v/>
      </c>
      <c r="W29" s="38">
        <f>SUM($B29:$H29)</f>
        <v/>
      </c>
      <c r="X29" s="38">
        <f>IF(AND($A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=1),1,0)+IF(AND($G$1=7,$C29=1),1,0)+IF(AND($H$1=7,$D29=1),1,0)+IF(AND($I$1=7,$E29=1),1,0)+IF(AND($J$1=7,$F29=1),1,0)+IF(AND($K$1=7,$G29=1),1,0)+IF(AND($L$1=7,$H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" s="38">
        <f>IF($B29=1,IF($F$1&lt;7,10,IF(AND($F$1=7,$I28=0,$P28&gt;1),15,IF($I28&gt;=20,15,IF($I28&gt;=6,13,10)))),0)+IF($C29=1,IF($G$1&lt;7,10,IF(AND($G$1=7,$J28=0,$Q28&gt;1),15,IF($J28&gt;=20,15,IF($J28&gt;=6,13,10)))),0)+IF($D29=1,IF($H$1&lt;7,10,IF(AND($H$1=7,$K28=0,$R28&gt;1),15,IF($K28&gt;=20,15,IF($K28&gt;=6,13,10)))),0)+IF($E29=1,IF($I$1&lt;7,10,IF(AND($I$1=7,$L28=0,$S28&gt;1),15,IF($L28&gt;=20,15,IF($L28&gt;=6,13,10)))),0)+IF($F29=1,IF($J$1&lt;7,10,IF(AND($J$1=7,$M28=0,$T28&gt;1),15,IF($M28&gt;=20,15,IF($M28&gt;=6,13,10)))),0)+IF($G29=1,IF($K$1&lt;7,10,IF(AND($K$1=7,$N28=0,$U28&gt;1),15,IF($N28&gt;=20,15,IF($N28&gt;=6,13,10)))),0)+IF($H29=1,IF($L$1&lt;7,10,IF(AND($L$1=7,$O28=0,$V28&gt;1),15,IF($O28&gt;=20,15,IF($O28&gt;=6,13,10)))),0)</f>
        <v/>
      </c>
      <c r="Z29" s="38">
        <f>$Z28+$Y29</f>
        <v/>
      </c>
      <c r="AA29" s="38">
        <f>IF(AND($B29=1,AND($F$1=7,$I28=0,$P28&gt;1)),1,0)+IF(AND($C29=1,AND($G$1=7,$J28=0,$Q28&gt;1)),1,0)+IF(AND($D29=1,AND($H$1=7,$K28=0,$R28&gt;1)),1,0)+IF(AND($E29=1,AND($I$1=7,$L28=0,$S28&gt;1)),1,0)+IF(AND($F29=1,AND($J$1=7,$M28=0,$T28&gt;1)),1,0)+IF(AND($G29=1,AND($K$1=7,$N28=0,$U28&gt;1)),1,0)+IF(AND($H29=1,AND($L$1=7,$O28=0,$V28&gt;1)),1,0)</f>
        <v/>
      </c>
      <c r="AB29" s="38">
        <f>IF(IFERROR('Янв'!$I24,"")="",0,$AB28+1)</f>
        <v/>
      </c>
    </row>
    <row r="30" spans="1:28">
      <c r="A30" s="38">
        <f>IF($B$1&gt;=DATE(2026,1,20),1,0)</f>
        <v/>
      </c>
      <c r="B30" s="38">
        <f>IFERROR(IF('Янв'!$B25=TRUE,1,0),0)</f>
        <v/>
      </c>
      <c r="C30" s="38">
        <f>IFERROR(IF('Янв'!$C25=TRUE,1,0),0)</f>
        <v/>
      </c>
      <c r="D30" s="38">
        <f>IFERROR(IF('Янв'!$D25=TRUE,1,0),0)</f>
        <v/>
      </c>
      <c r="E30" s="38">
        <f>IFERROR(IF('Янв'!$E25=TRUE,1,0),0)</f>
        <v/>
      </c>
      <c r="F30" s="38">
        <f>IFERROR(IF('Янв'!$F25=TRUE,1,0),0)</f>
        <v/>
      </c>
      <c r="G30" s="38">
        <f>IFERROR(IF('Янв'!$G25=TRUE,1,0),0)</f>
        <v/>
      </c>
      <c r="H30" s="38">
        <f>IFERROR(IF('Янв'!$H25=TRUE,1,0),0)</f>
        <v/>
      </c>
      <c r="I30" s="38">
        <f>IF($A30=0,$I29,IF($B30=1,$I29+1,IF($P30&lt;=1,$I29,0)))</f>
        <v/>
      </c>
      <c r="J30" s="38">
        <f>IF($A30=0,$J29,IF($C30=1,$J29+1,IF($Q30&lt;=1,$J29,0)))</f>
        <v/>
      </c>
      <c r="K30" s="38">
        <f>IF($A30=0,$K29,IF($D30=1,$K29+1,IF($R30&lt;=1,$K29,0)))</f>
        <v/>
      </c>
      <c r="L30" s="38">
        <f>IF($A30=0,$L29,IF($E30=1,$L29+1,IF($S30&lt;=1,$L29,0)))</f>
        <v/>
      </c>
      <c r="M30" s="38">
        <f>IF($A30=0,$M29,IF($F30=1,$M29+1,IF($T30&lt;=1,$M29,0)))</f>
        <v/>
      </c>
      <c r="N30" s="38">
        <f>IF($A30=0,$N29,IF($G30=1,$N29+1,IF($U30&lt;=1,$N29,0)))</f>
        <v/>
      </c>
      <c r="O30" s="38">
        <f>IF($A30=0,$O29,IF($H30=1,$O29+1,IF($V30&lt;=1,$O29,0)))</f>
        <v/>
      </c>
      <c r="P30" s="38">
        <f>IF($A30=0,$P29,$P29+IF($B30=1,0,1))</f>
        <v/>
      </c>
      <c r="Q30" s="38">
        <f>IF($A30=0,$Q29,$Q29+IF($C30=1,0,1))</f>
        <v/>
      </c>
      <c r="R30" s="38">
        <f>IF($A30=0,$R29,$R29+IF($D30=1,0,1))</f>
        <v/>
      </c>
      <c r="S30" s="38">
        <f>IF($A30=0,$S29,$S29+IF($E30=1,0,1))</f>
        <v/>
      </c>
      <c r="T30" s="38">
        <f>IF($A30=0,$T29,$T29+IF($F30=1,0,1))</f>
        <v/>
      </c>
      <c r="U30" s="38">
        <f>IF($A30=0,$U29,$U29+IF($G30=1,0,1))</f>
        <v/>
      </c>
      <c r="V30" s="38">
        <f>IF($A30=0,$V29,$V29+IF($H30=1,0,1))</f>
        <v/>
      </c>
      <c r="W30" s="38">
        <f>SUM($B30:$H30)</f>
        <v/>
      </c>
      <c r="X30" s="38">
        <f>IF(AND($A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=1),1,0)+IF(AND($G$1=7,$C30=1),1,0)+IF(AND($H$1=7,$D30=1),1,0)+IF(AND($I$1=7,$E30=1),1,0)+IF(AND($J$1=7,$F30=1),1,0)+IF(AND($K$1=7,$G30=1),1,0)+IF(AND($L$1=7,$H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" s="38">
        <f>IF($B30=1,IF($F$1&lt;7,10,IF(AND($F$1=7,$I29=0,$P29&gt;1),15,IF($I29&gt;=20,15,IF($I29&gt;=6,13,10)))),0)+IF($C30=1,IF($G$1&lt;7,10,IF(AND($G$1=7,$J29=0,$Q29&gt;1),15,IF($J29&gt;=20,15,IF($J29&gt;=6,13,10)))),0)+IF($D30=1,IF($H$1&lt;7,10,IF(AND($H$1=7,$K29=0,$R29&gt;1),15,IF($K29&gt;=20,15,IF($K29&gt;=6,13,10)))),0)+IF($E30=1,IF($I$1&lt;7,10,IF(AND($I$1=7,$L29=0,$S29&gt;1),15,IF($L29&gt;=20,15,IF($L29&gt;=6,13,10)))),0)+IF($F30=1,IF($J$1&lt;7,10,IF(AND($J$1=7,$M29=0,$T29&gt;1),15,IF($M29&gt;=20,15,IF($M29&gt;=6,13,10)))),0)+IF($G30=1,IF($K$1&lt;7,10,IF(AND($K$1=7,$N29=0,$U29&gt;1),15,IF($N29&gt;=20,15,IF($N29&gt;=6,13,10)))),0)+IF($H30=1,IF($L$1&lt;7,10,IF(AND($L$1=7,$O29=0,$V29&gt;1),15,IF($O29&gt;=20,15,IF($O29&gt;=6,13,10)))),0)</f>
        <v/>
      </c>
      <c r="Z30" s="38">
        <f>$Z29+$Y30</f>
        <v/>
      </c>
      <c r="AA30" s="38">
        <f>IF(AND($B30=1,AND($F$1=7,$I29=0,$P29&gt;1)),1,0)+IF(AND($C30=1,AND($G$1=7,$J29=0,$Q29&gt;1)),1,0)+IF(AND($D30=1,AND($H$1=7,$K29=0,$R29&gt;1)),1,0)+IF(AND($E30=1,AND($I$1=7,$L29=0,$S29&gt;1)),1,0)+IF(AND($F30=1,AND($J$1=7,$M29=0,$T29&gt;1)),1,0)+IF(AND($G30=1,AND($K$1=7,$N29=0,$U29&gt;1)),1,0)+IF(AND($H30=1,AND($L$1=7,$O29=0,$V29&gt;1)),1,0)</f>
        <v/>
      </c>
      <c r="AB30" s="38">
        <f>IF(IFERROR('Янв'!$I25,"")="",0,$AB29+1)</f>
        <v/>
      </c>
    </row>
    <row r="31" spans="1:28">
      <c r="A31" s="38">
        <f>IF($B$1&gt;=DATE(2026,1,21),1,0)</f>
        <v/>
      </c>
      <c r="B31" s="38">
        <f>IFERROR(IF('Янв'!$B26=TRUE,1,0),0)</f>
        <v/>
      </c>
      <c r="C31" s="38">
        <f>IFERROR(IF('Янв'!$C26=TRUE,1,0),0)</f>
        <v/>
      </c>
      <c r="D31" s="38">
        <f>IFERROR(IF('Янв'!$D26=TRUE,1,0),0)</f>
        <v/>
      </c>
      <c r="E31" s="38">
        <f>IFERROR(IF('Янв'!$E26=TRUE,1,0),0)</f>
        <v/>
      </c>
      <c r="F31" s="38">
        <f>IFERROR(IF('Янв'!$F26=TRUE,1,0),0)</f>
        <v/>
      </c>
      <c r="G31" s="38">
        <f>IFERROR(IF('Янв'!$G26=TRUE,1,0),0)</f>
        <v/>
      </c>
      <c r="H31" s="38">
        <f>IFERROR(IF('Янв'!$H26=TRUE,1,0),0)</f>
        <v/>
      </c>
      <c r="I31" s="38">
        <f>IF($A31=0,$I30,IF($B31=1,$I30+1,IF($P31&lt;=1,$I30,0)))</f>
        <v/>
      </c>
      <c r="J31" s="38">
        <f>IF($A31=0,$J30,IF($C31=1,$J30+1,IF($Q31&lt;=1,$J30,0)))</f>
        <v/>
      </c>
      <c r="K31" s="38">
        <f>IF($A31=0,$K30,IF($D31=1,$K30+1,IF($R31&lt;=1,$K30,0)))</f>
        <v/>
      </c>
      <c r="L31" s="38">
        <f>IF($A31=0,$L30,IF($E31=1,$L30+1,IF($S31&lt;=1,$L30,0)))</f>
        <v/>
      </c>
      <c r="M31" s="38">
        <f>IF($A31=0,$M30,IF($F31=1,$M30+1,IF($T31&lt;=1,$M30,0)))</f>
        <v/>
      </c>
      <c r="N31" s="38">
        <f>IF($A31=0,$N30,IF($G31=1,$N30+1,IF($U31&lt;=1,$N30,0)))</f>
        <v/>
      </c>
      <c r="O31" s="38">
        <f>IF($A31=0,$O30,IF($H31=1,$O30+1,IF($V31&lt;=1,$O30,0)))</f>
        <v/>
      </c>
      <c r="P31" s="38">
        <f>IF($A31=0,$P30,$P30+IF($B31=1,0,1))</f>
        <v/>
      </c>
      <c r="Q31" s="38">
        <f>IF($A31=0,$Q30,$Q30+IF($C31=1,0,1))</f>
        <v/>
      </c>
      <c r="R31" s="38">
        <f>IF($A31=0,$R30,$R30+IF($D31=1,0,1))</f>
        <v/>
      </c>
      <c r="S31" s="38">
        <f>IF($A31=0,$S30,$S30+IF($E31=1,0,1))</f>
        <v/>
      </c>
      <c r="T31" s="38">
        <f>IF($A31=0,$T30,$T30+IF($F31=1,0,1))</f>
        <v/>
      </c>
      <c r="U31" s="38">
        <f>IF($A31=0,$U30,$U30+IF($G31=1,0,1))</f>
        <v/>
      </c>
      <c r="V31" s="38">
        <f>IF($A31=0,$V30,$V30+IF($H31=1,0,1))</f>
        <v/>
      </c>
      <c r="W31" s="38">
        <f>SUM($B31:$H31)</f>
        <v/>
      </c>
      <c r="X31" s="38">
        <f>IF(AND($A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=1),1,0)+IF(AND($G$1=7,$C31=1),1,0)+IF(AND($H$1=7,$D31=1),1,0)+IF(AND($I$1=7,$E31=1),1,0)+IF(AND($J$1=7,$F31=1),1,0)+IF(AND($K$1=7,$G31=1),1,0)+IF(AND($L$1=7,$H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" s="38">
        <f>IF($B31=1,IF($F$1&lt;7,10,IF(AND($F$1=7,$I30=0,$P30&gt;1),15,IF($I30&gt;=20,15,IF($I30&gt;=6,13,10)))),0)+IF($C31=1,IF($G$1&lt;7,10,IF(AND($G$1=7,$J30=0,$Q30&gt;1),15,IF($J30&gt;=20,15,IF($J30&gt;=6,13,10)))),0)+IF($D31=1,IF($H$1&lt;7,10,IF(AND($H$1=7,$K30=0,$R30&gt;1),15,IF($K30&gt;=20,15,IF($K30&gt;=6,13,10)))),0)+IF($E31=1,IF($I$1&lt;7,10,IF(AND($I$1=7,$L30=0,$S30&gt;1),15,IF($L30&gt;=20,15,IF($L30&gt;=6,13,10)))),0)+IF($F31=1,IF($J$1&lt;7,10,IF(AND($J$1=7,$M30=0,$T30&gt;1),15,IF($M30&gt;=20,15,IF($M30&gt;=6,13,10)))),0)+IF($G31=1,IF($K$1&lt;7,10,IF(AND($K$1=7,$N30=0,$U30&gt;1),15,IF($N30&gt;=20,15,IF($N30&gt;=6,13,10)))),0)+IF($H31=1,IF($L$1&lt;7,10,IF(AND($L$1=7,$O30=0,$V30&gt;1),15,IF($O30&gt;=20,15,IF($O30&gt;=6,13,10)))),0)</f>
        <v/>
      </c>
      <c r="Z31" s="38">
        <f>$Z30+$Y31</f>
        <v/>
      </c>
      <c r="AA31" s="38">
        <f>IF(AND($B31=1,AND($F$1=7,$I30=0,$P30&gt;1)),1,0)+IF(AND($C31=1,AND($G$1=7,$J30=0,$Q30&gt;1)),1,0)+IF(AND($D31=1,AND($H$1=7,$K30=0,$R30&gt;1)),1,0)+IF(AND($E31=1,AND($I$1=7,$L30=0,$S30&gt;1)),1,0)+IF(AND($F31=1,AND($J$1=7,$M30=0,$T30&gt;1)),1,0)+IF(AND($G31=1,AND($K$1=7,$N30=0,$U30&gt;1)),1,0)+IF(AND($H31=1,AND($L$1=7,$O30=0,$V30&gt;1)),1,0)</f>
        <v/>
      </c>
      <c r="AB31" s="38">
        <f>IF(IFERROR('Янв'!$I26,"")="",0,$AB30+1)</f>
        <v/>
      </c>
    </row>
    <row r="32" spans="1:28">
      <c r="A32" s="38">
        <f>IF($B$1&gt;=DATE(2026,1,22),1,0)</f>
        <v/>
      </c>
      <c r="B32" s="38">
        <f>IFERROR(IF('Янв'!$B27=TRUE,1,0),0)</f>
        <v/>
      </c>
      <c r="C32" s="38">
        <f>IFERROR(IF('Янв'!$C27=TRUE,1,0),0)</f>
        <v/>
      </c>
      <c r="D32" s="38">
        <f>IFERROR(IF('Янв'!$D27=TRUE,1,0),0)</f>
        <v/>
      </c>
      <c r="E32" s="38">
        <f>IFERROR(IF('Янв'!$E27=TRUE,1,0),0)</f>
        <v/>
      </c>
      <c r="F32" s="38">
        <f>IFERROR(IF('Янв'!$F27=TRUE,1,0),0)</f>
        <v/>
      </c>
      <c r="G32" s="38">
        <f>IFERROR(IF('Янв'!$G27=TRUE,1,0),0)</f>
        <v/>
      </c>
      <c r="H32" s="38">
        <f>IFERROR(IF('Янв'!$H27=TRUE,1,0),0)</f>
        <v/>
      </c>
      <c r="I32" s="38">
        <f>IF($A32=0,$I31,IF($B32=1,$I31+1,IF($P32&lt;=1,$I31,0)))</f>
        <v/>
      </c>
      <c r="J32" s="38">
        <f>IF($A32=0,$J31,IF($C32=1,$J31+1,IF($Q32&lt;=1,$J31,0)))</f>
        <v/>
      </c>
      <c r="K32" s="38">
        <f>IF($A32=0,$K31,IF($D32=1,$K31+1,IF($R32&lt;=1,$K31,0)))</f>
        <v/>
      </c>
      <c r="L32" s="38">
        <f>IF($A32=0,$L31,IF($E32=1,$L31+1,IF($S32&lt;=1,$L31,0)))</f>
        <v/>
      </c>
      <c r="M32" s="38">
        <f>IF($A32=0,$M31,IF($F32=1,$M31+1,IF($T32&lt;=1,$M31,0)))</f>
        <v/>
      </c>
      <c r="N32" s="38">
        <f>IF($A32=0,$N31,IF($G32=1,$N31+1,IF($U32&lt;=1,$N31,0)))</f>
        <v/>
      </c>
      <c r="O32" s="38">
        <f>IF($A32=0,$O31,IF($H32=1,$O31+1,IF($V32&lt;=1,$O31,0)))</f>
        <v/>
      </c>
      <c r="P32" s="38">
        <f>IF($A32=0,$P31,$P31+IF($B32=1,0,1))</f>
        <v/>
      </c>
      <c r="Q32" s="38">
        <f>IF($A32=0,$Q31,$Q31+IF($C32=1,0,1))</f>
        <v/>
      </c>
      <c r="R32" s="38">
        <f>IF($A32=0,$R31,$R31+IF($D32=1,0,1))</f>
        <v/>
      </c>
      <c r="S32" s="38">
        <f>IF($A32=0,$S31,$S31+IF($E32=1,0,1))</f>
        <v/>
      </c>
      <c r="T32" s="38">
        <f>IF($A32=0,$T31,$T31+IF($F32=1,0,1))</f>
        <v/>
      </c>
      <c r="U32" s="38">
        <f>IF($A32=0,$U31,$U31+IF($G32=1,0,1))</f>
        <v/>
      </c>
      <c r="V32" s="38">
        <f>IF($A32=0,$V31,$V31+IF($H32=1,0,1))</f>
        <v/>
      </c>
      <c r="W32" s="38">
        <f>SUM($B32:$H32)</f>
        <v/>
      </c>
      <c r="X32" s="38">
        <f>IF(AND($A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=1),1,0)+IF(AND($G$1=7,$C32=1),1,0)+IF(AND($H$1=7,$D32=1),1,0)+IF(AND($I$1=7,$E32=1),1,0)+IF(AND($J$1=7,$F32=1),1,0)+IF(AND($K$1=7,$G32=1),1,0)+IF(AND($L$1=7,$H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" s="38">
        <f>IF($B32=1,IF($F$1&lt;7,10,IF(AND($F$1=7,$I31=0,$P31&gt;1),15,IF($I31&gt;=20,15,IF($I31&gt;=6,13,10)))),0)+IF($C32=1,IF($G$1&lt;7,10,IF(AND($G$1=7,$J31=0,$Q31&gt;1),15,IF($J31&gt;=20,15,IF($J31&gt;=6,13,10)))),0)+IF($D32=1,IF($H$1&lt;7,10,IF(AND($H$1=7,$K31=0,$R31&gt;1),15,IF($K31&gt;=20,15,IF($K31&gt;=6,13,10)))),0)+IF($E32=1,IF($I$1&lt;7,10,IF(AND($I$1=7,$L31=0,$S31&gt;1),15,IF($L31&gt;=20,15,IF($L31&gt;=6,13,10)))),0)+IF($F32=1,IF($J$1&lt;7,10,IF(AND($J$1=7,$M31=0,$T31&gt;1),15,IF($M31&gt;=20,15,IF($M31&gt;=6,13,10)))),0)+IF($G32=1,IF($K$1&lt;7,10,IF(AND($K$1=7,$N31=0,$U31&gt;1),15,IF($N31&gt;=20,15,IF($N31&gt;=6,13,10)))),0)+IF($H32=1,IF($L$1&lt;7,10,IF(AND($L$1=7,$O31=0,$V31&gt;1),15,IF($O31&gt;=20,15,IF($O31&gt;=6,13,10)))),0)</f>
        <v/>
      </c>
      <c r="Z32" s="38">
        <f>$Z31+$Y32</f>
        <v/>
      </c>
      <c r="AA32" s="38">
        <f>IF(AND($B32=1,AND($F$1=7,$I31=0,$P31&gt;1)),1,0)+IF(AND($C32=1,AND($G$1=7,$J31=0,$Q31&gt;1)),1,0)+IF(AND($D32=1,AND($H$1=7,$K31=0,$R31&gt;1)),1,0)+IF(AND($E32=1,AND($I$1=7,$L31=0,$S31&gt;1)),1,0)+IF(AND($F32=1,AND($J$1=7,$M31=0,$T31&gt;1)),1,0)+IF(AND($G32=1,AND($K$1=7,$N31=0,$U31&gt;1)),1,0)+IF(AND($H32=1,AND($L$1=7,$O31=0,$V31&gt;1)),1,0)</f>
        <v/>
      </c>
      <c r="AB32" s="38">
        <f>IF(IFERROR('Янв'!$I27,"")="",0,$AB31+1)</f>
        <v/>
      </c>
    </row>
    <row r="33" spans="1:28">
      <c r="A33" s="38">
        <f>IF($B$1&gt;=DATE(2026,1,23),1,0)</f>
        <v/>
      </c>
      <c r="B33" s="38">
        <f>IFERROR(IF('Янв'!$B28=TRUE,1,0),0)</f>
        <v/>
      </c>
      <c r="C33" s="38">
        <f>IFERROR(IF('Янв'!$C28=TRUE,1,0),0)</f>
        <v/>
      </c>
      <c r="D33" s="38">
        <f>IFERROR(IF('Янв'!$D28=TRUE,1,0),0)</f>
        <v/>
      </c>
      <c r="E33" s="38">
        <f>IFERROR(IF('Янв'!$E28=TRUE,1,0),0)</f>
        <v/>
      </c>
      <c r="F33" s="38">
        <f>IFERROR(IF('Янв'!$F28=TRUE,1,0),0)</f>
        <v/>
      </c>
      <c r="G33" s="38">
        <f>IFERROR(IF('Янв'!$G28=TRUE,1,0),0)</f>
        <v/>
      </c>
      <c r="H33" s="38">
        <f>IFERROR(IF('Янв'!$H28=TRUE,1,0),0)</f>
        <v/>
      </c>
      <c r="I33" s="38">
        <f>IF($A33=0,$I32,IF($B33=1,$I32+1,IF($P33&lt;=1,$I32,0)))</f>
        <v/>
      </c>
      <c r="J33" s="38">
        <f>IF($A33=0,$J32,IF($C33=1,$J32+1,IF($Q33&lt;=1,$J32,0)))</f>
        <v/>
      </c>
      <c r="K33" s="38">
        <f>IF($A33=0,$K32,IF($D33=1,$K32+1,IF($R33&lt;=1,$K32,0)))</f>
        <v/>
      </c>
      <c r="L33" s="38">
        <f>IF($A33=0,$L32,IF($E33=1,$L32+1,IF($S33&lt;=1,$L32,0)))</f>
        <v/>
      </c>
      <c r="M33" s="38">
        <f>IF($A33=0,$M32,IF($F33=1,$M32+1,IF($T33&lt;=1,$M32,0)))</f>
        <v/>
      </c>
      <c r="N33" s="38">
        <f>IF($A33=0,$N32,IF($G33=1,$N32+1,IF($U33&lt;=1,$N32,0)))</f>
        <v/>
      </c>
      <c r="O33" s="38">
        <f>IF($A33=0,$O32,IF($H33=1,$O32+1,IF($V33&lt;=1,$O32,0)))</f>
        <v/>
      </c>
      <c r="P33" s="38">
        <f>IF($A33=0,$P32,$P32+IF($B33=1,0,1))</f>
        <v/>
      </c>
      <c r="Q33" s="38">
        <f>IF($A33=0,$Q32,$Q32+IF($C33=1,0,1))</f>
        <v/>
      </c>
      <c r="R33" s="38">
        <f>IF($A33=0,$R32,$R32+IF($D33=1,0,1))</f>
        <v/>
      </c>
      <c r="S33" s="38">
        <f>IF($A33=0,$S32,$S32+IF($E33=1,0,1))</f>
        <v/>
      </c>
      <c r="T33" s="38">
        <f>IF($A33=0,$T32,$T32+IF($F33=1,0,1))</f>
        <v/>
      </c>
      <c r="U33" s="38">
        <f>IF($A33=0,$U32,$U32+IF($G33=1,0,1))</f>
        <v/>
      </c>
      <c r="V33" s="38">
        <f>IF($A33=0,$V32,$V32+IF($H33=1,0,1))</f>
        <v/>
      </c>
      <c r="W33" s="38">
        <f>SUM($B33:$H33)</f>
        <v/>
      </c>
      <c r="X33" s="38">
        <f>IF(AND($A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=1),1,0)+IF(AND($G$1=7,$C33=1),1,0)+IF(AND($H$1=7,$D33=1),1,0)+IF(AND($I$1=7,$E33=1),1,0)+IF(AND($J$1=7,$F33=1),1,0)+IF(AND($K$1=7,$G33=1),1,0)+IF(AND($L$1=7,$H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" s="38">
        <f>IF($B33=1,IF($F$1&lt;7,10,IF(AND($F$1=7,$I32=0,$P32&gt;1),15,IF($I32&gt;=20,15,IF($I32&gt;=6,13,10)))),0)+IF($C33=1,IF($G$1&lt;7,10,IF(AND($G$1=7,$J32=0,$Q32&gt;1),15,IF($J32&gt;=20,15,IF($J32&gt;=6,13,10)))),0)+IF($D33=1,IF($H$1&lt;7,10,IF(AND($H$1=7,$K32=0,$R32&gt;1),15,IF($K32&gt;=20,15,IF($K32&gt;=6,13,10)))),0)+IF($E33=1,IF($I$1&lt;7,10,IF(AND($I$1=7,$L32=0,$S32&gt;1),15,IF($L32&gt;=20,15,IF($L32&gt;=6,13,10)))),0)+IF($F33=1,IF($J$1&lt;7,10,IF(AND($J$1=7,$M32=0,$T32&gt;1),15,IF($M32&gt;=20,15,IF($M32&gt;=6,13,10)))),0)+IF($G33=1,IF($K$1&lt;7,10,IF(AND($K$1=7,$N32=0,$U32&gt;1),15,IF($N32&gt;=20,15,IF($N32&gt;=6,13,10)))),0)+IF($H33=1,IF($L$1&lt;7,10,IF(AND($L$1=7,$O32=0,$V32&gt;1),15,IF($O32&gt;=20,15,IF($O32&gt;=6,13,10)))),0)</f>
        <v/>
      </c>
      <c r="Z33" s="38">
        <f>$Z32+$Y33</f>
        <v/>
      </c>
      <c r="AA33" s="38">
        <f>IF(AND($B33=1,AND($F$1=7,$I32=0,$P32&gt;1)),1,0)+IF(AND($C33=1,AND($G$1=7,$J32=0,$Q32&gt;1)),1,0)+IF(AND($D33=1,AND($H$1=7,$K32=0,$R32&gt;1)),1,0)+IF(AND($E33=1,AND($I$1=7,$L32=0,$S32&gt;1)),1,0)+IF(AND($F33=1,AND($J$1=7,$M32=0,$T32&gt;1)),1,0)+IF(AND($G33=1,AND($K$1=7,$N32=0,$U32&gt;1)),1,0)+IF(AND($H33=1,AND($L$1=7,$O32=0,$V32&gt;1)),1,0)</f>
        <v/>
      </c>
      <c r="AB33" s="38">
        <f>IF(IFERROR('Янв'!$I28,"")="",0,$AB32+1)</f>
        <v/>
      </c>
    </row>
    <row r="34" spans="1:28">
      <c r="A34" s="38">
        <f>IF($B$1&gt;=DATE(2026,1,24),1,0)</f>
        <v/>
      </c>
      <c r="B34" s="38">
        <f>IFERROR(IF('Янв'!$B29=TRUE,1,0),0)</f>
        <v/>
      </c>
      <c r="C34" s="38">
        <f>IFERROR(IF('Янв'!$C29=TRUE,1,0),0)</f>
        <v/>
      </c>
      <c r="D34" s="38">
        <f>IFERROR(IF('Янв'!$D29=TRUE,1,0),0)</f>
        <v/>
      </c>
      <c r="E34" s="38">
        <f>IFERROR(IF('Янв'!$E29=TRUE,1,0),0)</f>
        <v/>
      </c>
      <c r="F34" s="38">
        <f>IFERROR(IF('Янв'!$F29=TRUE,1,0),0)</f>
        <v/>
      </c>
      <c r="G34" s="38">
        <f>IFERROR(IF('Янв'!$G29=TRUE,1,0),0)</f>
        <v/>
      </c>
      <c r="H34" s="38">
        <f>IFERROR(IF('Янв'!$H29=TRUE,1,0),0)</f>
        <v/>
      </c>
      <c r="I34" s="38">
        <f>IF($A34=0,$I33,IF($B34=1,$I33+1,IF($P34&lt;=1,$I33,0)))</f>
        <v/>
      </c>
      <c r="J34" s="38">
        <f>IF($A34=0,$J33,IF($C34=1,$J33+1,IF($Q34&lt;=1,$J33,0)))</f>
        <v/>
      </c>
      <c r="K34" s="38">
        <f>IF($A34=0,$K33,IF($D34=1,$K33+1,IF($R34&lt;=1,$K33,0)))</f>
        <v/>
      </c>
      <c r="L34" s="38">
        <f>IF($A34=0,$L33,IF($E34=1,$L33+1,IF($S34&lt;=1,$L33,0)))</f>
        <v/>
      </c>
      <c r="M34" s="38">
        <f>IF($A34=0,$M33,IF($F34=1,$M33+1,IF($T34&lt;=1,$M33,0)))</f>
        <v/>
      </c>
      <c r="N34" s="38">
        <f>IF($A34=0,$N33,IF($G34=1,$N33+1,IF($U34&lt;=1,$N33,0)))</f>
        <v/>
      </c>
      <c r="O34" s="38">
        <f>IF($A34=0,$O33,IF($H34=1,$O33+1,IF($V34&lt;=1,$O33,0)))</f>
        <v/>
      </c>
      <c r="P34" s="38">
        <f>IF($A34=0,$P33,$P33+IF($B34=1,0,1))</f>
        <v/>
      </c>
      <c r="Q34" s="38">
        <f>IF($A34=0,$Q33,$Q33+IF($C34=1,0,1))</f>
        <v/>
      </c>
      <c r="R34" s="38">
        <f>IF($A34=0,$R33,$R33+IF($D34=1,0,1))</f>
        <v/>
      </c>
      <c r="S34" s="38">
        <f>IF($A34=0,$S33,$S33+IF($E34=1,0,1))</f>
        <v/>
      </c>
      <c r="T34" s="38">
        <f>IF($A34=0,$T33,$T33+IF($F34=1,0,1))</f>
        <v/>
      </c>
      <c r="U34" s="38">
        <f>IF($A34=0,$U33,$U33+IF($G34=1,0,1))</f>
        <v/>
      </c>
      <c r="V34" s="38">
        <f>IF($A34=0,$V33,$V33+IF($H34=1,0,1))</f>
        <v/>
      </c>
      <c r="W34" s="38">
        <f>SUM($B34:$H34)</f>
        <v/>
      </c>
      <c r="X34" s="38">
        <f>IF(AND($A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=1),1,0)+IF(AND($G$1=7,$C34=1),1,0)+IF(AND($H$1=7,$D34=1),1,0)+IF(AND($I$1=7,$E34=1),1,0)+IF(AND($J$1=7,$F34=1),1,0)+IF(AND($K$1=7,$G34=1),1,0)+IF(AND($L$1=7,$H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" s="38">
        <f>IF($B34=1,IF($F$1&lt;7,10,IF(AND($F$1=7,$I33=0,$P33&gt;1),15,IF($I33&gt;=20,15,IF($I33&gt;=6,13,10)))),0)+IF($C34=1,IF($G$1&lt;7,10,IF(AND($G$1=7,$J33=0,$Q33&gt;1),15,IF($J33&gt;=20,15,IF($J33&gt;=6,13,10)))),0)+IF($D34=1,IF($H$1&lt;7,10,IF(AND($H$1=7,$K33=0,$R33&gt;1),15,IF($K33&gt;=20,15,IF($K33&gt;=6,13,10)))),0)+IF($E34=1,IF($I$1&lt;7,10,IF(AND($I$1=7,$L33=0,$S33&gt;1),15,IF($L33&gt;=20,15,IF($L33&gt;=6,13,10)))),0)+IF($F34=1,IF($J$1&lt;7,10,IF(AND($J$1=7,$M33=0,$T33&gt;1),15,IF($M33&gt;=20,15,IF($M33&gt;=6,13,10)))),0)+IF($G34=1,IF($K$1&lt;7,10,IF(AND($K$1=7,$N33=0,$U33&gt;1),15,IF($N33&gt;=20,15,IF($N33&gt;=6,13,10)))),0)+IF($H34=1,IF($L$1&lt;7,10,IF(AND($L$1=7,$O33=0,$V33&gt;1),15,IF($O33&gt;=20,15,IF($O33&gt;=6,13,10)))),0)</f>
        <v/>
      </c>
      <c r="Z34" s="38">
        <f>$Z33+$Y34</f>
        <v/>
      </c>
      <c r="AA34" s="38">
        <f>IF(AND($B34=1,AND($F$1=7,$I33=0,$P33&gt;1)),1,0)+IF(AND($C34=1,AND($G$1=7,$J33=0,$Q33&gt;1)),1,0)+IF(AND($D34=1,AND($H$1=7,$K33=0,$R33&gt;1)),1,0)+IF(AND($E34=1,AND($I$1=7,$L33=0,$S33&gt;1)),1,0)+IF(AND($F34=1,AND($J$1=7,$M33=0,$T33&gt;1)),1,0)+IF(AND($G34=1,AND($K$1=7,$N33=0,$U33&gt;1)),1,0)+IF(AND($H34=1,AND($L$1=7,$O33=0,$V33&gt;1)),1,0)</f>
        <v/>
      </c>
      <c r="AB34" s="38">
        <f>IF(IFERROR('Янв'!$I29,"")="",0,$AB33+1)</f>
        <v/>
      </c>
    </row>
    <row r="35" spans="1:28">
      <c r="A35" s="38">
        <f>IF($B$1&gt;=DATE(2026,1,25),1,0)</f>
        <v/>
      </c>
      <c r="B35" s="38">
        <f>IFERROR(IF('Янв'!$B30=TRUE,1,0),0)</f>
        <v/>
      </c>
      <c r="C35" s="38">
        <f>IFERROR(IF('Янв'!$C30=TRUE,1,0),0)</f>
        <v/>
      </c>
      <c r="D35" s="38">
        <f>IFERROR(IF('Янв'!$D30=TRUE,1,0),0)</f>
        <v/>
      </c>
      <c r="E35" s="38">
        <f>IFERROR(IF('Янв'!$E30=TRUE,1,0),0)</f>
        <v/>
      </c>
      <c r="F35" s="38">
        <f>IFERROR(IF('Янв'!$F30=TRUE,1,0),0)</f>
        <v/>
      </c>
      <c r="G35" s="38">
        <f>IFERROR(IF('Янв'!$G30=TRUE,1,0),0)</f>
        <v/>
      </c>
      <c r="H35" s="38">
        <f>IFERROR(IF('Янв'!$H30=TRUE,1,0),0)</f>
        <v/>
      </c>
      <c r="I35" s="38">
        <f>IF($A35=0,$I34,IF($B35=1,$I34+1,IF($P35&lt;=1,$I34,0)))</f>
        <v/>
      </c>
      <c r="J35" s="38">
        <f>IF($A35=0,$J34,IF($C35=1,$J34+1,IF($Q35&lt;=1,$J34,0)))</f>
        <v/>
      </c>
      <c r="K35" s="38">
        <f>IF($A35=0,$K34,IF($D35=1,$K34+1,IF($R35&lt;=1,$K34,0)))</f>
        <v/>
      </c>
      <c r="L35" s="38">
        <f>IF($A35=0,$L34,IF($E35=1,$L34+1,IF($S35&lt;=1,$L34,0)))</f>
        <v/>
      </c>
      <c r="M35" s="38">
        <f>IF($A35=0,$M34,IF($F35=1,$M34+1,IF($T35&lt;=1,$M34,0)))</f>
        <v/>
      </c>
      <c r="N35" s="38">
        <f>IF($A35=0,$N34,IF($G35=1,$N34+1,IF($U35&lt;=1,$N34,0)))</f>
        <v/>
      </c>
      <c r="O35" s="38">
        <f>IF($A35=0,$O34,IF($H35=1,$O34+1,IF($V35&lt;=1,$O34,0)))</f>
        <v/>
      </c>
      <c r="P35" s="38">
        <f>IF($A35=0,$P34,$P34+IF($B35=1,0,1))</f>
        <v/>
      </c>
      <c r="Q35" s="38">
        <f>IF($A35=0,$Q34,$Q34+IF($C35=1,0,1))</f>
        <v/>
      </c>
      <c r="R35" s="38">
        <f>IF($A35=0,$R34,$R34+IF($D35=1,0,1))</f>
        <v/>
      </c>
      <c r="S35" s="38">
        <f>IF($A35=0,$S34,$S34+IF($E35=1,0,1))</f>
        <v/>
      </c>
      <c r="T35" s="38">
        <f>IF($A35=0,$T34,$T34+IF($F35=1,0,1))</f>
        <v/>
      </c>
      <c r="U35" s="38">
        <f>IF($A35=0,$U34,$U34+IF($G35=1,0,1))</f>
        <v/>
      </c>
      <c r="V35" s="38">
        <f>IF($A35=0,$V34,$V34+IF($H35=1,0,1))</f>
        <v/>
      </c>
      <c r="W35" s="38">
        <f>SUM($B35:$H35)</f>
        <v/>
      </c>
      <c r="X35" s="38">
        <f>IF(AND($A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=1),1,0)+IF(AND($G$1=7,$C35=1),1,0)+IF(AND($H$1=7,$D35=1),1,0)+IF(AND($I$1=7,$E35=1),1,0)+IF(AND($J$1=7,$F35=1),1,0)+IF(AND($K$1=7,$G35=1),1,0)+IF(AND($L$1=7,$H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" s="38">
        <f>IF($B35=1,IF($F$1&lt;7,10,IF(AND($F$1=7,$I34=0,$P34&gt;1),15,IF($I34&gt;=20,15,IF($I34&gt;=6,13,10)))),0)+IF($C35=1,IF($G$1&lt;7,10,IF(AND($G$1=7,$J34=0,$Q34&gt;1),15,IF($J34&gt;=20,15,IF($J34&gt;=6,13,10)))),0)+IF($D35=1,IF($H$1&lt;7,10,IF(AND($H$1=7,$K34=0,$R34&gt;1),15,IF($K34&gt;=20,15,IF($K34&gt;=6,13,10)))),0)+IF($E35=1,IF($I$1&lt;7,10,IF(AND($I$1=7,$L34=0,$S34&gt;1),15,IF($L34&gt;=20,15,IF($L34&gt;=6,13,10)))),0)+IF($F35=1,IF($J$1&lt;7,10,IF(AND($J$1=7,$M34=0,$T34&gt;1),15,IF($M34&gt;=20,15,IF($M34&gt;=6,13,10)))),0)+IF($G35=1,IF($K$1&lt;7,10,IF(AND($K$1=7,$N34=0,$U34&gt;1),15,IF($N34&gt;=20,15,IF($N34&gt;=6,13,10)))),0)+IF($H35=1,IF($L$1&lt;7,10,IF(AND($L$1=7,$O34=0,$V34&gt;1),15,IF($O34&gt;=20,15,IF($O34&gt;=6,13,10)))),0)</f>
        <v/>
      </c>
      <c r="Z35" s="38">
        <f>$Z34+$Y35</f>
        <v/>
      </c>
      <c r="AA35" s="38">
        <f>IF(AND($B35=1,AND($F$1=7,$I34=0,$P34&gt;1)),1,0)+IF(AND($C35=1,AND($G$1=7,$J34=0,$Q34&gt;1)),1,0)+IF(AND($D35=1,AND($H$1=7,$K34=0,$R34&gt;1)),1,0)+IF(AND($E35=1,AND($I$1=7,$L34=0,$S34&gt;1)),1,0)+IF(AND($F35=1,AND($J$1=7,$M34=0,$T34&gt;1)),1,0)+IF(AND($G35=1,AND($K$1=7,$N34=0,$U34&gt;1)),1,0)+IF(AND($H35=1,AND($L$1=7,$O34=0,$V34&gt;1)),1,0)</f>
        <v/>
      </c>
      <c r="AB35" s="38">
        <f>IF(IFERROR('Янв'!$I30,"")="",0,$AB34+1)</f>
        <v/>
      </c>
    </row>
    <row r="36" spans="1:28">
      <c r="A36" s="38">
        <f>IF($B$1&gt;=DATE(2026,1,26),1,0)</f>
        <v/>
      </c>
      <c r="B36" s="38">
        <f>IFERROR(IF('Янв'!$B31=TRUE,1,0),0)</f>
        <v/>
      </c>
      <c r="C36" s="38">
        <f>IFERROR(IF('Янв'!$C31=TRUE,1,0),0)</f>
        <v/>
      </c>
      <c r="D36" s="38">
        <f>IFERROR(IF('Янв'!$D31=TRUE,1,0),0)</f>
        <v/>
      </c>
      <c r="E36" s="38">
        <f>IFERROR(IF('Янв'!$E31=TRUE,1,0),0)</f>
        <v/>
      </c>
      <c r="F36" s="38">
        <f>IFERROR(IF('Янв'!$F31=TRUE,1,0),0)</f>
        <v/>
      </c>
      <c r="G36" s="38">
        <f>IFERROR(IF('Янв'!$G31=TRUE,1,0),0)</f>
        <v/>
      </c>
      <c r="H36" s="38">
        <f>IFERROR(IF('Янв'!$H31=TRUE,1,0),0)</f>
        <v/>
      </c>
      <c r="I36" s="38">
        <f>IF($A36=0,$I35,IF($B36=1,$I35+1,IF($P36&lt;=1,$I35,0)))</f>
        <v/>
      </c>
      <c r="J36" s="38">
        <f>IF($A36=0,$J35,IF($C36=1,$J35+1,IF($Q36&lt;=1,$J35,0)))</f>
        <v/>
      </c>
      <c r="K36" s="38">
        <f>IF($A36=0,$K35,IF($D36=1,$K35+1,IF($R36&lt;=1,$K35,0)))</f>
        <v/>
      </c>
      <c r="L36" s="38">
        <f>IF($A36=0,$L35,IF($E36=1,$L35+1,IF($S36&lt;=1,$L35,0)))</f>
        <v/>
      </c>
      <c r="M36" s="38">
        <f>IF($A36=0,$M35,IF($F36=1,$M35+1,IF($T36&lt;=1,$M35,0)))</f>
        <v/>
      </c>
      <c r="N36" s="38">
        <f>IF($A36=0,$N35,IF($G36=1,$N35+1,IF($U36&lt;=1,$N35,0)))</f>
        <v/>
      </c>
      <c r="O36" s="38">
        <f>IF($A36=0,$O35,IF($H36=1,$O35+1,IF($V36&lt;=1,$O35,0)))</f>
        <v/>
      </c>
      <c r="P36" s="38">
        <f>IF($A36=0,$P35,$P35+IF($B36=1,0,1))</f>
        <v/>
      </c>
      <c r="Q36" s="38">
        <f>IF($A36=0,$Q35,$Q35+IF($C36=1,0,1))</f>
        <v/>
      </c>
      <c r="R36" s="38">
        <f>IF($A36=0,$R35,$R35+IF($D36=1,0,1))</f>
        <v/>
      </c>
      <c r="S36" s="38">
        <f>IF($A36=0,$S35,$S35+IF($E36=1,0,1))</f>
        <v/>
      </c>
      <c r="T36" s="38">
        <f>IF($A36=0,$T35,$T35+IF($F36=1,0,1))</f>
        <v/>
      </c>
      <c r="U36" s="38">
        <f>IF($A36=0,$U35,$U35+IF($G36=1,0,1))</f>
        <v/>
      </c>
      <c r="V36" s="38">
        <f>IF($A36=0,$V35,$V35+IF($H36=1,0,1))</f>
        <v/>
      </c>
      <c r="W36" s="38">
        <f>SUM($B36:$H36)</f>
        <v/>
      </c>
      <c r="X36" s="38">
        <f>IF(AND($A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=1),1,0)+IF(AND($G$1=7,$C36=1),1,0)+IF(AND($H$1=7,$D36=1),1,0)+IF(AND($I$1=7,$E36=1),1,0)+IF(AND($J$1=7,$F36=1),1,0)+IF(AND($K$1=7,$G36=1),1,0)+IF(AND($L$1=7,$H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" s="38">
        <f>IF($B36=1,IF($F$1&lt;7,10,IF(AND($F$1=7,$I35=0,$P35&gt;1),15,IF($I35&gt;=20,15,IF($I35&gt;=6,13,10)))),0)+IF($C36=1,IF($G$1&lt;7,10,IF(AND($G$1=7,$J35=0,$Q35&gt;1),15,IF($J35&gt;=20,15,IF($J35&gt;=6,13,10)))),0)+IF($D36=1,IF($H$1&lt;7,10,IF(AND($H$1=7,$K35=0,$R35&gt;1),15,IF($K35&gt;=20,15,IF($K35&gt;=6,13,10)))),0)+IF($E36=1,IF($I$1&lt;7,10,IF(AND($I$1=7,$L35=0,$S35&gt;1),15,IF($L35&gt;=20,15,IF($L35&gt;=6,13,10)))),0)+IF($F36=1,IF($J$1&lt;7,10,IF(AND($J$1=7,$M35=0,$T35&gt;1),15,IF($M35&gt;=20,15,IF($M35&gt;=6,13,10)))),0)+IF($G36=1,IF($K$1&lt;7,10,IF(AND($K$1=7,$N35=0,$U35&gt;1),15,IF($N35&gt;=20,15,IF($N35&gt;=6,13,10)))),0)+IF($H36=1,IF($L$1&lt;7,10,IF(AND($L$1=7,$O35=0,$V35&gt;1),15,IF($O35&gt;=20,15,IF($O35&gt;=6,13,10)))),0)</f>
        <v/>
      </c>
      <c r="Z36" s="38">
        <f>$Z35+$Y36</f>
        <v/>
      </c>
      <c r="AA36" s="38">
        <f>IF(AND($B36=1,AND($F$1=7,$I35=0,$P35&gt;1)),1,0)+IF(AND($C36=1,AND($G$1=7,$J35=0,$Q35&gt;1)),1,0)+IF(AND($D36=1,AND($H$1=7,$K35=0,$R35&gt;1)),1,0)+IF(AND($E36=1,AND($I$1=7,$L35=0,$S35&gt;1)),1,0)+IF(AND($F36=1,AND($J$1=7,$M35=0,$T35&gt;1)),1,0)+IF(AND($G36=1,AND($K$1=7,$N35=0,$U35&gt;1)),1,0)+IF(AND($H36=1,AND($L$1=7,$O35=0,$V35&gt;1)),1,0)</f>
        <v/>
      </c>
      <c r="AB36" s="38">
        <f>IF(IFERROR('Янв'!$I31,"")="",0,$AB35+1)</f>
        <v/>
      </c>
    </row>
    <row r="37" spans="1:28">
      <c r="A37" s="38">
        <f>IF($B$1&gt;=DATE(2026,1,27),1,0)</f>
        <v/>
      </c>
      <c r="B37" s="38">
        <f>IFERROR(IF('Янв'!$B32=TRUE,1,0),0)</f>
        <v/>
      </c>
      <c r="C37" s="38">
        <f>IFERROR(IF('Янв'!$C32=TRUE,1,0),0)</f>
        <v/>
      </c>
      <c r="D37" s="38">
        <f>IFERROR(IF('Янв'!$D32=TRUE,1,0),0)</f>
        <v/>
      </c>
      <c r="E37" s="38">
        <f>IFERROR(IF('Янв'!$E32=TRUE,1,0),0)</f>
        <v/>
      </c>
      <c r="F37" s="38">
        <f>IFERROR(IF('Янв'!$F32=TRUE,1,0),0)</f>
        <v/>
      </c>
      <c r="G37" s="38">
        <f>IFERROR(IF('Янв'!$G32=TRUE,1,0),0)</f>
        <v/>
      </c>
      <c r="H37" s="38">
        <f>IFERROR(IF('Янв'!$H32=TRUE,1,0),0)</f>
        <v/>
      </c>
      <c r="I37" s="38">
        <f>IF($A37=0,$I36,IF($B37=1,$I36+1,IF($P37&lt;=1,$I36,0)))</f>
        <v/>
      </c>
      <c r="J37" s="38">
        <f>IF($A37=0,$J36,IF($C37=1,$J36+1,IF($Q37&lt;=1,$J36,0)))</f>
        <v/>
      </c>
      <c r="K37" s="38">
        <f>IF($A37=0,$K36,IF($D37=1,$K36+1,IF($R37&lt;=1,$K36,0)))</f>
        <v/>
      </c>
      <c r="L37" s="38">
        <f>IF($A37=0,$L36,IF($E37=1,$L36+1,IF($S37&lt;=1,$L36,0)))</f>
        <v/>
      </c>
      <c r="M37" s="38">
        <f>IF($A37=0,$M36,IF($F37=1,$M36+1,IF($T37&lt;=1,$M36,0)))</f>
        <v/>
      </c>
      <c r="N37" s="38">
        <f>IF($A37=0,$N36,IF($G37=1,$N36+1,IF($U37&lt;=1,$N36,0)))</f>
        <v/>
      </c>
      <c r="O37" s="38">
        <f>IF($A37=0,$O36,IF($H37=1,$O36+1,IF($V37&lt;=1,$O36,0)))</f>
        <v/>
      </c>
      <c r="P37" s="38">
        <f>IF($A37=0,$P36,$P36+IF($B37=1,0,1))</f>
        <v/>
      </c>
      <c r="Q37" s="38">
        <f>IF($A37=0,$Q36,$Q36+IF($C37=1,0,1))</f>
        <v/>
      </c>
      <c r="R37" s="38">
        <f>IF($A37=0,$R36,$R36+IF($D37=1,0,1))</f>
        <v/>
      </c>
      <c r="S37" s="38">
        <f>IF($A37=0,$S36,$S36+IF($E37=1,0,1))</f>
        <v/>
      </c>
      <c r="T37" s="38">
        <f>IF($A37=0,$T36,$T36+IF($F37=1,0,1))</f>
        <v/>
      </c>
      <c r="U37" s="38">
        <f>IF($A37=0,$U36,$U36+IF($G37=1,0,1))</f>
        <v/>
      </c>
      <c r="V37" s="38">
        <f>IF($A37=0,$V36,$V36+IF($H37=1,0,1))</f>
        <v/>
      </c>
      <c r="W37" s="38">
        <f>SUM($B37:$H37)</f>
        <v/>
      </c>
      <c r="X37" s="38">
        <f>IF(AND($A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=1),1,0)+IF(AND($G$1=7,$C37=1),1,0)+IF(AND($H$1=7,$D37=1),1,0)+IF(AND($I$1=7,$E37=1),1,0)+IF(AND($J$1=7,$F37=1),1,0)+IF(AND($K$1=7,$G37=1),1,0)+IF(AND($L$1=7,$H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" s="38">
        <f>IF($B37=1,IF($F$1&lt;7,10,IF(AND($F$1=7,$I36=0,$P36&gt;1),15,IF($I36&gt;=20,15,IF($I36&gt;=6,13,10)))),0)+IF($C37=1,IF($G$1&lt;7,10,IF(AND($G$1=7,$J36=0,$Q36&gt;1),15,IF($J36&gt;=20,15,IF($J36&gt;=6,13,10)))),0)+IF($D37=1,IF($H$1&lt;7,10,IF(AND($H$1=7,$K36=0,$R36&gt;1),15,IF($K36&gt;=20,15,IF($K36&gt;=6,13,10)))),0)+IF($E37=1,IF($I$1&lt;7,10,IF(AND($I$1=7,$L36=0,$S36&gt;1),15,IF($L36&gt;=20,15,IF($L36&gt;=6,13,10)))),0)+IF($F37=1,IF($J$1&lt;7,10,IF(AND($J$1=7,$M36=0,$T36&gt;1),15,IF($M36&gt;=20,15,IF($M36&gt;=6,13,10)))),0)+IF($G37=1,IF($K$1&lt;7,10,IF(AND($K$1=7,$N36=0,$U36&gt;1),15,IF($N36&gt;=20,15,IF($N36&gt;=6,13,10)))),0)+IF($H37=1,IF($L$1&lt;7,10,IF(AND($L$1=7,$O36=0,$V36&gt;1),15,IF($O36&gt;=20,15,IF($O36&gt;=6,13,10)))),0)</f>
        <v/>
      </c>
      <c r="Z37" s="38">
        <f>$Z36+$Y37</f>
        <v/>
      </c>
      <c r="AA37" s="38">
        <f>IF(AND($B37=1,AND($F$1=7,$I36=0,$P36&gt;1)),1,0)+IF(AND($C37=1,AND($G$1=7,$J36=0,$Q36&gt;1)),1,0)+IF(AND($D37=1,AND($H$1=7,$K36=0,$R36&gt;1)),1,0)+IF(AND($E37=1,AND($I$1=7,$L36=0,$S36&gt;1)),1,0)+IF(AND($F37=1,AND($J$1=7,$M36=0,$T36&gt;1)),1,0)+IF(AND($G37=1,AND($K$1=7,$N36=0,$U36&gt;1)),1,0)+IF(AND($H37=1,AND($L$1=7,$O36=0,$V36&gt;1)),1,0)</f>
        <v/>
      </c>
      <c r="AB37" s="38">
        <f>IF(IFERROR('Янв'!$I32,"")="",0,$AB36+1)</f>
        <v/>
      </c>
    </row>
    <row r="38" spans="1:28">
      <c r="A38" s="38">
        <f>IF($B$1&gt;=DATE(2026,1,28),1,0)</f>
        <v/>
      </c>
      <c r="B38" s="38">
        <f>IFERROR(IF('Янв'!$B33=TRUE,1,0),0)</f>
        <v/>
      </c>
      <c r="C38" s="38">
        <f>IFERROR(IF('Янв'!$C33=TRUE,1,0),0)</f>
        <v/>
      </c>
      <c r="D38" s="38">
        <f>IFERROR(IF('Янв'!$D33=TRUE,1,0),0)</f>
        <v/>
      </c>
      <c r="E38" s="38">
        <f>IFERROR(IF('Янв'!$E33=TRUE,1,0),0)</f>
        <v/>
      </c>
      <c r="F38" s="38">
        <f>IFERROR(IF('Янв'!$F33=TRUE,1,0),0)</f>
        <v/>
      </c>
      <c r="G38" s="38">
        <f>IFERROR(IF('Янв'!$G33=TRUE,1,0),0)</f>
        <v/>
      </c>
      <c r="H38" s="38">
        <f>IFERROR(IF('Янв'!$H33=TRUE,1,0),0)</f>
        <v/>
      </c>
      <c r="I38" s="38">
        <f>IF($A38=0,$I37,IF($B38=1,$I37+1,IF($P38&lt;=1,$I37,0)))</f>
        <v/>
      </c>
      <c r="J38" s="38">
        <f>IF($A38=0,$J37,IF($C38=1,$J37+1,IF($Q38&lt;=1,$J37,0)))</f>
        <v/>
      </c>
      <c r="K38" s="38">
        <f>IF($A38=0,$K37,IF($D38=1,$K37+1,IF($R38&lt;=1,$K37,0)))</f>
        <v/>
      </c>
      <c r="L38" s="38">
        <f>IF($A38=0,$L37,IF($E38=1,$L37+1,IF($S38&lt;=1,$L37,0)))</f>
        <v/>
      </c>
      <c r="M38" s="38">
        <f>IF($A38=0,$M37,IF($F38=1,$M37+1,IF($T38&lt;=1,$M37,0)))</f>
        <v/>
      </c>
      <c r="N38" s="38">
        <f>IF($A38=0,$N37,IF($G38=1,$N37+1,IF($U38&lt;=1,$N37,0)))</f>
        <v/>
      </c>
      <c r="O38" s="38">
        <f>IF($A38=0,$O37,IF($H38=1,$O37+1,IF($V38&lt;=1,$O37,0)))</f>
        <v/>
      </c>
      <c r="P38" s="38">
        <f>IF($A38=0,$P37,$P37+IF($B38=1,0,1))</f>
        <v/>
      </c>
      <c r="Q38" s="38">
        <f>IF($A38=0,$Q37,$Q37+IF($C38=1,0,1))</f>
        <v/>
      </c>
      <c r="R38" s="38">
        <f>IF($A38=0,$R37,$R37+IF($D38=1,0,1))</f>
        <v/>
      </c>
      <c r="S38" s="38">
        <f>IF($A38=0,$S37,$S37+IF($E38=1,0,1))</f>
        <v/>
      </c>
      <c r="T38" s="38">
        <f>IF($A38=0,$T37,$T37+IF($F38=1,0,1))</f>
        <v/>
      </c>
      <c r="U38" s="38">
        <f>IF($A38=0,$U37,$U37+IF($G38=1,0,1))</f>
        <v/>
      </c>
      <c r="V38" s="38">
        <f>IF($A38=0,$V37,$V37+IF($H38=1,0,1))</f>
        <v/>
      </c>
      <c r="W38" s="38">
        <f>SUM($B38:$H38)</f>
        <v/>
      </c>
      <c r="X38" s="38">
        <f>IF(AND($A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38=1),1,0)+IF(AND($G$1=7,$C38=1),1,0)+IF(AND($H$1=7,$D38=1),1,0)+IF(AND($I$1=7,$E38=1),1,0)+IF(AND($J$1=7,$F38=1),1,0)+IF(AND($K$1=7,$G38=1),1,0)+IF(AND($L$1=7,$H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8" s="38">
        <f>IF($B38=1,IF($F$1&lt;7,10,IF(AND($F$1=7,$I37=0,$P37&gt;1),15,IF($I37&gt;=20,15,IF($I37&gt;=6,13,10)))),0)+IF($C38=1,IF($G$1&lt;7,10,IF(AND($G$1=7,$J37=0,$Q37&gt;1),15,IF($J37&gt;=20,15,IF($J37&gt;=6,13,10)))),0)+IF($D38=1,IF($H$1&lt;7,10,IF(AND($H$1=7,$K37=0,$R37&gt;1),15,IF($K37&gt;=20,15,IF($K37&gt;=6,13,10)))),0)+IF($E38=1,IF($I$1&lt;7,10,IF(AND($I$1=7,$L37=0,$S37&gt;1),15,IF($L37&gt;=20,15,IF($L37&gt;=6,13,10)))),0)+IF($F38=1,IF($J$1&lt;7,10,IF(AND($J$1=7,$M37=0,$T37&gt;1),15,IF($M37&gt;=20,15,IF($M37&gt;=6,13,10)))),0)+IF($G38=1,IF($K$1&lt;7,10,IF(AND($K$1=7,$N37=0,$U37&gt;1),15,IF($N37&gt;=20,15,IF($N37&gt;=6,13,10)))),0)+IF($H38=1,IF($L$1&lt;7,10,IF(AND($L$1=7,$O37=0,$V37&gt;1),15,IF($O37&gt;=20,15,IF($O37&gt;=6,13,10)))),0)</f>
        <v/>
      </c>
      <c r="Z38" s="38">
        <f>$Z37+$Y38</f>
        <v/>
      </c>
      <c r="AA38" s="38">
        <f>IF(AND($B38=1,AND($F$1=7,$I37=0,$P37&gt;1)),1,0)+IF(AND($C38=1,AND($G$1=7,$J37=0,$Q37&gt;1)),1,0)+IF(AND($D38=1,AND($H$1=7,$K37=0,$R37&gt;1)),1,0)+IF(AND($E38=1,AND($I$1=7,$L37=0,$S37&gt;1)),1,0)+IF(AND($F38=1,AND($J$1=7,$M37=0,$T37&gt;1)),1,0)+IF(AND($G38=1,AND($K$1=7,$N37=0,$U37&gt;1)),1,0)+IF(AND($H38=1,AND($L$1=7,$O37=0,$V37&gt;1)),1,0)</f>
        <v/>
      </c>
      <c r="AB38" s="38">
        <f>IF(IFERROR('Янв'!$I33,"")="",0,$AB37+1)</f>
        <v/>
      </c>
    </row>
    <row r="39" spans="1:28">
      <c r="A39" s="38">
        <f>IF($B$1&gt;=DATE(2026,1,29),1,0)</f>
        <v/>
      </c>
      <c r="B39" s="38">
        <f>IFERROR(IF('Янв'!$B34=TRUE,1,0),0)</f>
        <v/>
      </c>
      <c r="C39" s="38">
        <f>IFERROR(IF('Янв'!$C34=TRUE,1,0),0)</f>
        <v/>
      </c>
      <c r="D39" s="38">
        <f>IFERROR(IF('Янв'!$D34=TRUE,1,0),0)</f>
        <v/>
      </c>
      <c r="E39" s="38">
        <f>IFERROR(IF('Янв'!$E34=TRUE,1,0),0)</f>
        <v/>
      </c>
      <c r="F39" s="38">
        <f>IFERROR(IF('Янв'!$F34=TRUE,1,0),0)</f>
        <v/>
      </c>
      <c r="G39" s="38">
        <f>IFERROR(IF('Янв'!$G34=TRUE,1,0),0)</f>
        <v/>
      </c>
      <c r="H39" s="38">
        <f>IFERROR(IF('Янв'!$H34=TRUE,1,0),0)</f>
        <v/>
      </c>
      <c r="I39" s="38">
        <f>IF($A39=0,$I38,IF($B39=1,$I38+1,IF($P39&lt;=1,$I38,0)))</f>
        <v/>
      </c>
      <c r="J39" s="38">
        <f>IF($A39=0,$J38,IF($C39=1,$J38+1,IF($Q39&lt;=1,$J38,0)))</f>
        <v/>
      </c>
      <c r="K39" s="38">
        <f>IF($A39=0,$K38,IF($D39=1,$K38+1,IF($R39&lt;=1,$K38,0)))</f>
        <v/>
      </c>
      <c r="L39" s="38">
        <f>IF($A39=0,$L38,IF($E39=1,$L38+1,IF($S39&lt;=1,$L38,0)))</f>
        <v/>
      </c>
      <c r="M39" s="38">
        <f>IF($A39=0,$M38,IF($F39=1,$M38+1,IF($T39&lt;=1,$M38,0)))</f>
        <v/>
      </c>
      <c r="N39" s="38">
        <f>IF($A39=0,$N38,IF($G39=1,$N38+1,IF($U39&lt;=1,$N38,0)))</f>
        <v/>
      </c>
      <c r="O39" s="38">
        <f>IF($A39=0,$O38,IF($H39=1,$O38+1,IF($V39&lt;=1,$O38,0)))</f>
        <v/>
      </c>
      <c r="P39" s="38">
        <f>IF($A39=0,$P38,$P38+IF($B39=1,0,1))</f>
        <v/>
      </c>
      <c r="Q39" s="38">
        <f>IF($A39=0,$Q38,$Q38+IF($C39=1,0,1))</f>
        <v/>
      </c>
      <c r="R39" s="38">
        <f>IF($A39=0,$R38,$R38+IF($D39=1,0,1))</f>
        <v/>
      </c>
      <c r="S39" s="38">
        <f>IF($A39=0,$S38,$S38+IF($E39=1,0,1))</f>
        <v/>
      </c>
      <c r="T39" s="38">
        <f>IF($A39=0,$T38,$T38+IF($F39=1,0,1))</f>
        <v/>
      </c>
      <c r="U39" s="38">
        <f>IF($A39=0,$U38,$U38+IF($G39=1,0,1))</f>
        <v/>
      </c>
      <c r="V39" s="38">
        <f>IF($A39=0,$V38,$V38+IF($H39=1,0,1))</f>
        <v/>
      </c>
      <c r="W39" s="38">
        <f>SUM($B39:$H39)</f>
        <v/>
      </c>
      <c r="X39" s="38">
        <f>IF(AND($A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39=1),1,0)+IF(AND($G$1=7,$C39=1),1,0)+IF(AND($H$1=7,$D39=1),1,0)+IF(AND($I$1=7,$E39=1),1,0)+IF(AND($J$1=7,$F39=1),1,0)+IF(AND($K$1=7,$G39=1),1,0)+IF(AND($L$1=7,$H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9" s="38">
        <f>IF($B39=1,IF($F$1&lt;7,10,IF(AND($F$1=7,$I38=0,$P38&gt;1),15,IF($I38&gt;=20,15,IF($I38&gt;=6,13,10)))),0)+IF($C39=1,IF($G$1&lt;7,10,IF(AND($G$1=7,$J38=0,$Q38&gt;1),15,IF($J38&gt;=20,15,IF($J38&gt;=6,13,10)))),0)+IF($D39=1,IF($H$1&lt;7,10,IF(AND($H$1=7,$K38=0,$R38&gt;1),15,IF($K38&gt;=20,15,IF($K38&gt;=6,13,10)))),0)+IF($E39=1,IF($I$1&lt;7,10,IF(AND($I$1=7,$L38=0,$S38&gt;1),15,IF($L38&gt;=20,15,IF($L38&gt;=6,13,10)))),0)+IF($F39=1,IF($J$1&lt;7,10,IF(AND($J$1=7,$M38=0,$T38&gt;1),15,IF($M38&gt;=20,15,IF($M38&gt;=6,13,10)))),0)+IF($G39=1,IF($K$1&lt;7,10,IF(AND($K$1=7,$N38=0,$U38&gt;1),15,IF($N38&gt;=20,15,IF($N38&gt;=6,13,10)))),0)+IF($H39=1,IF($L$1&lt;7,10,IF(AND($L$1=7,$O38=0,$V38&gt;1),15,IF($O38&gt;=20,15,IF($O38&gt;=6,13,10)))),0)</f>
        <v/>
      </c>
      <c r="Z39" s="38">
        <f>$Z38+$Y39</f>
        <v/>
      </c>
      <c r="AA39" s="38">
        <f>IF(AND($B39=1,AND($F$1=7,$I38=0,$P38&gt;1)),1,0)+IF(AND($C39=1,AND($G$1=7,$J38=0,$Q38&gt;1)),1,0)+IF(AND($D39=1,AND($H$1=7,$K38=0,$R38&gt;1)),1,0)+IF(AND($E39=1,AND($I$1=7,$L38=0,$S38&gt;1)),1,0)+IF(AND($F39=1,AND($J$1=7,$M38=0,$T38&gt;1)),1,0)+IF(AND($G39=1,AND($K$1=7,$N38=0,$U38&gt;1)),1,0)+IF(AND($H39=1,AND($L$1=7,$O38=0,$V38&gt;1)),1,0)</f>
        <v/>
      </c>
      <c r="AB39" s="38">
        <f>IF(IFERROR('Янв'!$I34,"")="",0,$AB38+1)</f>
        <v/>
      </c>
    </row>
    <row r="40" spans="1:28">
      <c r="A40" s="38">
        <f>IF($B$1&gt;=DATE(2026,1,30),1,0)</f>
        <v/>
      </c>
      <c r="B40" s="38">
        <f>IFERROR(IF('Янв'!$B35=TRUE,1,0),0)</f>
        <v/>
      </c>
      <c r="C40" s="38">
        <f>IFERROR(IF('Янв'!$C35=TRUE,1,0),0)</f>
        <v/>
      </c>
      <c r="D40" s="38">
        <f>IFERROR(IF('Янв'!$D35=TRUE,1,0),0)</f>
        <v/>
      </c>
      <c r="E40" s="38">
        <f>IFERROR(IF('Янв'!$E35=TRUE,1,0),0)</f>
        <v/>
      </c>
      <c r="F40" s="38">
        <f>IFERROR(IF('Янв'!$F35=TRUE,1,0),0)</f>
        <v/>
      </c>
      <c r="G40" s="38">
        <f>IFERROR(IF('Янв'!$G35=TRUE,1,0),0)</f>
        <v/>
      </c>
      <c r="H40" s="38">
        <f>IFERROR(IF('Янв'!$H35=TRUE,1,0),0)</f>
        <v/>
      </c>
      <c r="I40" s="38">
        <f>IF($A40=0,$I39,IF($B40=1,$I39+1,IF($P40&lt;=1,$I39,0)))</f>
        <v/>
      </c>
      <c r="J40" s="38">
        <f>IF($A40=0,$J39,IF($C40=1,$J39+1,IF($Q40&lt;=1,$J39,0)))</f>
        <v/>
      </c>
      <c r="K40" s="38">
        <f>IF($A40=0,$K39,IF($D40=1,$K39+1,IF($R40&lt;=1,$K39,0)))</f>
        <v/>
      </c>
      <c r="L40" s="38">
        <f>IF($A40=0,$L39,IF($E40=1,$L39+1,IF($S40&lt;=1,$L39,0)))</f>
        <v/>
      </c>
      <c r="M40" s="38">
        <f>IF($A40=0,$M39,IF($F40=1,$M39+1,IF($T40&lt;=1,$M39,0)))</f>
        <v/>
      </c>
      <c r="N40" s="38">
        <f>IF($A40=0,$N39,IF($G40=1,$N39+1,IF($U40&lt;=1,$N39,0)))</f>
        <v/>
      </c>
      <c r="O40" s="38">
        <f>IF($A40=0,$O39,IF($H40=1,$O39+1,IF($V40&lt;=1,$O39,0)))</f>
        <v/>
      </c>
      <c r="P40" s="38">
        <f>IF($A40=0,$P39,$P39+IF($B40=1,0,1))</f>
        <v/>
      </c>
      <c r="Q40" s="38">
        <f>IF($A40=0,$Q39,$Q39+IF($C40=1,0,1))</f>
        <v/>
      </c>
      <c r="R40" s="38">
        <f>IF($A40=0,$R39,$R39+IF($D40=1,0,1))</f>
        <v/>
      </c>
      <c r="S40" s="38">
        <f>IF($A40=0,$S39,$S39+IF($E40=1,0,1))</f>
        <v/>
      </c>
      <c r="T40" s="38">
        <f>IF($A40=0,$T39,$T39+IF($F40=1,0,1))</f>
        <v/>
      </c>
      <c r="U40" s="38">
        <f>IF($A40=0,$U39,$U39+IF($G40=1,0,1))</f>
        <v/>
      </c>
      <c r="V40" s="38">
        <f>IF($A40=0,$V39,$V39+IF($H40=1,0,1))</f>
        <v/>
      </c>
      <c r="W40" s="38">
        <f>SUM($B40:$H40)</f>
        <v/>
      </c>
      <c r="X40" s="38">
        <f>IF(AND($A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40=1),1,0)+IF(AND($G$1=7,$C40=1),1,0)+IF(AND($H$1=7,$D40=1),1,0)+IF(AND($I$1=7,$E40=1),1,0)+IF(AND($J$1=7,$F40=1),1,0)+IF(AND($K$1=7,$G40=1),1,0)+IF(AND($L$1=7,$H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0" s="38">
        <f>IF($B40=1,IF($F$1&lt;7,10,IF(AND($F$1=7,$I39=0,$P39&gt;1),15,IF($I39&gt;=20,15,IF($I39&gt;=6,13,10)))),0)+IF($C40=1,IF($G$1&lt;7,10,IF(AND($G$1=7,$J39=0,$Q39&gt;1),15,IF($J39&gt;=20,15,IF($J39&gt;=6,13,10)))),0)+IF($D40=1,IF($H$1&lt;7,10,IF(AND($H$1=7,$K39=0,$R39&gt;1),15,IF($K39&gt;=20,15,IF($K39&gt;=6,13,10)))),0)+IF($E40=1,IF($I$1&lt;7,10,IF(AND($I$1=7,$L39=0,$S39&gt;1),15,IF($L39&gt;=20,15,IF($L39&gt;=6,13,10)))),0)+IF($F40=1,IF($J$1&lt;7,10,IF(AND($J$1=7,$M39=0,$T39&gt;1),15,IF($M39&gt;=20,15,IF($M39&gt;=6,13,10)))),0)+IF($G40=1,IF($K$1&lt;7,10,IF(AND($K$1=7,$N39=0,$U39&gt;1),15,IF($N39&gt;=20,15,IF($N39&gt;=6,13,10)))),0)+IF($H40=1,IF($L$1&lt;7,10,IF(AND($L$1=7,$O39=0,$V39&gt;1),15,IF($O39&gt;=20,15,IF($O39&gt;=6,13,10)))),0)</f>
        <v/>
      </c>
      <c r="Z40" s="38">
        <f>$Z39+$Y40</f>
        <v/>
      </c>
      <c r="AA40" s="38">
        <f>IF(AND($B40=1,AND($F$1=7,$I39=0,$P39&gt;1)),1,0)+IF(AND($C40=1,AND($G$1=7,$J39=0,$Q39&gt;1)),1,0)+IF(AND($D40=1,AND($H$1=7,$K39=0,$R39&gt;1)),1,0)+IF(AND($E40=1,AND($I$1=7,$L39=0,$S39&gt;1)),1,0)+IF(AND($F40=1,AND($J$1=7,$M39=0,$T39&gt;1)),1,0)+IF(AND($G40=1,AND($K$1=7,$N39=0,$U39&gt;1)),1,0)+IF(AND($H40=1,AND($L$1=7,$O39=0,$V39&gt;1)),1,0)</f>
        <v/>
      </c>
      <c r="AB40" s="38">
        <f>IF(IFERROR('Янв'!$I35,"")="",0,$AB39+1)</f>
        <v/>
      </c>
    </row>
    <row r="41" spans="1:28">
      <c r="A41" s="38">
        <f>IF($B$1&gt;=DATE(2026,1,31),1,0)</f>
        <v/>
      </c>
      <c r="B41" s="38">
        <f>IFERROR(IF('Янв'!$B36=TRUE,1,0),0)</f>
        <v/>
      </c>
      <c r="C41" s="38">
        <f>IFERROR(IF('Янв'!$C36=TRUE,1,0),0)</f>
        <v/>
      </c>
      <c r="D41" s="38">
        <f>IFERROR(IF('Янв'!$D36=TRUE,1,0),0)</f>
        <v/>
      </c>
      <c r="E41" s="38">
        <f>IFERROR(IF('Янв'!$E36=TRUE,1,0),0)</f>
        <v/>
      </c>
      <c r="F41" s="38">
        <f>IFERROR(IF('Янв'!$F36=TRUE,1,0),0)</f>
        <v/>
      </c>
      <c r="G41" s="38">
        <f>IFERROR(IF('Янв'!$G36=TRUE,1,0),0)</f>
        <v/>
      </c>
      <c r="H41" s="38">
        <f>IFERROR(IF('Янв'!$H36=TRUE,1,0),0)</f>
        <v/>
      </c>
      <c r="I41" s="38">
        <f>IF($A41=0,$I40,IF($B41=1,$I40+1,IF($P41&lt;=1,$I40,0)))</f>
        <v/>
      </c>
      <c r="J41" s="38">
        <f>IF($A41=0,$J40,IF($C41=1,$J40+1,IF($Q41&lt;=1,$J40,0)))</f>
        <v/>
      </c>
      <c r="K41" s="38">
        <f>IF($A41=0,$K40,IF($D41=1,$K40+1,IF($R41&lt;=1,$K40,0)))</f>
        <v/>
      </c>
      <c r="L41" s="38">
        <f>IF($A41=0,$L40,IF($E41=1,$L40+1,IF($S41&lt;=1,$L40,0)))</f>
        <v/>
      </c>
      <c r="M41" s="38">
        <f>IF($A41=0,$M40,IF($F41=1,$M40+1,IF($T41&lt;=1,$M40,0)))</f>
        <v/>
      </c>
      <c r="N41" s="38">
        <f>IF($A41=0,$N40,IF($G41=1,$N40+1,IF($U41&lt;=1,$N40,0)))</f>
        <v/>
      </c>
      <c r="O41" s="38">
        <f>IF($A41=0,$O40,IF($H41=1,$O40+1,IF($V41&lt;=1,$O40,0)))</f>
        <v/>
      </c>
      <c r="P41" s="38">
        <f>IF($A41=0,$P40,$P40+IF($B41=1,0,1))</f>
        <v/>
      </c>
      <c r="Q41" s="38">
        <f>IF($A41=0,$Q40,$Q40+IF($C41=1,0,1))</f>
        <v/>
      </c>
      <c r="R41" s="38">
        <f>IF($A41=0,$R40,$R40+IF($D41=1,0,1))</f>
        <v/>
      </c>
      <c r="S41" s="38">
        <f>IF($A41=0,$S40,$S40+IF($E41=1,0,1))</f>
        <v/>
      </c>
      <c r="T41" s="38">
        <f>IF($A41=0,$T40,$T40+IF($F41=1,0,1))</f>
        <v/>
      </c>
      <c r="U41" s="38">
        <f>IF($A41=0,$U40,$U40+IF($G41=1,0,1))</f>
        <v/>
      </c>
      <c r="V41" s="38">
        <f>IF($A41=0,$V40,$V40+IF($H41=1,0,1))</f>
        <v/>
      </c>
      <c r="W41" s="38">
        <f>SUM($B41:$H41)</f>
        <v/>
      </c>
      <c r="X41" s="38">
        <f>IF(AND($A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41=1),1,0)+IF(AND($G$1=7,$C41=1),1,0)+IF(AND($H$1=7,$D41=1),1,0)+IF(AND($I$1=7,$E41=1),1,0)+IF(AND($J$1=7,$F41=1),1,0)+IF(AND($K$1=7,$G41=1),1,0)+IF(AND($L$1=7,$H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1" s="38">
        <f>IF($B41=1,IF($F$1&lt;7,10,IF(AND($F$1=7,$I40=0,$P40&gt;1),15,IF($I40&gt;=20,15,IF($I40&gt;=6,13,10)))),0)+IF($C41=1,IF($G$1&lt;7,10,IF(AND($G$1=7,$J40=0,$Q40&gt;1),15,IF($J40&gt;=20,15,IF($J40&gt;=6,13,10)))),0)+IF($D41=1,IF($H$1&lt;7,10,IF(AND($H$1=7,$K40=0,$R40&gt;1),15,IF($K40&gt;=20,15,IF($K40&gt;=6,13,10)))),0)+IF($E41=1,IF($I$1&lt;7,10,IF(AND($I$1=7,$L40=0,$S40&gt;1),15,IF($L40&gt;=20,15,IF($L40&gt;=6,13,10)))),0)+IF($F41=1,IF($J$1&lt;7,10,IF(AND($J$1=7,$M40=0,$T40&gt;1),15,IF($M40&gt;=20,15,IF($M40&gt;=6,13,10)))),0)+IF($G41=1,IF($K$1&lt;7,10,IF(AND($K$1=7,$N40=0,$U40&gt;1),15,IF($N40&gt;=20,15,IF($N40&gt;=6,13,10)))),0)+IF($H41=1,IF($L$1&lt;7,10,IF(AND($L$1=7,$O40=0,$V40&gt;1),15,IF($O40&gt;=20,15,IF($O40&gt;=6,13,10)))),0)</f>
        <v/>
      </c>
      <c r="Z41" s="38">
        <f>$Z40+$Y41</f>
        <v/>
      </c>
      <c r="AA41" s="38">
        <f>IF(AND($B41=1,AND($F$1=7,$I40=0,$P40&gt;1)),1,0)+IF(AND($C41=1,AND($G$1=7,$J40=0,$Q40&gt;1)),1,0)+IF(AND($D41=1,AND($H$1=7,$K40=0,$R40&gt;1)),1,0)+IF(AND($E41=1,AND($I$1=7,$L40=0,$S40&gt;1)),1,0)+IF(AND($F41=1,AND($J$1=7,$M40=0,$T40&gt;1)),1,0)+IF(AND($G41=1,AND($K$1=7,$N40=0,$U40&gt;1)),1,0)+IF(AND($H41=1,AND($L$1=7,$O40=0,$V40&gt;1)),1,0)</f>
        <v/>
      </c>
      <c r="AB41" s="38">
        <f>IF(IFERROR('Янв'!$I36,"")="",0,$AB40+1)</f>
        <v/>
      </c>
    </row>
    <row r="42" spans="1:28">
      <c r="A42" s="38">
        <f>IF($B$1&gt;=DATE(2026,2,1),1,0)</f>
        <v/>
      </c>
      <c r="B42" s="38">
        <f>IFERROR(IF('Фев'!$B6=TRUE,1,0),0)</f>
        <v/>
      </c>
      <c r="C42" s="38">
        <f>IFERROR(IF('Фев'!$C6=TRUE,1,0),0)</f>
        <v/>
      </c>
      <c r="D42" s="38">
        <f>IFERROR(IF('Фев'!$D6=TRUE,1,0),0)</f>
        <v/>
      </c>
      <c r="E42" s="38">
        <f>IFERROR(IF('Фев'!$E6=TRUE,1,0),0)</f>
        <v/>
      </c>
      <c r="F42" s="38">
        <f>IFERROR(IF('Фев'!$F6=TRUE,1,0),0)</f>
        <v/>
      </c>
      <c r="G42" s="38">
        <f>IFERROR(IF('Фев'!$G6=TRUE,1,0),0)</f>
        <v/>
      </c>
      <c r="H42" s="38">
        <f>IFERROR(IF('Фев'!$H6=TRUE,1,0),0)</f>
        <v/>
      </c>
      <c r="I42" s="38">
        <f>IF($A42=0,$I41,IF($B42=1,$I41+1,IF($P42&lt;=1,$I41,0)))</f>
        <v/>
      </c>
      <c r="J42" s="38">
        <f>IF($A42=0,$J41,IF($C42=1,$J41+1,IF($Q42&lt;=1,$J41,0)))</f>
        <v/>
      </c>
      <c r="K42" s="38">
        <f>IF($A42=0,$K41,IF($D42=1,$K41+1,IF($R42&lt;=1,$K41,0)))</f>
        <v/>
      </c>
      <c r="L42" s="38">
        <f>IF($A42=0,$L41,IF($E42=1,$L41+1,IF($S42&lt;=1,$L41,0)))</f>
        <v/>
      </c>
      <c r="M42" s="38">
        <f>IF($A42=0,$M41,IF($F42=1,$M41+1,IF($T42&lt;=1,$M41,0)))</f>
        <v/>
      </c>
      <c r="N42" s="38">
        <f>IF($A42=0,$N41,IF($G42=1,$N41+1,IF($U42&lt;=1,$N41,0)))</f>
        <v/>
      </c>
      <c r="O42" s="38">
        <f>IF($A42=0,$O41,IF($H42=1,$O41+1,IF($V42&lt;=1,$O41,0)))</f>
        <v/>
      </c>
      <c r="P42" s="38">
        <f>IF($A42=0,0,0+IF($B42=1,0,1))</f>
        <v/>
      </c>
      <c r="Q42" s="38">
        <f>IF($A42=0,0,0+IF($C42=1,0,1))</f>
        <v/>
      </c>
      <c r="R42" s="38">
        <f>IF($A42=0,0,0+IF($D42=1,0,1))</f>
        <v/>
      </c>
      <c r="S42" s="38">
        <f>IF($A42=0,0,0+IF($E42=1,0,1))</f>
        <v/>
      </c>
      <c r="T42" s="38">
        <f>IF($A42=0,0,0+IF($F42=1,0,1))</f>
        <v/>
      </c>
      <c r="U42" s="38">
        <f>IF($A42=0,0,0+IF($G42=1,0,1))</f>
        <v/>
      </c>
      <c r="V42" s="38">
        <f>IF($A42=0,0,0+IF($H42=1,0,1))</f>
        <v/>
      </c>
      <c r="W42" s="38">
        <f>SUM($B42:$H42)</f>
        <v/>
      </c>
      <c r="X42" s="38">
        <f>IF(AND($A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42=1),1,0)+IF(AND($G$1=7,$C42=1),1,0)+IF(AND($H$1=7,$D42=1),1,0)+IF(AND($I$1=7,$E42=1),1,0)+IF(AND($J$1=7,$F42=1),1,0)+IF(AND($K$1=7,$G42=1),1,0)+IF(AND($L$1=7,$H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2" s="38">
        <f>IF($B42=1,IF($F$1&lt;7,10,IF(AND($F$1=7,$I41=0,0&gt;1),15,IF($I41&gt;=20,15,IF($I41&gt;=6,13,10)))),0)+IF($C42=1,IF($G$1&lt;7,10,IF(AND($G$1=7,$J41=0,0&gt;1),15,IF($J41&gt;=20,15,IF($J41&gt;=6,13,10)))),0)+IF($D42=1,IF($H$1&lt;7,10,IF(AND($H$1=7,$K41=0,0&gt;1),15,IF($K41&gt;=20,15,IF($K41&gt;=6,13,10)))),0)+IF($E42=1,IF($I$1&lt;7,10,IF(AND($I$1=7,$L41=0,0&gt;1),15,IF($L41&gt;=20,15,IF($L41&gt;=6,13,10)))),0)+IF($F42=1,IF($J$1&lt;7,10,IF(AND($J$1=7,$M41=0,0&gt;1),15,IF($M41&gt;=20,15,IF($M41&gt;=6,13,10)))),0)+IF($G42=1,IF($K$1&lt;7,10,IF(AND($K$1=7,$N41=0,0&gt;1),15,IF($N41&gt;=20,15,IF($N41&gt;=6,13,10)))),0)+IF($H42=1,IF($L$1&lt;7,10,IF(AND($L$1=7,$O41=0,0&gt;1),15,IF($O41&gt;=20,15,IF($O41&gt;=6,13,10)))),0)</f>
        <v/>
      </c>
      <c r="Z42" s="38">
        <f>$Z41+$Y42</f>
        <v/>
      </c>
      <c r="AA42" s="38">
        <f>IF(AND($B42=1,AND($F$1=7,$I41=0,0&gt;1)),1,0)+IF(AND($C42=1,AND($G$1=7,$J41=0,0&gt;1)),1,0)+IF(AND($D42=1,AND($H$1=7,$K41=0,0&gt;1)),1,0)+IF(AND($E42=1,AND($I$1=7,$L41=0,0&gt;1)),1,0)+IF(AND($F42=1,AND($J$1=7,$M41=0,0&gt;1)),1,0)+IF(AND($G42=1,AND($K$1=7,$N41=0,0&gt;1)),1,0)+IF(AND($H42=1,AND($L$1=7,$O41=0,0&gt;1)),1,0)</f>
        <v/>
      </c>
      <c r="AB42" s="38">
        <f>IF(IFERROR('Фев'!$I6,"")="",0,$AB41+1)</f>
        <v/>
      </c>
    </row>
    <row r="43" spans="1:28">
      <c r="A43" s="38">
        <f>IF($B$1&gt;=DATE(2026,2,2),1,0)</f>
        <v/>
      </c>
      <c r="B43" s="38">
        <f>IFERROR(IF('Фев'!$B7=TRUE,1,0),0)</f>
        <v/>
      </c>
      <c r="C43" s="38">
        <f>IFERROR(IF('Фев'!$C7=TRUE,1,0),0)</f>
        <v/>
      </c>
      <c r="D43" s="38">
        <f>IFERROR(IF('Фев'!$D7=TRUE,1,0),0)</f>
        <v/>
      </c>
      <c r="E43" s="38">
        <f>IFERROR(IF('Фев'!$E7=TRUE,1,0),0)</f>
        <v/>
      </c>
      <c r="F43" s="38">
        <f>IFERROR(IF('Фев'!$F7=TRUE,1,0),0)</f>
        <v/>
      </c>
      <c r="G43" s="38">
        <f>IFERROR(IF('Фев'!$G7=TRUE,1,0),0)</f>
        <v/>
      </c>
      <c r="H43" s="38">
        <f>IFERROR(IF('Фев'!$H7=TRUE,1,0),0)</f>
        <v/>
      </c>
      <c r="I43" s="38">
        <f>IF($A43=0,$I42,IF($B43=1,$I42+1,IF($P43&lt;=1,$I42,0)))</f>
        <v/>
      </c>
      <c r="J43" s="38">
        <f>IF($A43=0,$J42,IF($C43=1,$J42+1,IF($Q43&lt;=1,$J42,0)))</f>
        <v/>
      </c>
      <c r="K43" s="38">
        <f>IF($A43=0,$K42,IF($D43=1,$K42+1,IF($R43&lt;=1,$K42,0)))</f>
        <v/>
      </c>
      <c r="L43" s="38">
        <f>IF($A43=0,$L42,IF($E43=1,$L42+1,IF($S43&lt;=1,$L42,0)))</f>
        <v/>
      </c>
      <c r="M43" s="38">
        <f>IF($A43=0,$M42,IF($F43=1,$M42+1,IF($T43&lt;=1,$M42,0)))</f>
        <v/>
      </c>
      <c r="N43" s="38">
        <f>IF($A43=0,$N42,IF($G43=1,$N42+1,IF($U43&lt;=1,$N42,0)))</f>
        <v/>
      </c>
      <c r="O43" s="38">
        <f>IF($A43=0,$O42,IF($H43=1,$O42+1,IF($V43&lt;=1,$O42,0)))</f>
        <v/>
      </c>
      <c r="P43" s="38">
        <f>IF($A43=0,$P42,$P42+IF($B43=1,0,1))</f>
        <v/>
      </c>
      <c r="Q43" s="38">
        <f>IF($A43=0,$Q42,$Q42+IF($C43=1,0,1))</f>
        <v/>
      </c>
      <c r="R43" s="38">
        <f>IF($A43=0,$R42,$R42+IF($D43=1,0,1))</f>
        <v/>
      </c>
      <c r="S43" s="38">
        <f>IF($A43=0,$S42,$S42+IF($E43=1,0,1))</f>
        <v/>
      </c>
      <c r="T43" s="38">
        <f>IF($A43=0,$T42,$T42+IF($F43=1,0,1))</f>
        <v/>
      </c>
      <c r="U43" s="38">
        <f>IF($A43=0,$U42,$U42+IF($G43=1,0,1))</f>
        <v/>
      </c>
      <c r="V43" s="38">
        <f>IF($A43=0,$V42,$V42+IF($H43=1,0,1))</f>
        <v/>
      </c>
      <c r="W43" s="38">
        <f>SUM($B43:$H43)</f>
        <v/>
      </c>
      <c r="X43" s="38">
        <f>IF(AND($A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43=1),1,0)+IF(AND($G$1=7,$C43=1),1,0)+IF(AND($H$1=7,$D43=1),1,0)+IF(AND($I$1=7,$E43=1),1,0)+IF(AND($J$1=7,$F43=1),1,0)+IF(AND($K$1=7,$G43=1),1,0)+IF(AND($L$1=7,$H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3" s="38">
        <f>IF($B43=1,IF($F$1&lt;7,10,IF(AND($F$1=7,$I42=0,$P42&gt;1),15,IF($I42&gt;=20,15,IF($I42&gt;=6,13,10)))),0)+IF($C43=1,IF($G$1&lt;7,10,IF(AND($G$1=7,$J42=0,$Q42&gt;1),15,IF($J42&gt;=20,15,IF($J42&gt;=6,13,10)))),0)+IF($D43=1,IF($H$1&lt;7,10,IF(AND($H$1=7,$K42=0,$R42&gt;1),15,IF($K42&gt;=20,15,IF($K42&gt;=6,13,10)))),0)+IF($E43=1,IF($I$1&lt;7,10,IF(AND($I$1=7,$L42=0,$S42&gt;1),15,IF($L42&gt;=20,15,IF($L42&gt;=6,13,10)))),0)+IF($F43=1,IF($J$1&lt;7,10,IF(AND($J$1=7,$M42=0,$T42&gt;1),15,IF($M42&gt;=20,15,IF($M42&gt;=6,13,10)))),0)+IF($G43=1,IF($K$1&lt;7,10,IF(AND($K$1=7,$N42=0,$U42&gt;1),15,IF($N42&gt;=20,15,IF($N42&gt;=6,13,10)))),0)+IF($H43=1,IF($L$1&lt;7,10,IF(AND($L$1=7,$O42=0,$V42&gt;1),15,IF($O42&gt;=20,15,IF($O42&gt;=6,13,10)))),0)</f>
        <v/>
      </c>
      <c r="Z43" s="38">
        <f>$Z42+$Y43</f>
        <v/>
      </c>
      <c r="AA43" s="38">
        <f>IF(AND($B43=1,AND($F$1=7,$I42=0,$P42&gt;1)),1,0)+IF(AND($C43=1,AND($G$1=7,$J42=0,$Q42&gt;1)),1,0)+IF(AND($D43=1,AND($H$1=7,$K42=0,$R42&gt;1)),1,0)+IF(AND($E43=1,AND($I$1=7,$L42=0,$S42&gt;1)),1,0)+IF(AND($F43=1,AND($J$1=7,$M42=0,$T42&gt;1)),1,0)+IF(AND($G43=1,AND($K$1=7,$N42=0,$U42&gt;1)),1,0)+IF(AND($H43=1,AND($L$1=7,$O42=0,$V42&gt;1)),1,0)</f>
        <v/>
      </c>
      <c r="AB43" s="38">
        <f>IF(IFERROR('Фев'!$I7,"")="",0,$AB42+1)</f>
        <v/>
      </c>
    </row>
    <row r="44" spans="1:28">
      <c r="A44" s="38">
        <f>IF($B$1&gt;=DATE(2026,2,3),1,0)</f>
        <v/>
      </c>
      <c r="B44" s="38">
        <f>IFERROR(IF('Фев'!$B8=TRUE,1,0),0)</f>
        <v/>
      </c>
      <c r="C44" s="38">
        <f>IFERROR(IF('Фев'!$C8=TRUE,1,0),0)</f>
        <v/>
      </c>
      <c r="D44" s="38">
        <f>IFERROR(IF('Фев'!$D8=TRUE,1,0),0)</f>
        <v/>
      </c>
      <c r="E44" s="38">
        <f>IFERROR(IF('Фев'!$E8=TRUE,1,0),0)</f>
        <v/>
      </c>
      <c r="F44" s="38">
        <f>IFERROR(IF('Фев'!$F8=TRUE,1,0),0)</f>
        <v/>
      </c>
      <c r="G44" s="38">
        <f>IFERROR(IF('Фев'!$G8=TRUE,1,0),0)</f>
        <v/>
      </c>
      <c r="H44" s="38">
        <f>IFERROR(IF('Фев'!$H8=TRUE,1,0),0)</f>
        <v/>
      </c>
      <c r="I44" s="38">
        <f>IF($A44=0,$I43,IF($B44=1,$I43+1,IF($P44&lt;=1,$I43,0)))</f>
        <v/>
      </c>
      <c r="J44" s="38">
        <f>IF($A44=0,$J43,IF($C44=1,$J43+1,IF($Q44&lt;=1,$J43,0)))</f>
        <v/>
      </c>
      <c r="K44" s="38">
        <f>IF($A44=0,$K43,IF($D44=1,$K43+1,IF($R44&lt;=1,$K43,0)))</f>
        <v/>
      </c>
      <c r="L44" s="38">
        <f>IF($A44=0,$L43,IF($E44=1,$L43+1,IF($S44&lt;=1,$L43,0)))</f>
        <v/>
      </c>
      <c r="M44" s="38">
        <f>IF($A44=0,$M43,IF($F44=1,$M43+1,IF($T44&lt;=1,$M43,0)))</f>
        <v/>
      </c>
      <c r="N44" s="38">
        <f>IF($A44=0,$N43,IF($G44=1,$N43+1,IF($U44&lt;=1,$N43,0)))</f>
        <v/>
      </c>
      <c r="O44" s="38">
        <f>IF($A44=0,$O43,IF($H44=1,$O43+1,IF($V44&lt;=1,$O43,0)))</f>
        <v/>
      </c>
      <c r="P44" s="38">
        <f>IF($A44=0,$P43,$P43+IF($B44=1,0,1))</f>
        <v/>
      </c>
      <c r="Q44" s="38">
        <f>IF($A44=0,$Q43,$Q43+IF($C44=1,0,1))</f>
        <v/>
      </c>
      <c r="R44" s="38">
        <f>IF($A44=0,$R43,$R43+IF($D44=1,0,1))</f>
        <v/>
      </c>
      <c r="S44" s="38">
        <f>IF($A44=0,$S43,$S43+IF($E44=1,0,1))</f>
        <v/>
      </c>
      <c r="T44" s="38">
        <f>IF($A44=0,$T43,$T43+IF($F44=1,0,1))</f>
        <v/>
      </c>
      <c r="U44" s="38">
        <f>IF($A44=0,$U43,$U43+IF($G44=1,0,1))</f>
        <v/>
      </c>
      <c r="V44" s="38">
        <f>IF($A44=0,$V43,$V43+IF($H44=1,0,1))</f>
        <v/>
      </c>
      <c r="W44" s="38">
        <f>SUM($B44:$H44)</f>
        <v/>
      </c>
      <c r="X44" s="38">
        <f>IF(AND($A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44=1),1,0)+IF(AND($G$1=7,$C44=1),1,0)+IF(AND($H$1=7,$D44=1),1,0)+IF(AND($I$1=7,$E44=1),1,0)+IF(AND($J$1=7,$F44=1),1,0)+IF(AND($K$1=7,$G44=1),1,0)+IF(AND($L$1=7,$H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4" s="38">
        <f>IF($B44=1,IF($F$1&lt;7,10,IF(AND($F$1=7,$I43=0,$P43&gt;1),15,IF($I43&gt;=20,15,IF($I43&gt;=6,13,10)))),0)+IF($C44=1,IF($G$1&lt;7,10,IF(AND($G$1=7,$J43=0,$Q43&gt;1),15,IF($J43&gt;=20,15,IF($J43&gt;=6,13,10)))),0)+IF($D44=1,IF($H$1&lt;7,10,IF(AND($H$1=7,$K43=0,$R43&gt;1),15,IF($K43&gt;=20,15,IF($K43&gt;=6,13,10)))),0)+IF($E44=1,IF($I$1&lt;7,10,IF(AND($I$1=7,$L43=0,$S43&gt;1),15,IF($L43&gt;=20,15,IF($L43&gt;=6,13,10)))),0)+IF($F44=1,IF($J$1&lt;7,10,IF(AND($J$1=7,$M43=0,$T43&gt;1),15,IF($M43&gt;=20,15,IF($M43&gt;=6,13,10)))),0)+IF($G44=1,IF($K$1&lt;7,10,IF(AND($K$1=7,$N43=0,$U43&gt;1),15,IF($N43&gt;=20,15,IF($N43&gt;=6,13,10)))),0)+IF($H44=1,IF($L$1&lt;7,10,IF(AND($L$1=7,$O43=0,$V43&gt;1),15,IF($O43&gt;=20,15,IF($O43&gt;=6,13,10)))),0)</f>
        <v/>
      </c>
      <c r="Z44" s="38">
        <f>$Z43+$Y44</f>
        <v/>
      </c>
      <c r="AA44" s="38">
        <f>IF(AND($B44=1,AND($F$1=7,$I43=0,$P43&gt;1)),1,0)+IF(AND($C44=1,AND($G$1=7,$J43=0,$Q43&gt;1)),1,0)+IF(AND($D44=1,AND($H$1=7,$K43=0,$R43&gt;1)),1,0)+IF(AND($E44=1,AND($I$1=7,$L43=0,$S43&gt;1)),1,0)+IF(AND($F44=1,AND($J$1=7,$M43=0,$T43&gt;1)),1,0)+IF(AND($G44=1,AND($K$1=7,$N43=0,$U43&gt;1)),1,0)+IF(AND($H44=1,AND($L$1=7,$O43=0,$V43&gt;1)),1,0)</f>
        <v/>
      </c>
      <c r="AB44" s="38">
        <f>IF(IFERROR('Фев'!$I8,"")="",0,$AB43+1)</f>
        <v/>
      </c>
    </row>
    <row r="45" spans="1:28">
      <c r="A45" s="38">
        <f>IF($B$1&gt;=DATE(2026,2,4),1,0)</f>
        <v/>
      </c>
      <c r="B45" s="38">
        <f>IFERROR(IF('Фев'!$B9=TRUE,1,0),0)</f>
        <v/>
      </c>
      <c r="C45" s="38">
        <f>IFERROR(IF('Фев'!$C9=TRUE,1,0),0)</f>
        <v/>
      </c>
      <c r="D45" s="38">
        <f>IFERROR(IF('Фев'!$D9=TRUE,1,0),0)</f>
        <v/>
      </c>
      <c r="E45" s="38">
        <f>IFERROR(IF('Фев'!$E9=TRUE,1,0),0)</f>
        <v/>
      </c>
      <c r="F45" s="38">
        <f>IFERROR(IF('Фев'!$F9=TRUE,1,0),0)</f>
        <v/>
      </c>
      <c r="G45" s="38">
        <f>IFERROR(IF('Фев'!$G9=TRUE,1,0),0)</f>
        <v/>
      </c>
      <c r="H45" s="38">
        <f>IFERROR(IF('Фев'!$H9=TRUE,1,0),0)</f>
        <v/>
      </c>
      <c r="I45" s="38">
        <f>IF($A45=0,$I44,IF($B45=1,$I44+1,IF($P45&lt;=1,$I44,0)))</f>
        <v/>
      </c>
      <c r="J45" s="38">
        <f>IF($A45=0,$J44,IF($C45=1,$J44+1,IF($Q45&lt;=1,$J44,0)))</f>
        <v/>
      </c>
      <c r="K45" s="38">
        <f>IF($A45=0,$K44,IF($D45=1,$K44+1,IF($R45&lt;=1,$K44,0)))</f>
        <v/>
      </c>
      <c r="L45" s="38">
        <f>IF($A45=0,$L44,IF($E45=1,$L44+1,IF($S45&lt;=1,$L44,0)))</f>
        <v/>
      </c>
      <c r="M45" s="38">
        <f>IF($A45=0,$M44,IF($F45=1,$M44+1,IF($T45&lt;=1,$M44,0)))</f>
        <v/>
      </c>
      <c r="N45" s="38">
        <f>IF($A45=0,$N44,IF($G45=1,$N44+1,IF($U45&lt;=1,$N44,0)))</f>
        <v/>
      </c>
      <c r="O45" s="38">
        <f>IF($A45=0,$O44,IF($H45=1,$O44+1,IF($V45&lt;=1,$O44,0)))</f>
        <v/>
      </c>
      <c r="P45" s="38">
        <f>IF($A45=0,$P44,$P44+IF($B45=1,0,1))</f>
        <v/>
      </c>
      <c r="Q45" s="38">
        <f>IF($A45=0,$Q44,$Q44+IF($C45=1,0,1))</f>
        <v/>
      </c>
      <c r="R45" s="38">
        <f>IF($A45=0,$R44,$R44+IF($D45=1,0,1))</f>
        <v/>
      </c>
      <c r="S45" s="38">
        <f>IF($A45=0,$S44,$S44+IF($E45=1,0,1))</f>
        <v/>
      </c>
      <c r="T45" s="38">
        <f>IF($A45=0,$T44,$T44+IF($F45=1,0,1))</f>
        <v/>
      </c>
      <c r="U45" s="38">
        <f>IF($A45=0,$U44,$U44+IF($G45=1,0,1))</f>
        <v/>
      </c>
      <c r="V45" s="38">
        <f>IF($A45=0,$V44,$V44+IF($H45=1,0,1))</f>
        <v/>
      </c>
      <c r="W45" s="38">
        <f>SUM($B45:$H45)</f>
        <v/>
      </c>
      <c r="X45" s="38">
        <f>IF(AND($A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45=1),1,0)+IF(AND($G$1=7,$C45=1),1,0)+IF(AND($H$1=7,$D45=1),1,0)+IF(AND($I$1=7,$E45=1),1,0)+IF(AND($J$1=7,$F45=1),1,0)+IF(AND($K$1=7,$G45=1),1,0)+IF(AND($L$1=7,$H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5" s="38">
        <f>IF($B45=1,IF($F$1&lt;7,10,IF(AND($F$1=7,$I44=0,$P44&gt;1),15,IF($I44&gt;=20,15,IF($I44&gt;=6,13,10)))),0)+IF($C45=1,IF($G$1&lt;7,10,IF(AND($G$1=7,$J44=0,$Q44&gt;1),15,IF($J44&gt;=20,15,IF($J44&gt;=6,13,10)))),0)+IF($D45=1,IF($H$1&lt;7,10,IF(AND($H$1=7,$K44=0,$R44&gt;1),15,IF($K44&gt;=20,15,IF($K44&gt;=6,13,10)))),0)+IF($E45=1,IF($I$1&lt;7,10,IF(AND($I$1=7,$L44=0,$S44&gt;1),15,IF($L44&gt;=20,15,IF($L44&gt;=6,13,10)))),0)+IF($F45=1,IF($J$1&lt;7,10,IF(AND($J$1=7,$M44=0,$T44&gt;1),15,IF($M44&gt;=20,15,IF($M44&gt;=6,13,10)))),0)+IF($G45=1,IF($K$1&lt;7,10,IF(AND($K$1=7,$N44=0,$U44&gt;1),15,IF($N44&gt;=20,15,IF($N44&gt;=6,13,10)))),0)+IF($H45=1,IF($L$1&lt;7,10,IF(AND($L$1=7,$O44=0,$V44&gt;1),15,IF($O44&gt;=20,15,IF($O44&gt;=6,13,10)))),0)</f>
        <v/>
      </c>
      <c r="Z45" s="38">
        <f>$Z44+$Y45</f>
        <v/>
      </c>
      <c r="AA45" s="38">
        <f>IF(AND($B45=1,AND($F$1=7,$I44=0,$P44&gt;1)),1,0)+IF(AND($C45=1,AND($G$1=7,$J44=0,$Q44&gt;1)),1,0)+IF(AND($D45=1,AND($H$1=7,$K44=0,$R44&gt;1)),1,0)+IF(AND($E45=1,AND($I$1=7,$L44=0,$S44&gt;1)),1,0)+IF(AND($F45=1,AND($J$1=7,$M44=0,$T44&gt;1)),1,0)+IF(AND($G45=1,AND($K$1=7,$N44=0,$U44&gt;1)),1,0)+IF(AND($H45=1,AND($L$1=7,$O44=0,$V44&gt;1)),1,0)</f>
        <v/>
      </c>
      <c r="AB45" s="38">
        <f>IF(IFERROR('Фев'!$I9,"")="",0,$AB44+1)</f>
        <v/>
      </c>
    </row>
    <row r="46" spans="1:28">
      <c r="A46" s="38">
        <f>IF($B$1&gt;=DATE(2026,2,5),1,0)</f>
        <v/>
      </c>
      <c r="B46" s="38">
        <f>IFERROR(IF('Фев'!$B10=TRUE,1,0),0)</f>
        <v/>
      </c>
      <c r="C46" s="38">
        <f>IFERROR(IF('Фев'!$C10=TRUE,1,0),0)</f>
        <v/>
      </c>
      <c r="D46" s="38">
        <f>IFERROR(IF('Фев'!$D10=TRUE,1,0),0)</f>
        <v/>
      </c>
      <c r="E46" s="38">
        <f>IFERROR(IF('Фев'!$E10=TRUE,1,0),0)</f>
        <v/>
      </c>
      <c r="F46" s="38">
        <f>IFERROR(IF('Фев'!$F10=TRUE,1,0),0)</f>
        <v/>
      </c>
      <c r="G46" s="38">
        <f>IFERROR(IF('Фев'!$G10=TRUE,1,0),0)</f>
        <v/>
      </c>
      <c r="H46" s="38">
        <f>IFERROR(IF('Фев'!$H10=TRUE,1,0),0)</f>
        <v/>
      </c>
      <c r="I46" s="38">
        <f>IF($A46=0,$I45,IF($B46=1,$I45+1,IF($P46&lt;=1,$I45,0)))</f>
        <v/>
      </c>
      <c r="J46" s="38">
        <f>IF($A46=0,$J45,IF($C46=1,$J45+1,IF($Q46&lt;=1,$J45,0)))</f>
        <v/>
      </c>
      <c r="K46" s="38">
        <f>IF($A46=0,$K45,IF($D46=1,$K45+1,IF($R46&lt;=1,$K45,0)))</f>
        <v/>
      </c>
      <c r="L46" s="38">
        <f>IF($A46=0,$L45,IF($E46=1,$L45+1,IF($S46&lt;=1,$L45,0)))</f>
        <v/>
      </c>
      <c r="M46" s="38">
        <f>IF($A46=0,$M45,IF($F46=1,$M45+1,IF($T46&lt;=1,$M45,0)))</f>
        <v/>
      </c>
      <c r="N46" s="38">
        <f>IF($A46=0,$N45,IF($G46=1,$N45+1,IF($U46&lt;=1,$N45,0)))</f>
        <v/>
      </c>
      <c r="O46" s="38">
        <f>IF($A46=0,$O45,IF($H46=1,$O45+1,IF($V46&lt;=1,$O45,0)))</f>
        <v/>
      </c>
      <c r="P46" s="38">
        <f>IF($A46=0,$P45,$P45+IF($B46=1,0,1))</f>
        <v/>
      </c>
      <c r="Q46" s="38">
        <f>IF($A46=0,$Q45,$Q45+IF($C46=1,0,1))</f>
        <v/>
      </c>
      <c r="R46" s="38">
        <f>IF($A46=0,$R45,$R45+IF($D46=1,0,1))</f>
        <v/>
      </c>
      <c r="S46" s="38">
        <f>IF($A46=0,$S45,$S45+IF($E46=1,0,1))</f>
        <v/>
      </c>
      <c r="T46" s="38">
        <f>IF($A46=0,$T45,$T45+IF($F46=1,0,1))</f>
        <v/>
      </c>
      <c r="U46" s="38">
        <f>IF($A46=0,$U45,$U45+IF($G46=1,0,1))</f>
        <v/>
      </c>
      <c r="V46" s="38">
        <f>IF($A46=0,$V45,$V45+IF($H46=1,0,1))</f>
        <v/>
      </c>
      <c r="W46" s="38">
        <f>SUM($B46:$H46)</f>
        <v/>
      </c>
      <c r="X46" s="38">
        <f>IF(AND($A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46=1),1,0)+IF(AND($G$1=7,$C46=1),1,0)+IF(AND($H$1=7,$D46=1),1,0)+IF(AND($I$1=7,$E46=1),1,0)+IF(AND($J$1=7,$F46=1),1,0)+IF(AND($K$1=7,$G46=1),1,0)+IF(AND($L$1=7,$H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6" s="38">
        <f>IF($B46=1,IF($F$1&lt;7,10,IF(AND($F$1=7,$I45=0,$P45&gt;1),15,IF($I45&gt;=20,15,IF($I45&gt;=6,13,10)))),0)+IF($C46=1,IF($G$1&lt;7,10,IF(AND($G$1=7,$J45=0,$Q45&gt;1),15,IF($J45&gt;=20,15,IF($J45&gt;=6,13,10)))),0)+IF($D46=1,IF($H$1&lt;7,10,IF(AND($H$1=7,$K45=0,$R45&gt;1),15,IF($K45&gt;=20,15,IF($K45&gt;=6,13,10)))),0)+IF($E46=1,IF($I$1&lt;7,10,IF(AND($I$1=7,$L45=0,$S45&gt;1),15,IF($L45&gt;=20,15,IF($L45&gt;=6,13,10)))),0)+IF($F46=1,IF($J$1&lt;7,10,IF(AND($J$1=7,$M45=0,$T45&gt;1),15,IF($M45&gt;=20,15,IF($M45&gt;=6,13,10)))),0)+IF($G46=1,IF($K$1&lt;7,10,IF(AND($K$1=7,$N45=0,$U45&gt;1),15,IF($N45&gt;=20,15,IF($N45&gt;=6,13,10)))),0)+IF($H46=1,IF($L$1&lt;7,10,IF(AND($L$1=7,$O45=0,$V45&gt;1),15,IF($O45&gt;=20,15,IF($O45&gt;=6,13,10)))),0)</f>
        <v/>
      </c>
      <c r="Z46" s="38">
        <f>$Z45+$Y46</f>
        <v/>
      </c>
      <c r="AA46" s="38">
        <f>IF(AND($B46=1,AND($F$1=7,$I45=0,$P45&gt;1)),1,0)+IF(AND($C46=1,AND($G$1=7,$J45=0,$Q45&gt;1)),1,0)+IF(AND($D46=1,AND($H$1=7,$K45=0,$R45&gt;1)),1,0)+IF(AND($E46=1,AND($I$1=7,$L45=0,$S45&gt;1)),1,0)+IF(AND($F46=1,AND($J$1=7,$M45=0,$T45&gt;1)),1,0)+IF(AND($G46=1,AND($K$1=7,$N45=0,$U45&gt;1)),1,0)+IF(AND($H46=1,AND($L$1=7,$O45=0,$V45&gt;1)),1,0)</f>
        <v/>
      </c>
      <c r="AB46" s="38">
        <f>IF(IFERROR('Фев'!$I10,"")="",0,$AB45+1)</f>
        <v/>
      </c>
    </row>
    <row r="47" spans="1:28">
      <c r="A47" s="38">
        <f>IF($B$1&gt;=DATE(2026,2,6),1,0)</f>
        <v/>
      </c>
      <c r="B47" s="38">
        <f>IFERROR(IF('Фев'!$B11=TRUE,1,0),0)</f>
        <v/>
      </c>
      <c r="C47" s="38">
        <f>IFERROR(IF('Фев'!$C11=TRUE,1,0),0)</f>
        <v/>
      </c>
      <c r="D47" s="38">
        <f>IFERROR(IF('Фев'!$D11=TRUE,1,0),0)</f>
        <v/>
      </c>
      <c r="E47" s="38">
        <f>IFERROR(IF('Фев'!$E11=TRUE,1,0),0)</f>
        <v/>
      </c>
      <c r="F47" s="38">
        <f>IFERROR(IF('Фев'!$F11=TRUE,1,0),0)</f>
        <v/>
      </c>
      <c r="G47" s="38">
        <f>IFERROR(IF('Фев'!$G11=TRUE,1,0),0)</f>
        <v/>
      </c>
      <c r="H47" s="38">
        <f>IFERROR(IF('Фев'!$H11=TRUE,1,0),0)</f>
        <v/>
      </c>
      <c r="I47" s="38">
        <f>IF($A47=0,$I46,IF($B47=1,$I46+1,IF($P47&lt;=1,$I46,0)))</f>
        <v/>
      </c>
      <c r="J47" s="38">
        <f>IF($A47=0,$J46,IF($C47=1,$J46+1,IF($Q47&lt;=1,$J46,0)))</f>
        <v/>
      </c>
      <c r="K47" s="38">
        <f>IF($A47=0,$K46,IF($D47=1,$K46+1,IF($R47&lt;=1,$K46,0)))</f>
        <v/>
      </c>
      <c r="L47" s="38">
        <f>IF($A47=0,$L46,IF($E47=1,$L46+1,IF($S47&lt;=1,$L46,0)))</f>
        <v/>
      </c>
      <c r="M47" s="38">
        <f>IF($A47=0,$M46,IF($F47=1,$M46+1,IF($T47&lt;=1,$M46,0)))</f>
        <v/>
      </c>
      <c r="N47" s="38">
        <f>IF($A47=0,$N46,IF($G47=1,$N46+1,IF($U47&lt;=1,$N46,0)))</f>
        <v/>
      </c>
      <c r="O47" s="38">
        <f>IF($A47=0,$O46,IF($H47=1,$O46+1,IF($V47&lt;=1,$O46,0)))</f>
        <v/>
      </c>
      <c r="P47" s="38">
        <f>IF($A47=0,$P46,$P46+IF($B47=1,0,1))</f>
        <v/>
      </c>
      <c r="Q47" s="38">
        <f>IF($A47=0,$Q46,$Q46+IF($C47=1,0,1))</f>
        <v/>
      </c>
      <c r="R47" s="38">
        <f>IF($A47=0,$R46,$R46+IF($D47=1,0,1))</f>
        <v/>
      </c>
      <c r="S47" s="38">
        <f>IF($A47=0,$S46,$S46+IF($E47=1,0,1))</f>
        <v/>
      </c>
      <c r="T47" s="38">
        <f>IF($A47=0,$T46,$T46+IF($F47=1,0,1))</f>
        <v/>
      </c>
      <c r="U47" s="38">
        <f>IF($A47=0,$U46,$U46+IF($G47=1,0,1))</f>
        <v/>
      </c>
      <c r="V47" s="38">
        <f>IF($A47=0,$V46,$V46+IF($H47=1,0,1))</f>
        <v/>
      </c>
      <c r="W47" s="38">
        <f>SUM($B47:$H47)</f>
        <v/>
      </c>
      <c r="X47" s="38">
        <f>IF(AND($A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47=1),1,0)+IF(AND($G$1=7,$C47=1),1,0)+IF(AND($H$1=7,$D47=1),1,0)+IF(AND($I$1=7,$E47=1),1,0)+IF(AND($J$1=7,$F47=1),1,0)+IF(AND($K$1=7,$G47=1),1,0)+IF(AND($L$1=7,$H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7" s="38">
        <f>IF($B47=1,IF($F$1&lt;7,10,IF(AND($F$1=7,$I46=0,$P46&gt;1),15,IF($I46&gt;=20,15,IF($I46&gt;=6,13,10)))),0)+IF($C47=1,IF($G$1&lt;7,10,IF(AND($G$1=7,$J46=0,$Q46&gt;1),15,IF($J46&gt;=20,15,IF($J46&gt;=6,13,10)))),0)+IF($D47=1,IF($H$1&lt;7,10,IF(AND($H$1=7,$K46=0,$R46&gt;1),15,IF($K46&gt;=20,15,IF($K46&gt;=6,13,10)))),0)+IF($E47=1,IF($I$1&lt;7,10,IF(AND($I$1=7,$L46=0,$S46&gt;1),15,IF($L46&gt;=20,15,IF($L46&gt;=6,13,10)))),0)+IF($F47=1,IF($J$1&lt;7,10,IF(AND($J$1=7,$M46=0,$T46&gt;1),15,IF($M46&gt;=20,15,IF($M46&gt;=6,13,10)))),0)+IF($G47=1,IF($K$1&lt;7,10,IF(AND($K$1=7,$N46=0,$U46&gt;1),15,IF($N46&gt;=20,15,IF($N46&gt;=6,13,10)))),0)+IF($H47=1,IF($L$1&lt;7,10,IF(AND($L$1=7,$O46=0,$V46&gt;1),15,IF($O46&gt;=20,15,IF($O46&gt;=6,13,10)))),0)</f>
        <v/>
      </c>
      <c r="Z47" s="38">
        <f>$Z46+$Y47</f>
        <v/>
      </c>
      <c r="AA47" s="38">
        <f>IF(AND($B47=1,AND($F$1=7,$I46=0,$P46&gt;1)),1,0)+IF(AND($C47=1,AND($G$1=7,$J46=0,$Q46&gt;1)),1,0)+IF(AND($D47=1,AND($H$1=7,$K46=0,$R46&gt;1)),1,0)+IF(AND($E47=1,AND($I$1=7,$L46=0,$S46&gt;1)),1,0)+IF(AND($F47=1,AND($J$1=7,$M46=0,$T46&gt;1)),1,0)+IF(AND($G47=1,AND($K$1=7,$N46=0,$U46&gt;1)),1,0)+IF(AND($H47=1,AND($L$1=7,$O46=0,$V46&gt;1)),1,0)</f>
        <v/>
      </c>
      <c r="AB47" s="38">
        <f>IF(IFERROR('Фев'!$I11,"")="",0,$AB46+1)</f>
        <v/>
      </c>
    </row>
    <row r="48" spans="1:28">
      <c r="A48" s="38">
        <f>IF($B$1&gt;=DATE(2026,2,7),1,0)</f>
        <v/>
      </c>
      <c r="B48" s="38">
        <f>IFERROR(IF('Фев'!$B12=TRUE,1,0),0)</f>
        <v/>
      </c>
      <c r="C48" s="38">
        <f>IFERROR(IF('Фев'!$C12=TRUE,1,0),0)</f>
        <v/>
      </c>
      <c r="D48" s="38">
        <f>IFERROR(IF('Фев'!$D12=TRUE,1,0),0)</f>
        <v/>
      </c>
      <c r="E48" s="38">
        <f>IFERROR(IF('Фев'!$E12=TRUE,1,0),0)</f>
        <v/>
      </c>
      <c r="F48" s="38">
        <f>IFERROR(IF('Фев'!$F12=TRUE,1,0),0)</f>
        <v/>
      </c>
      <c r="G48" s="38">
        <f>IFERROR(IF('Фев'!$G12=TRUE,1,0),0)</f>
        <v/>
      </c>
      <c r="H48" s="38">
        <f>IFERROR(IF('Фев'!$H12=TRUE,1,0),0)</f>
        <v/>
      </c>
      <c r="I48" s="38">
        <f>IF($A48=0,$I47,IF($B48=1,$I47+1,IF($P48&lt;=1,$I47,0)))</f>
        <v/>
      </c>
      <c r="J48" s="38">
        <f>IF($A48=0,$J47,IF($C48=1,$J47+1,IF($Q48&lt;=1,$J47,0)))</f>
        <v/>
      </c>
      <c r="K48" s="38">
        <f>IF($A48=0,$K47,IF($D48=1,$K47+1,IF($R48&lt;=1,$K47,0)))</f>
        <v/>
      </c>
      <c r="L48" s="38">
        <f>IF($A48=0,$L47,IF($E48=1,$L47+1,IF($S48&lt;=1,$L47,0)))</f>
        <v/>
      </c>
      <c r="M48" s="38">
        <f>IF($A48=0,$M47,IF($F48=1,$M47+1,IF($T48&lt;=1,$M47,0)))</f>
        <v/>
      </c>
      <c r="N48" s="38">
        <f>IF($A48=0,$N47,IF($G48=1,$N47+1,IF($U48&lt;=1,$N47,0)))</f>
        <v/>
      </c>
      <c r="O48" s="38">
        <f>IF($A48=0,$O47,IF($H48=1,$O47+1,IF($V48&lt;=1,$O47,0)))</f>
        <v/>
      </c>
      <c r="P48" s="38">
        <f>IF($A48=0,$P47,$P47+IF($B48=1,0,1))</f>
        <v/>
      </c>
      <c r="Q48" s="38">
        <f>IF($A48=0,$Q47,$Q47+IF($C48=1,0,1))</f>
        <v/>
      </c>
      <c r="R48" s="38">
        <f>IF($A48=0,$R47,$R47+IF($D48=1,0,1))</f>
        <v/>
      </c>
      <c r="S48" s="38">
        <f>IF($A48=0,$S47,$S47+IF($E48=1,0,1))</f>
        <v/>
      </c>
      <c r="T48" s="38">
        <f>IF($A48=0,$T47,$T47+IF($F48=1,0,1))</f>
        <v/>
      </c>
      <c r="U48" s="38">
        <f>IF($A48=0,$U47,$U47+IF($G48=1,0,1))</f>
        <v/>
      </c>
      <c r="V48" s="38">
        <f>IF($A48=0,$V47,$V47+IF($H48=1,0,1))</f>
        <v/>
      </c>
      <c r="W48" s="38">
        <f>SUM($B48:$H48)</f>
        <v/>
      </c>
      <c r="X48" s="38">
        <f>IF(AND($A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48=1),1,0)+IF(AND($G$1=7,$C48=1),1,0)+IF(AND($H$1=7,$D48=1),1,0)+IF(AND($I$1=7,$E48=1),1,0)+IF(AND($J$1=7,$F48=1),1,0)+IF(AND($K$1=7,$G48=1),1,0)+IF(AND($L$1=7,$H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8" s="38">
        <f>IF($B48=1,IF($F$1&lt;7,10,IF(AND($F$1=7,$I47=0,$P47&gt;1),15,IF($I47&gt;=20,15,IF($I47&gt;=6,13,10)))),0)+IF($C48=1,IF($G$1&lt;7,10,IF(AND($G$1=7,$J47=0,$Q47&gt;1),15,IF($J47&gt;=20,15,IF($J47&gt;=6,13,10)))),0)+IF($D48=1,IF($H$1&lt;7,10,IF(AND($H$1=7,$K47=0,$R47&gt;1),15,IF($K47&gt;=20,15,IF($K47&gt;=6,13,10)))),0)+IF($E48=1,IF($I$1&lt;7,10,IF(AND($I$1=7,$L47=0,$S47&gt;1),15,IF($L47&gt;=20,15,IF($L47&gt;=6,13,10)))),0)+IF($F48=1,IF($J$1&lt;7,10,IF(AND($J$1=7,$M47=0,$T47&gt;1),15,IF($M47&gt;=20,15,IF($M47&gt;=6,13,10)))),0)+IF($G48=1,IF($K$1&lt;7,10,IF(AND($K$1=7,$N47=0,$U47&gt;1),15,IF($N47&gt;=20,15,IF($N47&gt;=6,13,10)))),0)+IF($H48=1,IF($L$1&lt;7,10,IF(AND($L$1=7,$O47=0,$V47&gt;1),15,IF($O47&gt;=20,15,IF($O47&gt;=6,13,10)))),0)</f>
        <v/>
      </c>
      <c r="Z48" s="38">
        <f>$Z47+$Y48</f>
        <v/>
      </c>
      <c r="AA48" s="38">
        <f>IF(AND($B48=1,AND($F$1=7,$I47=0,$P47&gt;1)),1,0)+IF(AND($C48=1,AND($G$1=7,$J47=0,$Q47&gt;1)),1,0)+IF(AND($D48=1,AND($H$1=7,$K47=0,$R47&gt;1)),1,0)+IF(AND($E48=1,AND($I$1=7,$L47=0,$S47&gt;1)),1,0)+IF(AND($F48=1,AND($J$1=7,$M47=0,$T47&gt;1)),1,0)+IF(AND($G48=1,AND($K$1=7,$N47=0,$U47&gt;1)),1,0)+IF(AND($H48=1,AND($L$1=7,$O47=0,$V47&gt;1)),1,0)</f>
        <v/>
      </c>
      <c r="AB48" s="38">
        <f>IF(IFERROR('Фев'!$I12,"")="",0,$AB47+1)</f>
        <v/>
      </c>
    </row>
    <row r="49" spans="1:28">
      <c r="A49" s="38">
        <f>IF($B$1&gt;=DATE(2026,2,8),1,0)</f>
        <v/>
      </c>
      <c r="B49" s="38">
        <f>IFERROR(IF('Фев'!$B13=TRUE,1,0),0)</f>
        <v/>
      </c>
      <c r="C49" s="38">
        <f>IFERROR(IF('Фев'!$C13=TRUE,1,0),0)</f>
        <v/>
      </c>
      <c r="D49" s="38">
        <f>IFERROR(IF('Фев'!$D13=TRUE,1,0),0)</f>
        <v/>
      </c>
      <c r="E49" s="38">
        <f>IFERROR(IF('Фев'!$E13=TRUE,1,0),0)</f>
        <v/>
      </c>
      <c r="F49" s="38">
        <f>IFERROR(IF('Фев'!$F13=TRUE,1,0),0)</f>
        <v/>
      </c>
      <c r="G49" s="38">
        <f>IFERROR(IF('Фев'!$G13=TRUE,1,0),0)</f>
        <v/>
      </c>
      <c r="H49" s="38">
        <f>IFERROR(IF('Фев'!$H13=TRUE,1,0),0)</f>
        <v/>
      </c>
      <c r="I49" s="38">
        <f>IF($A49=0,$I48,IF($B49=1,$I48+1,IF($P49&lt;=1,$I48,0)))</f>
        <v/>
      </c>
      <c r="J49" s="38">
        <f>IF($A49=0,$J48,IF($C49=1,$J48+1,IF($Q49&lt;=1,$J48,0)))</f>
        <v/>
      </c>
      <c r="K49" s="38">
        <f>IF($A49=0,$K48,IF($D49=1,$K48+1,IF($R49&lt;=1,$K48,0)))</f>
        <v/>
      </c>
      <c r="L49" s="38">
        <f>IF($A49=0,$L48,IF($E49=1,$L48+1,IF($S49&lt;=1,$L48,0)))</f>
        <v/>
      </c>
      <c r="M49" s="38">
        <f>IF($A49=0,$M48,IF($F49=1,$M48+1,IF($T49&lt;=1,$M48,0)))</f>
        <v/>
      </c>
      <c r="N49" s="38">
        <f>IF($A49=0,$N48,IF($G49=1,$N48+1,IF($U49&lt;=1,$N48,0)))</f>
        <v/>
      </c>
      <c r="O49" s="38">
        <f>IF($A49=0,$O48,IF($H49=1,$O48+1,IF($V49&lt;=1,$O48,0)))</f>
        <v/>
      </c>
      <c r="P49" s="38">
        <f>IF($A49=0,$P48,$P48+IF($B49=1,0,1))</f>
        <v/>
      </c>
      <c r="Q49" s="38">
        <f>IF($A49=0,$Q48,$Q48+IF($C49=1,0,1))</f>
        <v/>
      </c>
      <c r="R49" s="38">
        <f>IF($A49=0,$R48,$R48+IF($D49=1,0,1))</f>
        <v/>
      </c>
      <c r="S49" s="38">
        <f>IF($A49=0,$S48,$S48+IF($E49=1,0,1))</f>
        <v/>
      </c>
      <c r="T49" s="38">
        <f>IF($A49=0,$T48,$T48+IF($F49=1,0,1))</f>
        <v/>
      </c>
      <c r="U49" s="38">
        <f>IF($A49=0,$U48,$U48+IF($G49=1,0,1))</f>
        <v/>
      </c>
      <c r="V49" s="38">
        <f>IF($A49=0,$V48,$V48+IF($H49=1,0,1))</f>
        <v/>
      </c>
      <c r="W49" s="38">
        <f>SUM($B49:$H49)</f>
        <v/>
      </c>
      <c r="X49" s="38">
        <f>IF(AND($A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49=1),1,0)+IF(AND($G$1=7,$C49=1),1,0)+IF(AND($H$1=7,$D49=1),1,0)+IF(AND($I$1=7,$E49=1),1,0)+IF(AND($J$1=7,$F49=1),1,0)+IF(AND($K$1=7,$G49=1),1,0)+IF(AND($L$1=7,$H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9" s="38">
        <f>IF($B49=1,IF($F$1&lt;7,10,IF(AND($F$1=7,$I48=0,$P48&gt;1),15,IF($I48&gt;=20,15,IF($I48&gt;=6,13,10)))),0)+IF($C49=1,IF($G$1&lt;7,10,IF(AND($G$1=7,$J48=0,$Q48&gt;1),15,IF($J48&gt;=20,15,IF($J48&gt;=6,13,10)))),0)+IF($D49=1,IF($H$1&lt;7,10,IF(AND($H$1=7,$K48=0,$R48&gt;1),15,IF($K48&gt;=20,15,IF($K48&gt;=6,13,10)))),0)+IF($E49=1,IF($I$1&lt;7,10,IF(AND($I$1=7,$L48=0,$S48&gt;1),15,IF($L48&gt;=20,15,IF($L48&gt;=6,13,10)))),0)+IF($F49=1,IF($J$1&lt;7,10,IF(AND($J$1=7,$M48=0,$T48&gt;1),15,IF($M48&gt;=20,15,IF($M48&gt;=6,13,10)))),0)+IF($G49=1,IF($K$1&lt;7,10,IF(AND($K$1=7,$N48=0,$U48&gt;1),15,IF($N48&gt;=20,15,IF($N48&gt;=6,13,10)))),0)+IF($H49=1,IF($L$1&lt;7,10,IF(AND($L$1=7,$O48=0,$V48&gt;1),15,IF($O48&gt;=20,15,IF($O48&gt;=6,13,10)))),0)</f>
        <v/>
      </c>
      <c r="Z49" s="38">
        <f>$Z48+$Y49</f>
        <v/>
      </c>
      <c r="AA49" s="38">
        <f>IF(AND($B49=1,AND($F$1=7,$I48=0,$P48&gt;1)),1,0)+IF(AND($C49=1,AND($G$1=7,$J48=0,$Q48&gt;1)),1,0)+IF(AND($D49=1,AND($H$1=7,$K48=0,$R48&gt;1)),1,0)+IF(AND($E49=1,AND($I$1=7,$L48=0,$S48&gt;1)),1,0)+IF(AND($F49=1,AND($J$1=7,$M48=0,$T48&gt;1)),1,0)+IF(AND($G49=1,AND($K$1=7,$N48=0,$U48&gt;1)),1,0)+IF(AND($H49=1,AND($L$1=7,$O48=0,$V48&gt;1)),1,0)</f>
        <v/>
      </c>
      <c r="AB49" s="38">
        <f>IF(IFERROR('Фев'!$I13,"")="",0,$AB48+1)</f>
        <v/>
      </c>
    </row>
    <row r="50" spans="1:28">
      <c r="A50" s="38">
        <f>IF($B$1&gt;=DATE(2026,2,9),1,0)</f>
        <v/>
      </c>
      <c r="B50" s="38">
        <f>IFERROR(IF('Фев'!$B14=TRUE,1,0),0)</f>
        <v/>
      </c>
      <c r="C50" s="38">
        <f>IFERROR(IF('Фев'!$C14=TRUE,1,0),0)</f>
        <v/>
      </c>
      <c r="D50" s="38">
        <f>IFERROR(IF('Фев'!$D14=TRUE,1,0),0)</f>
        <v/>
      </c>
      <c r="E50" s="38">
        <f>IFERROR(IF('Фев'!$E14=TRUE,1,0),0)</f>
        <v/>
      </c>
      <c r="F50" s="38">
        <f>IFERROR(IF('Фев'!$F14=TRUE,1,0),0)</f>
        <v/>
      </c>
      <c r="G50" s="38">
        <f>IFERROR(IF('Фев'!$G14=TRUE,1,0),0)</f>
        <v/>
      </c>
      <c r="H50" s="38">
        <f>IFERROR(IF('Фев'!$H14=TRUE,1,0),0)</f>
        <v/>
      </c>
      <c r="I50" s="38">
        <f>IF($A50=0,$I49,IF($B50=1,$I49+1,IF($P50&lt;=1,$I49,0)))</f>
        <v/>
      </c>
      <c r="J50" s="38">
        <f>IF($A50=0,$J49,IF($C50=1,$J49+1,IF($Q50&lt;=1,$J49,0)))</f>
        <v/>
      </c>
      <c r="K50" s="38">
        <f>IF($A50=0,$K49,IF($D50=1,$K49+1,IF($R50&lt;=1,$K49,0)))</f>
        <v/>
      </c>
      <c r="L50" s="38">
        <f>IF($A50=0,$L49,IF($E50=1,$L49+1,IF($S50&lt;=1,$L49,0)))</f>
        <v/>
      </c>
      <c r="M50" s="38">
        <f>IF($A50=0,$M49,IF($F50=1,$M49+1,IF($T50&lt;=1,$M49,0)))</f>
        <v/>
      </c>
      <c r="N50" s="38">
        <f>IF($A50=0,$N49,IF($G50=1,$N49+1,IF($U50&lt;=1,$N49,0)))</f>
        <v/>
      </c>
      <c r="O50" s="38">
        <f>IF($A50=0,$O49,IF($H50=1,$O49+1,IF($V50&lt;=1,$O49,0)))</f>
        <v/>
      </c>
      <c r="P50" s="38">
        <f>IF($A50=0,$P49,$P49+IF($B50=1,0,1))</f>
        <v/>
      </c>
      <c r="Q50" s="38">
        <f>IF($A50=0,$Q49,$Q49+IF($C50=1,0,1))</f>
        <v/>
      </c>
      <c r="R50" s="38">
        <f>IF($A50=0,$R49,$R49+IF($D50=1,0,1))</f>
        <v/>
      </c>
      <c r="S50" s="38">
        <f>IF($A50=0,$S49,$S49+IF($E50=1,0,1))</f>
        <v/>
      </c>
      <c r="T50" s="38">
        <f>IF($A50=0,$T49,$T49+IF($F50=1,0,1))</f>
        <v/>
      </c>
      <c r="U50" s="38">
        <f>IF($A50=0,$U49,$U49+IF($G50=1,0,1))</f>
        <v/>
      </c>
      <c r="V50" s="38">
        <f>IF($A50=0,$V49,$V49+IF($H50=1,0,1))</f>
        <v/>
      </c>
      <c r="W50" s="38">
        <f>SUM($B50:$H50)</f>
        <v/>
      </c>
      <c r="X50" s="38">
        <f>IF(AND($A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50=1),1,0)+IF(AND($G$1=7,$C50=1),1,0)+IF(AND($H$1=7,$D50=1),1,0)+IF(AND($I$1=7,$E50=1),1,0)+IF(AND($J$1=7,$F50=1),1,0)+IF(AND($K$1=7,$G50=1),1,0)+IF(AND($L$1=7,$H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0" s="38">
        <f>IF($B50=1,IF($F$1&lt;7,10,IF(AND($F$1=7,$I49=0,$P49&gt;1),15,IF($I49&gt;=20,15,IF($I49&gt;=6,13,10)))),0)+IF($C50=1,IF($G$1&lt;7,10,IF(AND($G$1=7,$J49=0,$Q49&gt;1),15,IF($J49&gt;=20,15,IF($J49&gt;=6,13,10)))),0)+IF($D50=1,IF($H$1&lt;7,10,IF(AND($H$1=7,$K49=0,$R49&gt;1),15,IF($K49&gt;=20,15,IF($K49&gt;=6,13,10)))),0)+IF($E50=1,IF($I$1&lt;7,10,IF(AND($I$1=7,$L49=0,$S49&gt;1),15,IF($L49&gt;=20,15,IF($L49&gt;=6,13,10)))),0)+IF($F50=1,IF($J$1&lt;7,10,IF(AND($J$1=7,$M49=0,$T49&gt;1),15,IF($M49&gt;=20,15,IF($M49&gt;=6,13,10)))),0)+IF($G50=1,IF($K$1&lt;7,10,IF(AND($K$1=7,$N49=0,$U49&gt;1),15,IF($N49&gt;=20,15,IF($N49&gt;=6,13,10)))),0)+IF($H50=1,IF($L$1&lt;7,10,IF(AND($L$1=7,$O49=0,$V49&gt;1),15,IF($O49&gt;=20,15,IF($O49&gt;=6,13,10)))),0)</f>
        <v/>
      </c>
      <c r="Z50" s="38">
        <f>$Z49+$Y50</f>
        <v/>
      </c>
      <c r="AA50" s="38">
        <f>IF(AND($B50=1,AND($F$1=7,$I49=0,$P49&gt;1)),1,0)+IF(AND($C50=1,AND($G$1=7,$J49=0,$Q49&gt;1)),1,0)+IF(AND($D50=1,AND($H$1=7,$K49=0,$R49&gt;1)),1,0)+IF(AND($E50=1,AND($I$1=7,$L49=0,$S49&gt;1)),1,0)+IF(AND($F50=1,AND($J$1=7,$M49=0,$T49&gt;1)),1,0)+IF(AND($G50=1,AND($K$1=7,$N49=0,$U49&gt;1)),1,0)+IF(AND($H50=1,AND($L$1=7,$O49=0,$V49&gt;1)),1,0)</f>
        <v/>
      </c>
      <c r="AB50" s="38">
        <f>IF(IFERROR('Фев'!$I14,"")="",0,$AB49+1)</f>
        <v/>
      </c>
    </row>
    <row r="51" spans="1:28">
      <c r="A51" s="38">
        <f>IF($B$1&gt;=DATE(2026,2,10),1,0)</f>
        <v/>
      </c>
      <c r="B51" s="38">
        <f>IFERROR(IF('Фев'!$B15=TRUE,1,0),0)</f>
        <v/>
      </c>
      <c r="C51" s="38">
        <f>IFERROR(IF('Фев'!$C15=TRUE,1,0),0)</f>
        <v/>
      </c>
      <c r="D51" s="38">
        <f>IFERROR(IF('Фев'!$D15=TRUE,1,0),0)</f>
        <v/>
      </c>
      <c r="E51" s="38">
        <f>IFERROR(IF('Фев'!$E15=TRUE,1,0),0)</f>
        <v/>
      </c>
      <c r="F51" s="38">
        <f>IFERROR(IF('Фев'!$F15=TRUE,1,0),0)</f>
        <v/>
      </c>
      <c r="G51" s="38">
        <f>IFERROR(IF('Фев'!$G15=TRUE,1,0),0)</f>
        <v/>
      </c>
      <c r="H51" s="38">
        <f>IFERROR(IF('Фев'!$H15=TRUE,1,0),0)</f>
        <v/>
      </c>
      <c r="I51" s="38">
        <f>IF($A51=0,$I50,IF($B51=1,$I50+1,IF($P51&lt;=1,$I50,0)))</f>
        <v/>
      </c>
      <c r="J51" s="38">
        <f>IF($A51=0,$J50,IF($C51=1,$J50+1,IF($Q51&lt;=1,$J50,0)))</f>
        <v/>
      </c>
      <c r="K51" s="38">
        <f>IF($A51=0,$K50,IF($D51=1,$K50+1,IF($R51&lt;=1,$K50,0)))</f>
        <v/>
      </c>
      <c r="L51" s="38">
        <f>IF($A51=0,$L50,IF($E51=1,$L50+1,IF($S51&lt;=1,$L50,0)))</f>
        <v/>
      </c>
      <c r="M51" s="38">
        <f>IF($A51=0,$M50,IF($F51=1,$M50+1,IF($T51&lt;=1,$M50,0)))</f>
        <v/>
      </c>
      <c r="N51" s="38">
        <f>IF($A51=0,$N50,IF($G51=1,$N50+1,IF($U51&lt;=1,$N50,0)))</f>
        <v/>
      </c>
      <c r="O51" s="38">
        <f>IF($A51=0,$O50,IF($H51=1,$O50+1,IF($V51&lt;=1,$O50,0)))</f>
        <v/>
      </c>
      <c r="P51" s="38">
        <f>IF($A51=0,$P50,$P50+IF($B51=1,0,1))</f>
        <v/>
      </c>
      <c r="Q51" s="38">
        <f>IF($A51=0,$Q50,$Q50+IF($C51=1,0,1))</f>
        <v/>
      </c>
      <c r="R51" s="38">
        <f>IF($A51=0,$R50,$R50+IF($D51=1,0,1))</f>
        <v/>
      </c>
      <c r="S51" s="38">
        <f>IF($A51=0,$S50,$S50+IF($E51=1,0,1))</f>
        <v/>
      </c>
      <c r="T51" s="38">
        <f>IF($A51=0,$T50,$T50+IF($F51=1,0,1))</f>
        <v/>
      </c>
      <c r="U51" s="38">
        <f>IF($A51=0,$U50,$U50+IF($G51=1,0,1))</f>
        <v/>
      </c>
      <c r="V51" s="38">
        <f>IF($A51=0,$V50,$V50+IF($H51=1,0,1))</f>
        <v/>
      </c>
      <c r="W51" s="38">
        <f>SUM($B51:$H51)</f>
        <v/>
      </c>
      <c r="X51" s="38">
        <f>IF(AND($A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51=1),1,0)+IF(AND($G$1=7,$C51=1),1,0)+IF(AND($H$1=7,$D51=1),1,0)+IF(AND($I$1=7,$E51=1),1,0)+IF(AND($J$1=7,$F51=1),1,0)+IF(AND($K$1=7,$G51=1),1,0)+IF(AND($L$1=7,$H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1" s="38">
        <f>IF($B51=1,IF($F$1&lt;7,10,IF(AND($F$1=7,$I50=0,$P50&gt;1),15,IF($I50&gt;=20,15,IF($I50&gt;=6,13,10)))),0)+IF($C51=1,IF($G$1&lt;7,10,IF(AND($G$1=7,$J50=0,$Q50&gt;1),15,IF($J50&gt;=20,15,IF($J50&gt;=6,13,10)))),0)+IF($D51=1,IF($H$1&lt;7,10,IF(AND($H$1=7,$K50=0,$R50&gt;1),15,IF($K50&gt;=20,15,IF($K50&gt;=6,13,10)))),0)+IF($E51=1,IF($I$1&lt;7,10,IF(AND($I$1=7,$L50=0,$S50&gt;1),15,IF($L50&gt;=20,15,IF($L50&gt;=6,13,10)))),0)+IF($F51=1,IF($J$1&lt;7,10,IF(AND($J$1=7,$M50=0,$T50&gt;1),15,IF($M50&gt;=20,15,IF($M50&gt;=6,13,10)))),0)+IF($G51=1,IF($K$1&lt;7,10,IF(AND($K$1=7,$N50=0,$U50&gt;1),15,IF($N50&gt;=20,15,IF($N50&gt;=6,13,10)))),0)+IF($H51=1,IF($L$1&lt;7,10,IF(AND($L$1=7,$O50=0,$V50&gt;1),15,IF($O50&gt;=20,15,IF($O50&gt;=6,13,10)))),0)</f>
        <v/>
      </c>
      <c r="Z51" s="38">
        <f>$Z50+$Y51</f>
        <v/>
      </c>
      <c r="AA51" s="38">
        <f>IF(AND($B51=1,AND($F$1=7,$I50=0,$P50&gt;1)),1,0)+IF(AND($C51=1,AND($G$1=7,$J50=0,$Q50&gt;1)),1,0)+IF(AND($D51=1,AND($H$1=7,$K50=0,$R50&gt;1)),1,0)+IF(AND($E51=1,AND($I$1=7,$L50=0,$S50&gt;1)),1,0)+IF(AND($F51=1,AND($J$1=7,$M50=0,$T50&gt;1)),1,0)+IF(AND($G51=1,AND($K$1=7,$N50=0,$U50&gt;1)),1,0)+IF(AND($H51=1,AND($L$1=7,$O50=0,$V50&gt;1)),1,0)</f>
        <v/>
      </c>
      <c r="AB51" s="38">
        <f>IF(IFERROR('Фев'!$I15,"")="",0,$AB50+1)</f>
        <v/>
      </c>
    </row>
    <row r="52" spans="1:28">
      <c r="A52" s="38">
        <f>IF($B$1&gt;=DATE(2026,2,11),1,0)</f>
        <v/>
      </c>
      <c r="B52" s="38">
        <f>IFERROR(IF('Фев'!$B16=TRUE,1,0),0)</f>
        <v/>
      </c>
      <c r="C52" s="38">
        <f>IFERROR(IF('Фев'!$C16=TRUE,1,0),0)</f>
        <v/>
      </c>
      <c r="D52" s="38">
        <f>IFERROR(IF('Фев'!$D16=TRUE,1,0),0)</f>
        <v/>
      </c>
      <c r="E52" s="38">
        <f>IFERROR(IF('Фев'!$E16=TRUE,1,0),0)</f>
        <v/>
      </c>
      <c r="F52" s="38">
        <f>IFERROR(IF('Фев'!$F16=TRUE,1,0),0)</f>
        <v/>
      </c>
      <c r="G52" s="38">
        <f>IFERROR(IF('Фев'!$G16=TRUE,1,0),0)</f>
        <v/>
      </c>
      <c r="H52" s="38">
        <f>IFERROR(IF('Фев'!$H16=TRUE,1,0),0)</f>
        <v/>
      </c>
      <c r="I52" s="38">
        <f>IF($A52=0,$I51,IF($B52=1,$I51+1,IF($P52&lt;=1,$I51,0)))</f>
        <v/>
      </c>
      <c r="J52" s="38">
        <f>IF($A52=0,$J51,IF($C52=1,$J51+1,IF($Q52&lt;=1,$J51,0)))</f>
        <v/>
      </c>
      <c r="K52" s="38">
        <f>IF($A52=0,$K51,IF($D52=1,$K51+1,IF($R52&lt;=1,$K51,0)))</f>
        <v/>
      </c>
      <c r="L52" s="38">
        <f>IF($A52=0,$L51,IF($E52=1,$L51+1,IF($S52&lt;=1,$L51,0)))</f>
        <v/>
      </c>
      <c r="M52" s="38">
        <f>IF($A52=0,$M51,IF($F52=1,$M51+1,IF($T52&lt;=1,$M51,0)))</f>
        <v/>
      </c>
      <c r="N52" s="38">
        <f>IF($A52=0,$N51,IF($G52=1,$N51+1,IF($U52&lt;=1,$N51,0)))</f>
        <v/>
      </c>
      <c r="O52" s="38">
        <f>IF($A52=0,$O51,IF($H52=1,$O51+1,IF($V52&lt;=1,$O51,0)))</f>
        <v/>
      </c>
      <c r="P52" s="38">
        <f>IF($A52=0,$P51,$P51+IF($B52=1,0,1))</f>
        <v/>
      </c>
      <c r="Q52" s="38">
        <f>IF($A52=0,$Q51,$Q51+IF($C52=1,0,1))</f>
        <v/>
      </c>
      <c r="R52" s="38">
        <f>IF($A52=0,$R51,$R51+IF($D52=1,0,1))</f>
        <v/>
      </c>
      <c r="S52" s="38">
        <f>IF($A52=0,$S51,$S51+IF($E52=1,0,1))</f>
        <v/>
      </c>
      <c r="T52" s="38">
        <f>IF($A52=0,$T51,$T51+IF($F52=1,0,1))</f>
        <v/>
      </c>
      <c r="U52" s="38">
        <f>IF($A52=0,$U51,$U51+IF($G52=1,0,1))</f>
        <v/>
      </c>
      <c r="V52" s="38">
        <f>IF($A52=0,$V51,$V51+IF($H52=1,0,1))</f>
        <v/>
      </c>
      <c r="W52" s="38">
        <f>SUM($B52:$H52)</f>
        <v/>
      </c>
      <c r="X52" s="38">
        <f>IF(AND($A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52=1),1,0)+IF(AND($G$1=7,$C52=1),1,0)+IF(AND($H$1=7,$D52=1),1,0)+IF(AND($I$1=7,$E52=1),1,0)+IF(AND($J$1=7,$F52=1),1,0)+IF(AND($K$1=7,$G52=1),1,0)+IF(AND($L$1=7,$H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2" s="38">
        <f>IF($B52=1,IF($F$1&lt;7,10,IF(AND($F$1=7,$I51=0,$P51&gt;1),15,IF($I51&gt;=20,15,IF($I51&gt;=6,13,10)))),0)+IF($C52=1,IF($G$1&lt;7,10,IF(AND($G$1=7,$J51=0,$Q51&gt;1),15,IF($J51&gt;=20,15,IF($J51&gt;=6,13,10)))),0)+IF($D52=1,IF($H$1&lt;7,10,IF(AND($H$1=7,$K51=0,$R51&gt;1),15,IF($K51&gt;=20,15,IF($K51&gt;=6,13,10)))),0)+IF($E52=1,IF($I$1&lt;7,10,IF(AND($I$1=7,$L51=0,$S51&gt;1),15,IF($L51&gt;=20,15,IF($L51&gt;=6,13,10)))),0)+IF($F52=1,IF($J$1&lt;7,10,IF(AND($J$1=7,$M51=0,$T51&gt;1),15,IF($M51&gt;=20,15,IF($M51&gt;=6,13,10)))),0)+IF($G52=1,IF($K$1&lt;7,10,IF(AND($K$1=7,$N51=0,$U51&gt;1),15,IF($N51&gt;=20,15,IF($N51&gt;=6,13,10)))),0)+IF($H52=1,IF($L$1&lt;7,10,IF(AND($L$1=7,$O51=0,$V51&gt;1),15,IF($O51&gt;=20,15,IF($O51&gt;=6,13,10)))),0)</f>
        <v/>
      </c>
      <c r="Z52" s="38">
        <f>$Z51+$Y52</f>
        <v/>
      </c>
      <c r="AA52" s="38">
        <f>IF(AND($B52=1,AND($F$1=7,$I51=0,$P51&gt;1)),1,0)+IF(AND($C52=1,AND($G$1=7,$J51=0,$Q51&gt;1)),1,0)+IF(AND($D52=1,AND($H$1=7,$K51=0,$R51&gt;1)),1,0)+IF(AND($E52=1,AND($I$1=7,$L51=0,$S51&gt;1)),1,0)+IF(AND($F52=1,AND($J$1=7,$M51=0,$T51&gt;1)),1,0)+IF(AND($G52=1,AND($K$1=7,$N51=0,$U51&gt;1)),1,0)+IF(AND($H52=1,AND($L$1=7,$O51=0,$V51&gt;1)),1,0)</f>
        <v/>
      </c>
      <c r="AB52" s="38">
        <f>IF(IFERROR('Фев'!$I16,"")="",0,$AB51+1)</f>
        <v/>
      </c>
    </row>
    <row r="53" spans="1:28">
      <c r="A53" s="38">
        <f>IF($B$1&gt;=DATE(2026,2,12),1,0)</f>
        <v/>
      </c>
      <c r="B53" s="38">
        <f>IFERROR(IF('Фев'!$B17=TRUE,1,0),0)</f>
        <v/>
      </c>
      <c r="C53" s="38">
        <f>IFERROR(IF('Фев'!$C17=TRUE,1,0),0)</f>
        <v/>
      </c>
      <c r="D53" s="38">
        <f>IFERROR(IF('Фев'!$D17=TRUE,1,0),0)</f>
        <v/>
      </c>
      <c r="E53" s="38">
        <f>IFERROR(IF('Фев'!$E17=TRUE,1,0),0)</f>
        <v/>
      </c>
      <c r="F53" s="38">
        <f>IFERROR(IF('Фев'!$F17=TRUE,1,0),0)</f>
        <v/>
      </c>
      <c r="G53" s="38">
        <f>IFERROR(IF('Фев'!$G17=TRUE,1,0),0)</f>
        <v/>
      </c>
      <c r="H53" s="38">
        <f>IFERROR(IF('Фев'!$H17=TRUE,1,0),0)</f>
        <v/>
      </c>
      <c r="I53" s="38">
        <f>IF($A53=0,$I52,IF($B53=1,$I52+1,IF($P53&lt;=1,$I52,0)))</f>
        <v/>
      </c>
      <c r="J53" s="38">
        <f>IF($A53=0,$J52,IF($C53=1,$J52+1,IF($Q53&lt;=1,$J52,0)))</f>
        <v/>
      </c>
      <c r="K53" s="38">
        <f>IF($A53=0,$K52,IF($D53=1,$K52+1,IF($R53&lt;=1,$K52,0)))</f>
        <v/>
      </c>
      <c r="L53" s="38">
        <f>IF($A53=0,$L52,IF($E53=1,$L52+1,IF($S53&lt;=1,$L52,0)))</f>
        <v/>
      </c>
      <c r="M53" s="38">
        <f>IF($A53=0,$M52,IF($F53=1,$M52+1,IF($T53&lt;=1,$M52,0)))</f>
        <v/>
      </c>
      <c r="N53" s="38">
        <f>IF($A53=0,$N52,IF($G53=1,$N52+1,IF($U53&lt;=1,$N52,0)))</f>
        <v/>
      </c>
      <c r="O53" s="38">
        <f>IF($A53=0,$O52,IF($H53=1,$O52+1,IF($V53&lt;=1,$O52,0)))</f>
        <v/>
      </c>
      <c r="P53" s="38">
        <f>IF($A53=0,$P52,$P52+IF($B53=1,0,1))</f>
        <v/>
      </c>
      <c r="Q53" s="38">
        <f>IF($A53=0,$Q52,$Q52+IF($C53=1,0,1))</f>
        <v/>
      </c>
      <c r="R53" s="38">
        <f>IF($A53=0,$R52,$R52+IF($D53=1,0,1))</f>
        <v/>
      </c>
      <c r="S53" s="38">
        <f>IF($A53=0,$S52,$S52+IF($E53=1,0,1))</f>
        <v/>
      </c>
      <c r="T53" s="38">
        <f>IF($A53=0,$T52,$T52+IF($F53=1,0,1))</f>
        <v/>
      </c>
      <c r="U53" s="38">
        <f>IF($A53=0,$U52,$U52+IF($G53=1,0,1))</f>
        <v/>
      </c>
      <c r="V53" s="38">
        <f>IF($A53=0,$V52,$V52+IF($H53=1,0,1))</f>
        <v/>
      </c>
      <c r="W53" s="38">
        <f>SUM($B53:$H53)</f>
        <v/>
      </c>
      <c r="X53" s="38">
        <f>IF(AND($A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53=1),1,0)+IF(AND($G$1=7,$C53=1),1,0)+IF(AND($H$1=7,$D53=1),1,0)+IF(AND($I$1=7,$E53=1),1,0)+IF(AND($J$1=7,$F53=1),1,0)+IF(AND($K$1=7,$G53=1),1,0)+IF(AND($L$1=7,$H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3" s="38">
        <f>IF($B53=1,IF($F$1&lt;7,10,IF(AND($F$1=7,$I52=0,$P52&gt;1),15,IF($I52&gt;=20,15,IF($I52&gt;=6,13,10)))),0)+IF($C53=1,IF($G$1&lt;7,10,IF(AND($G$1=7,$J52=0,$Q52&gt;1),15,IF($J52&gt;=20,15,IF($J52&gt;=6,13,10)))),0)+IF($D53=1,IF($H$1&lt;7,10,IF(AND($H$1=7,$K52=0,$R52&gt;1),15,IF($K52&gt;=20,15,IF($K52&gt;=6,13,10)))),0)+IF($E53=1,IF($I$1&lt;7,10,IF(AND($I$1=7,$L52=0,$S52&gt;1),15,IF($L52&gt;=20,15,IF($L52&gt;=6,13,10)))),0)+IF($F53=1,IF($J$1&lt;7,10,IF(AND($J$1=7,$M52=0,$T52&gt;1),15,IF($M52&gt;=20,15,IF($M52&gt;=6,13,10)))),0)+IF($G53=1,IF($K$1&lt;7,10,IF(AND($K$1=7,$N52=0,$U52&gt;1),15,IF($N52&gt;=20,15,IF($N52&gt;=6,13,10)))),0)+IF($H53=1,IF($L$1&lt;7,10,IF(AND($L$1=7,$O52=0,$V52&gt;1),15,IF($O52&gt;=20,15,IF($O52&gt;=6,13,10)))),0)</f>
        <v/>
      </c>
      <c r="Z53" s="38">
        <f>$Z52+$Y53</f>
        <v/>
      </c>
      <c r="AA53" s="38">
        <f>IF(AND($B53=1,AND($F$1=7,$I52=0,$P52&gt;1)),1,0)+IF(AND($C53=1,AND($G$1=7,$J52=0,$Q52&gt;1)),1,0)+IF(AND($D53=1,AND($H$1=7,$K52=0,$R52&gt;1)),1,0)+IF(AND($E53=1,AND($I$1=7,$L52=0,$S52&gt;1)),1,0)+IF(AND($F53=1,AND($J$1=7,$M52=0,$T52&gt;1)),1,0)+IF(AND($G53=1,AND($K$1=7,$N52=0,$U52&gt;1)),1,0)+IF(AND($H53=1,AND($L$1=7,$O52=0,$V52&gt;1)),1,0)</f>
        <v/>
      </c>
      <c r="AB53" s="38">
        <f>IF(IFERROR('Фев'!$I17,"")="",0,$AB52+1)</f>
        <v/>
      </c>
    </row>
    <row r="54" spans="1:28">
      <c r="A54" s="38">
        <f>IF($B$1&gt;=DATE(2026,2,13),1,0)</f>
        <v/>
      </c>
      <c r="B54" s="38">
        <f>IFERROR(IF('Фев'!$B18=TRUE,1,0),0)</f>
        <v/>
      </c>
      <c r="C54" s="38">
        <f>IFERROR(IF('Фев'!$C18=TRUE,1,0),0)</f>
        <v/>
      </c>
      <c r="D54" s="38">
        <f>IFERROR(IF('Фев'!$D18=TRUE,1,0),0)</f>
        <v/>
      </c>
      <c r="E54" s="38">
        <f>IFERROR(IF('Фев'!$E18=TRUE,1,0),0)</f>
        <v/>
      </c>
      <c r="F54" s="38">
        <f>IFERROR(IF('Фев'!$F18=TRUE,1,0),0)</f>
        <v/>
      </c>
      <c r="G54" s="38">
        <f>IFERROR(IF('Фев'!$G18=TRUE,1,0),0)</f>
        <v/>
      </c>
      <c r="H54" s="38">
        <f>IFERROR(IF('Фев'!$H18=TRUE,1,0),0)</f>
        <v/>
      </c>
      <c r="I54" s="38">
        <f>IF($A54=0,$I53,IF($B54=1,$I53+1,IF($P54&lt;=1,$I53,0)))</f>
        <v/>
      </c>
      <c r="J54" s="38">
        <f>IF($A54=0,$J53,IF($C54=1,$J53+1,IF($Q54&lt;=1,$J53,0)))</f>
        <v/>
      </c>
      <c r="K54" s="38">
        <f>IF($A54=0,$K53,IF($D54=1,$K53+1,IF($R54&lt;=1,$K53,0)))</f>
        <v/>
      </c>
      <c r="L54" s="38">
        <f>IF($A54=0,$L53,IF($E54=1,$L53+1,IF($S54&lt;=1,$L53,0)))</f>
        <v/>
      </c>
      <c r="M54" s="38">
        <f>IF($A54=0,$M53,IF($F54=1,$M53+1,IF($T54&lt;=1,$M53,0)))</f>
        <v/>
      </c>
      <c r="N54" s="38">
        <f>IF($A54=0,$N53,IF($G54=1,$N53+1,IF($U54&lt;=1,$N53,0)))</f>
        <v/>
      </c>
      <c r="O54" s="38">
        <f>IF($A54=0,$O53,IF($H54=1,$O53+1,IF($V54&lt;=1,$O53,0)))</f>
        <v/>
      </c>
      <c r="P54" s="38">
        <f>IF($A54=0,$P53,$P53+IF($B54=1,0,1))</f>
        <v/>
      </c>
      <c r="Q54" s="38">
        <f>IF($A54=0,$Q53,$Q53+IF($C54=1,0,1))</f>
        <v/>
      </c>
      <c r="R54" s="38">
        <f>IF($A54=0,$R53,$R53+IF($D54=1,0,1))</f>
        <v/>
      </c>
      <c r="S54" s="38">
        <f>IF($A54=0,$S53,$S53+IF($E54=1,0,1))</f>
        <v/>
      </c>
      <c r="T54" s="38">
        <f>IF($A54=0,$T53,$T53+IF($F54=1,0,1))</f>
        <v/>
      </c>
      <c r="U54" s="38">
        <f>IF($A54=0,$U53,$U53+IF($G54=1,0,1))</f>
        <v/>
      </c>
      <c r="V54" s="38">
        <f>IF($A54=0,$V53,$V53+IF($H54=1,0,1))</f>
        <v/>
      </c>
      <c r="W54" s="38">
        <f>SUM($B54:$H54)</f>
        <v/>
      </c>
      <c r="X54" s="38">
        <f>IF(AND($A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54=1),1,0)+IF(AND($G$1=7,$C54=1),1,0)+IF(AND($H$1=7,$D54=1),1,0)+IF(AND($I$1=7,$E54=1),1,0)+IF(AND($J$1=7,$F54=1),1,0)+IF(AND($K$1=7,$G54=1),1,0)+IF(AND($L$1=7,$H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4" s="38">
        <f>IF($B54=1,IF($F$1&lt;7,10,IF(AND($F$1=7,$I53=0,$P53&gt;1),15,IF($I53&gt;=20,15,IF($I53&gt;=6,13,10)))),0)+IF($C54=1,IF($G$1&lt;7,10,IF(AND($G$1=7,$J53=0,$Q53&gt;1),15,IF($J53&gt;=20,15,IF($J53&gt;=6,13,10)))),0)+IF($D54=1,IF($H$1&lt;7,10,IF(AND($H$1=7,$K53=0,$R53&gt;1),15,IF($K53&gt;=20,15,IF($K53&gt;=6,13,10)))),0)+IF($E54=1,IF($I$1&lt;7,10,IF(AND($I$1=7,$L53=0,$S53&gt;1),15,IF($L53&gt;=20,15,IF($L53&gt;=6,13,10)))),0)+IF($F54=1,IF($J$1&lt;7,10,IF(AND($J$1=7,$M53=0,$T53&gt;1),15,IF($M53&gt;=20,15,IF($M53&gt;=6,13,10)))),0)+IF($G54=1,IF($K$1&lt;7,10,IF(AND($K$1=7,$N53=0,$U53&gt;1),15,IF($N53&gt;=20,15,IF($N53&gt;=6,13,10)))),0)+IF($H54=1,IF($L$1&lt;7,10,IF(AND($L$1=7,$O53=0,$V53&gt;1),15,IF($O53&gt;=20,15,IF($O53&gt;=6,13,10)))),0)</f>
        <v/>
      </c>
      <c r="Z54" s="38">
        <f>$Z53+$Y54</f>
        <v/>
      </c>
      <c r="AA54" s="38">
        <f>IF(AND($B54=1,AND($F$1=7,$I53=0,$P53&gt;1)),1,0)+IF(AND($C54=1,AND($G$1=7,$J53=0,$Q53&gt;1)),1,0)+IF(AND($D54=1,AND($H$1=7,$K53=0,$R53&gt;1)),1,0)+IF(AND($E54=1,AND($I$1=7,$L53=0,$S53&gt;1)),1,0)+IF(AND($F54=1,AND($J$1=7,$M53=0,$T53&gt;1)),1,0)+IF(AND($G54=1,AND($K$1=7,$N53=0,$U53&gt;1)),1,0)+IF(AND($H54=1,AND($L$1=7,$O53=0,$V53&gt;1)),1,0)</f>
        <v/>
      </c>
      <c r="AB54" s="38">
        <f>IF(IFERROR('Фев'!$I18,"")="",0,$AB53+1)</f>
        <v/>
      </c>
    </row>
    <row r="55" spans="1:28">
      <c r="A55" s="38">
        <f>IF($B$1&gt;=DATE(2026,2,14),1,0)</f>
        <v/>
      </c>
      <c r="B55" s="38">
        <f>IFERROR(IF('Фев'!$B19=TRUE,1,0),0)</f>
        <v/>
      </c>
      <c r="C55" s="38">
        <f>IFERROR(IF('Фев'!$C19=TRUE,1,0),0)</f>
        <v/>
      </c>
      <c r="D55" s="38">
        <f>IFERROR(IF('Фев'!$D19=TRUE,1,0),0)</f>
        <v/>
      </c>
      <c r="E55" s="38">
        <f>IFERROR(IF('Фев'!$E19=TRUE,1,0),0)</f>
        <v/>
      </c>
      <c r="F55" s="38">
        <f>IFERROR(IF('Фев'!$F19=TRUE,1,0),0)</f>
        <v/>
      </c>
      <c r="G55" s="38">
        <f>IFERROR(IF('Фев'!$G19=TRUE,1,0),0)</f>
        <v/>
      </c>
      <c r="H55" s="38">
        <f>IFERROR(IF('Фев'!$H19=TRUE,1,0),0)</f>
        <v/>
      </c>
      <c r="I55" s="38">
        <f>IF($A55=0,$I54,IF($B55=1,$I54+1,IF($P55&lt;=1,$I54,0)))</f>
        <v/>
      </c>
      <c r="J55" s="38">
        <f>IF($A55=0,$J54,IF($C55=1,$J54+1,IF($Q55&lt;=1,$J54,0)))</f>
        <v/>
      </c>
      <c r="K55" s="38">
        <f>IF($A55=0,$K54,IF($D55=1,$K54+1,IF($R55&lt;=1,$K54,0)))</f>
        <v/>
      </c>
      <c r="L55" s="38">
        <f>IF($A55=0,$L54,IF($E55=1,$L54+1,IF($S55&lt;=1,$L54,0)))</f>
        <v/>
      </c>
      <c r="M55" s="38">
        <f>IF($A55=0,$M54,IF($F55=1,$M54+1,IF($T55&lt;=1,$M54,0)))</f>
        <v/>
      </c>
      <c r="N55" s="38">
        <f>IF($A55=0,$N54,IF($G55=1,$N54+1,IF($U55&lt;=1,$N54,0)))</f>
        <v/>
      </c>
      <c r="O55" s="38">
        <f>IF($A55=0,$O54,IF($H55=1,$O54+1,IF($V55&lt;=1,$O54,0)))</f>
        <v/>
      </c>
      <c r="P55" s="38">
        <f>IF($A55=0,$P54,$P54+IF($B55=1,0,1))</f>
        <v/>
      </c>
      <c r="Q55" s="38">
        <f>IF($A55=0,$Q54,$Q54+IF($C55=1,0,1))</f>
        <v/>
      </c>
      <c r="R55" s="38">
        <f>IF($A55=0,$R54,$R54+IF($D55=1,0,1))</f>
        <v/>
      </c>
      <c r="S55" s="38">
        <f>IF($A55=0,$S54,$S54+IF($E55=1,0,1))</f>
        <v/>
      </c>
      <c r="T55" s="38">
        <f>IF($A55=0,$T54,$T54+IF($F55=1,0,1))</f>
        <v/>
      </c>
      <c r="U55" s="38">
        <f>IF($A55=0,$U54,$U54+IF($G55=1,0,1))</f>
        <v/>
      </c>
      <c r="V55" s="38">
        <f>IF($A55=0,$V54,$V54+IF($H55=1,0,1))</f>
        <v/>
      </c>
      <c r="W55" s="38">
        <f>SUM($B55:$H55)</f>
        <v/>
      </c>
      <c r="X55" s="38">
        <f>IF(AND($A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55=1),1,0)+IF(AND($G$1=7,$C55=1),1,0)+IF(AND($H$1=7,$D55=1),1,0)+IF(AND($I$1=7,$E55=1),1,0)+IF(AND($J$1=7,$F55=1),1,0)+IF(AND($K$1=7,$G55=1),1,0)+IF(AND($L$1=7,$H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5" s="38">
        <f>IF($B55=1,IF($F$1&lt;7,10,IF(AND($F$1=7,$I54=0,$P54&gt;1),15,IF($I54&gt;=20,15,IF($I54&gt;=6,13,10)))),0)+IF($C55=1,IF($G$1&lt;7,10,IF(AND($G$1=7,$J54=0,$Q54&gt;1),15,IF($J54&gt;=20,15,IF($J54&gt;=6,13,10)))),0)+IF($D55=1,IF($H$1&lt;7,10,IF(AND($H$1=7,$K54=0,$R54&gt;1),15,IF($K54&gt;=20,15,IF($K54&gt;=6,13,10)))),0)+IF($E55=1,IF($I$1&lt;7,10,IF(AND($I$1=7,$L54=0,$S54&gt;1),15,IF($L54&gt;=20,15,IF($L54&gt;=6,13,10)))),0)+IF($F55=1,IF($J$1&lt;7,10,IF(AND($J$1=7,$M54=0,$T54&gt;1),15,IF($M54&gt;=20,15,IF($M54&gt;=6,13,10)))),0)+IF($G55=1,IF($K$1&lt;7,10,IF(AND($K$1=7,$N54=0,$U54&gt;1),15,IF($N54&gt;=20,15,IF($N54&gt;=6,13,10)))),0)+IF($H55=1,IF($L$1&lt;7,10,IF(AND($L$1=7,$O54=0,$V54&gt;1),15,IF($O54&gt;=20,15,IF($O54&gt;=6,13,10)))),0)</f>
        <v/>
      </c>
      <c r="Z55" s="38">
        <f>$Z54+$Y55</f>
        <v/>
      </c>
      <c r="AA55" s="38">
        <f>IF(AND($B55=1,AND($F$1=7,$I54=0,$P54&gt;1)),1,0)+IF(AND($C55=1,AND($G$1=7,$J54=0,$Q54&gt;1)),1,0)+IF(AND($D55=1,AND($H$1=7,$K54=0,$R54&gt;1)),1,0)+IF(AND($E55=1,AND($I$1=7,$L54=0,$S54&gt;1)),1,0)+IF(AND($F55=1,AND($J$1=7,$M54=0,$T54&gt;1)),1,0)+IF(AND($G55=1,AND($K$1=7,$N54=0,$U54&gt;1)),1,0)+IF(AND($H55=1,AND($L$1=7,$O54=0,$V54&gt;1)),1,0)</f>
        <v/>
      </c>
      <c r="AB55" s="38">
        <f>IF(IFERROR('Фев'!$I19,"")="",0,$AB54+1)</f>
        <v/>
      </c>
    </row>
    <row r="56" spans="1:28">
      <c r="A56" s="38">
        <f>IF($B$1&gt;=DATE(2026,2,15),1,0)</f>
        <v/>
      </c>
      <c r="B56" s="38">
        <f>IFERROR(IF('Фев'!$B20=TRUE,1,0),0)</f>
        <v/>
      </c>
      <c r="C56" s="38">
        <f>IFERROR(IF('Фев'!$C20=TRUE,1,0),0)</f>
        <v/>
      </c>
      <c r="D56" s="38">
        <f>IFERROR(IF('Фев'!$D20=TRUE,1,0),0)</f>
        <v/>
      </c>
      <c r="E56" s="38">
        <f>IFERROR(IF('Фев'!$E20=TRUE,1,0),0)</f>
        <v/>
      </c>
      <c r="F56" s="38">
        <f>IFERROR(IF('Фев'!$F20=TRUE,1,0),0)</f>
        <v/>
      </c>
      <c r="G56" s="38">
        <f>IFERROR(IF('Фев'!$G20=TRUE,1,0),0)</f>
        <v/>
      </c>
      <c r="H56" s="38">
        <f>IFERROR(IF('Фев'!$H20=TRUE,1,0),0)</f>
        <v/>
      </c>
      <c r="I56" s="38">
        <f>IF($A56=0,$I55,IF($B56=1,$I55+1,IF($P56&lt;=1,$I55,0)))</f>
        <v/>
      </c>
      <c r="J56" s="38">
        <f>IF($A56=0,$J55,IF($C56=1,$J55+1,IF($Q56&lt;=1,$J55,0)))</f>
        <v/>
      </c>
      <c r="K56" s="38">
        <f>IF($A56=0,$K55,IF($D56=1,$K55+1,IF($R56&lt;=1,$K55,0)))</f>
        <v/>
      </c>
      <c r="L56" s="38">
        <f>IF($A56=0,$L55,IF($E56=1,$L55+1,IF($S56&lt;=1,$L55,0)))</f>
        <v/>
      </c>
      <c r="M56" s="38">
        <f>IF($A56=0,$M55,IF($F56=1,$M55+1,IF($T56&lt;=1,$M55,0)))</f>
        <v/>
      </c>
      <c r="N56" s="38">
        <f>IF($A56=0,$N55,IF($G56=1,$N55+1,IF($U56&lt;=1,$N55,0)))</f>
        <v/>
      </c>
      <c r="O56" s="38">
        <f>IF($A56=0,$O55,IF($H56=1,$O55+1,IF($V56&lt;=1,$O55,0)))</f>
        <v/>
      </c>
      <c r="P56" s="38">
        <f>IF($A56=0,$P55,$P55+IF($B56=1,0,1))</f>
        <v/>
      </c>
      <c r="Q56" s="38">
        <f>IF($A56=0,$Q55,$Q55+IF($C56=1,0,1))</f>
        <v/>
      </c>
      <c r="R56" s="38">
        <f>IF($A56=0,$R55,$R55+IF($D56=1,0,1))</f>
        <v/>
      </c>
      <c r="S56" s="38">
        <f>IF($A56=0,$S55,$S55+IF($E56=1,0,1))</f>
        <v/>
      </c>
      <c r="T56" s="38">
        <f>IF($A56=0,$T55,$T55+IF($F56=1,0,1))</f>
        <v/>
      </c>
      <c r="U56" s="38">
        <f>IF($A56=0,$U55,$U55+IF($G56=1,0,1))</f>
        <v/>
      </c>
      <c r="V56" s="38">
        <f>IF($A56=0,$V55,$V55+IF($H56=1,0,1))</f>
        <v/>
      </c>
      <c r="W56" s="38">
        <f>SUM($B56:$H56)</f>
        <v/>
      </c>
      <c r="X56" s="38">
        <f>IF(AND($A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56=1),1,0)+IF(AND($G$1=7,$C56=1),1,0)+IF(AND($H$1=7,$D56=1),1,0)+IF(AND($I$1=7,$E56=1),1,0)+IF(AND($J$1=7,$F56=1),1,0)+IF(AND($K$1=7,$G56=1),1,0)+IF(AND($L$1=7,$H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6" s="38">
        <f>IF($B56=1,IF($F$1&lt;7,10,IF(AND($F$1=7,$I55=0,$P55&gt;1),15,IF($I55&gt;=20,15,IF($I55&gt;=6,13,10)))),0)+IF($C56=1,IF($G$1&lt;7,10,IF(AND($G$1=7,$J55=0,$Q55&gt;1),15,IF($J55&gt;=20,15,IF($J55&gt;=6,13,10)))),0)+IF($D56=1,IF($H$1&lt;7,10,IF(AND($H$1=7,$K55=0,$R55&gt;1),15,IF($K55&gt;=20,15,IF($K55&gt;=6,13,10)))),0)+IF($E56=1,IF($I$1&lt;7,10,IF(AND($I$1=7,$L55=0,$S55&gt;1),15,IF($L55&gt;=20,15,IF($L55&gt;=6,13,10)))),0)+IF($F56=1,IF($J$1&lt;7,10,IF(AND($J$1=7,$M55=0,$T55&gt;1),15,IF($M55&gt;=20,15,IF($M55&gt;=6,13,10)))),0)+IF($G56=1,IF($K$1&lt;7,10,IF(AND($K$1=7,$N55=0,$U55&gt;1),15,IF($N55&gt;=20,15,IF($N55&gt;=6,13,10)))),0)+IF($H56=1,IF($L$1&lt;7,10,IF(AND($L$1=7,$O55=0,$V55&gt;1),15,IF($O55&gt;=20,15,IF($O55&gt;=6,13,10)))),0)</f>
        <v/>
      </c>
      <c r="Z56" s="38">
        <f>$Z55+$Y56</f>
        <v/>
      </c>
      <c r="AA56" s="38">
        <f>IF(AND($B56=1,AND($F$1=7,$I55=0,$P55&gt;1)),1,0)+IF(AND($C56=1,AND($G$1=7,$J55=0,$Q55&gt;1)),1,0)+IF(AND($D56=1,AND($H$1=7,$K55=0,$R55&gt;1)),1,0)+IF(AND($E56=1,AND($I$1=7,$L55=0,$S55&gt;1)),1,0)+IF(AND($F56=1,AND($J$1=7,$M55=0,$T55&gt;1)),1,0)+IF(AND($G56=1,AND($K$1=7,$N55=0,$U55&gt;1)),1,0)+IF(AND($H56=1,AND($L$1=7,$O55=0,$V55&gt;1)),1,0)</f>
        <v/>
      </c>
      <c r="AB56" s="38">
        <f>IF(IFERROR('Фев'!$I20,"")="",0,$AB55+1)</f>
        <v/>
      </c>
    </row>
    <row r="57" spans="1:28">
      <c r="A57" s="38">
        <f>IF($B$1&gt;=DATE(2026,2,16),1,0)</f>
        <v/>
      </c>
      <c r="B57" s="38">
        <f>IFERROR(IF('Фев'!$B21=TRUE,1,0),0)</f>
        <v/>
      </c>
      <c r="C57" s="38">
        <f>IFERROR(IF('Фев'!$C21=TRUE,1,0),0)</f>
        <v/>
      </c>
      <c r="D57" s="38">
        <f>IFERROR(IF('Фев'!$D21=TRUE,1,0),0)</f>
        <v/>
      </c>
      <c r="E57" s="38">
        <f>IFERROR(IF('Фев'!$E21=TRUE,1,0),0)</f>
        <v/>
      </c>
      <c r="F57" s="38">
        <f>IFERROR(IF('Фев'!$F21=TRUE,1,0),0)</f>
        <v/>
      </c>
      <c r="G57" s="38">
        <f>IFERROR(IF('Фев'!$G21=TRUE,1,0),0)</f>
        <v/>
      </c>
      <c r="H57" s="38">
        <f>IFERROR(IF('Фев'!$H21=TRUE,1,0),0)</f>
        <v/>
      </c>
      <c r="I57" s="38">
        <f>IF($A57=0,$I56,IF($B57=1,$I56+1,IF($P57&lt;=1,$I56,0)))</f>
        <v/>
      </c>
      <c r="J57" s="38">
        <f>IF($A57=0,$J56,IF($C57=1,$J56+1,IF($Q57&lt;=1,$J56,0)))</f>
        <v/>
      </c>
      <c r="K57" s="38">
        <f>IF($A57=0,$K56,IF($D57=1,$K56+1,IF($R57&lt;=1,$K56,0)))</f>
        <v/>
      </c>
      <c r="L57" s="38">
        <f>IF($A57=0,$L56,IF($E57=1,$L56+1,IF($S57&lt;=1,$L56,0)))</f>
        <v/>
      </c>
      <c r="M57" s="38">
        <f>IF($A57=0,$M56,IF($F57=1,$M56+1,IF($T57&lt;=1,$M56,0)))</f>
        <v/>
      </c>
      <c r="N57" s="38">
        <f>IF($A57=0,$N56,IF($G57=1,$N56+1,IF($U57&lt;=1,$N56,0)))</f>
        <v/>
      </c>
      <c r="O57" s="38">
        <f>IF($A57=0,$O56,IF($H57=1,$O56+1,IF($V57&lt;=1,$O56,0)))</f>
        <v/>
      </c>
      <c r="P57" s="38">
        <f>IF($A57=0,$P56,$P56+IF($B57=1,0,1))</f>
        <v/>
      </c>
      <c r="Q57" s="38">
        <f>IF($A57=0,$Q56,$Q56+IF($C57=1,0,1))</f>
        <v/>
      </c>
      <c r="R57" s="38">
        <f>IF($A57=0,$R56,$R56+IF($D57=1,0,1))</f>
        <v/>
      </c>
      <c r="S57" s="38">
        <f>IF($A57=0,$S56,$S56+IF($E57=1,0,1))</f>
        <v/>
      </c>
      <c r="T57" s="38">
        <f>IF($A57=0,$T56,$T56+IF($F57=1,0,1))</f>
        <v/>
      </c>
      <c r="U57" s="38">
        <f>IF($A57=0,$U56,$U56+IF($G57=1,0,1))</f>
        <v/>
      </c>
      <c r="V57" s="38">
        <f>IF($A57=0,$V56,$V56+IF($H57=1,0,1))</f>
        <v/>
      </c>
      <c r="W57" s="38">
        <f>SUM($B57:$H57)</f>
        <v/>
      </c>
      <c r="X57" s="38">
        <f>IF(AND($A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57=1),1,0)+IF(AND($G$1=7,$C57=1),1,0)+IF(AND($H$1=7,$D57=1),1,0)+IF(AND($I$1=7,$E57=1),1,0)+IF(AND($J$1=7,$F57=1),1,0)+IF(AND($K$1=7,$G57=1),1,0)+IF(AND($L$1=7,$H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7" s="38">
        <f>IF($B57=1,IF($F$1&lt;7,10,IF(AND($F$1=7,$I56=0,$P56&gt;1),15,IF($I56&gt;=20,15,IF($I56&gt;=6,13,10)))),0)+IF($C57=1,IF($G$1&lt;7,10,IF(AND($G$1=7,$J56=0,$Q56&gt;1),15,IF($J56&gt;=20,15,IF($J56&gt;=6,13,10)))),0)+IF($D57=1,IF($H$1&lt;7,10,IF(AND($H$1=7,$K56=0,$R56&gt;1),15,IF($K56&gt;=20,15,IF($K56&gt;=6,13,10)))),0)+IF($E57=1,IF($I$1&lt;7,10,IF(AND($I$1=7,$L56=0,$S56&gt;1),15,IF($L56&gt;=20,15,IF($L56&gt;=6,13,10)))),0)+IF($F57=1,IF($J$1&lt;7,10,IF(AND($J$1=7,$M56=0,$T56&gt;1),15,IF($M56&gt;=20,15,IF($M56&gt;=6,13,10)))),0)+IF($G57=1,IF($K$1&lt;7,10,IF(AND($K$1=7,$N56=0,$U56&gt;1),15,IF($N56&gt;=20,15,IF($N56&gt;=6,13,10)))),0)+IF($H57=1,IF($L$1&lt;7,10,IF(AND($L$1=7,$O56=0,$V56&gt;1),15,IF($O56&gt;=20,15,IF($O56&gt;=6,13,10)))),0)</f>
        <v/>
      </c>
      <c r="Z57" s="38">
        <f>$Z56+$Y57</f>
        <v/>
      </c>
      <c r="AA57" s="38">
        <f>IF(AND($B57=1,AND($F$1=7,$I56=0,$P56&gt;1)),1,0)+IF(AND($C57=1,AND($G$1=7,$J56=0,$Q56&gt;1)),1,0)+IF(AND($D57=1,AND($H$1=7,$K56=0,$R56&gt;1)),1,0)+IF(AND($E57=1,AND($I$1=7,$L56=0,$S56&gt;1)),1,0)+IF(AND($F57=1,AND($J$1=7,$M56=0,$T56&gt;1)),1,0)+IF(AND($G57=1,AND($K$1=7,$N56=0,$U56&gt;1)),1,0)+IF(AND($H57=1,AND($L$1=7,$O56=0,$V56&gt;1)),1,0)</f>
        <v/>
      </c>
      <c r="AB57" s="38">
        <f>IF(IFERROR('Фев'!$I21,"")="",0,$AB56+1)</f>
        <v/>
      </c>
    </row>
    <row r="58" spans="1:28">
      <c r="A58" s="38">
        <f>IF($B$1&gt;=DATE(2026,2,17),1,0)</f>
        <v/>
      </c>
      <c r="B58" s="38">
        <f>IFERROR(IF('Фев'!$B22=TRUE,1,0),0)</f>
        <v/>
      </c>
      <c r="C58" s="38">
        <f>IFERROR(IF('Фев'!$C22=TRUE,1,0),0)</f>
        <v/>
      </c>
      <c r="D58" s="38">
        <f>IFERROR(IF('Фев'!$D22=TRUE,1,0),0)</f>
        <v/>
      </c>
      <c r="E58" s="38">
        <f>IFERROR(IF('Фев'!$E22=TRUE,1,0),0)</f>
        <v/>
      </c>
      <c r="F58" s="38">
        <f>IFERROR(IF('Фев'!$F22=TRUE,1,0),0)</f>
        <v/>
      </c>
      <c r="G58" s="38">
        <f>IFERROR(IF('Фев'!$G22=TRUE,1,0),0)</f>
        <v/>
      </c>
      <c r="H58" s="38">
        <f>IFERROR(IF('Фев'!$H22=TRUE,1,0),0)</f>
        <v/>
      </c>
      <c r="I58" s="38">
        <f>IF($A58=0,$I57,IF($B58=1,$I57+1,IF($P58&lt;=1,$I57,0)))</f>
        <v/>
      </c>
      <c r="J58" s="38">
        <f>IF($A58=0,$J57,IF($C58=1,$J57+1,IF($Q58&lt;=1,$J57,0)))</f>
        <v/>
      </c>
      <c r="K58" s="38">
        <f>IF($A58=0,$K57,IF($D58=1,$K57+1,IF($R58&lt;=1,$K57,0)))</f>
        <v/>
      </c>
      <c r="L58" s="38">
        <f>IF($A58=0,$L57,IF($E58=1,$L57+1,IF($S58&lt;=1,$L57,0)))</f>
        <v/>
      </c>
      <c r="M58" s="38">
        <f>IF($A58=0,$M57,IF($F58=1,$M57+1,IF($T58&lt;=1,$M57,0)))</f>
        <v/>
      </c>
      <c r="N58" s="38">
        <f>IF($A58=0,$N57,IF($G58=1,$N57+1,IF($U58&lt;=1,$N57,0)))</f>
        <v/>
      </c>
      <c r="O58" s="38">
        <f>IF($A58=0,$O57,IF($H58=1,$O57+1,IF($V58&lt;=1,$O57,0)))</f>
        <v/>
      </c>
      <c r="P58" s="38">
        <f>IF($A58=0,$P57,$P57+IF($B58=1,0,1))</f>
        <v/>
      </c>
      <c r="Q58" s="38">
        <f>IF($A58=0,$Q57,$Q57+IF($C58=1,0,1))</f>
        <v/>
      </c>
      <c r="R58" s="38">
        <f>IF($A58=0,$R57,$R57+IF($D58=1,0,1))</f>
        <v/>
      </c>
      <c r="S58" s="38">
        <f>IF($A58=0,$S57,$S57+IF($E58=1,0,1))</f>
        <v/>
      </c>
      <c r="T58" s="38">
        <f>IF($A58=0,$T57,$T57+IF($F58=1,0,1))</f>
        <v/>
      </c>
      <c r="U58" s="38">
        <f>IF($A58=0,$U57,$U57+IF($G58=1,0,1))</f>
        <v/>
      </c>
      <c r="V58" s="38">
        <f>IF($A58=0,$V57,$V57+IF($H58=1,0,1))</f>
        <v/>
      </c>
      <c r="W58" s="38">
        <f>SUM($B58:$H58)</f>
        <v/>
      </c>
      <c r="X58" s="38">
        <f>IF(AND($A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58=1),1,0)+IF(AND($G$1=7,$C58=1),1,0)+IF(AND($H$1=7,$D58=1),1,0)+IF(AND($I$1=7,$E58=1),1,0)+IF(AND($J$1=7,$F58=1),1,0)+IF(AND($K$1=7,$G58=1),1,0)+IF(AND($L$1=7,$H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8" s="38">
        <f>IF($B58=1,IF($F$1&lt;7,10,IF(AND($F$1=7,$I57=0,$P57&gt;1),15,IF($I57&gt;=20,15,IF($I57&gt;=6,13,10)))),0)+IF($C58=1,IF($G$1&lt;7,10,IF(AND($G$1=7,$J57=0,$Q57&gt;1),15,IF($J57&gt;=20,15,IF($J57&gt;=6,13,10)))),0)+IF($D58=1,IF($H$1&lt;7,10,IF(AND($H$1=7,$K57=0,$R57&gt;1),15,IF($K57&gt;=20,15,IF($K57&gt;=6,13,10)))),0)+IF($E58=1,IF($I$1&lt;7,10,IF(AND($I$1=7,$L57=0,$S57&gt;1),15,IF($L57&gt;=20,15,IF($L57&gt;=6,13,10)))),0)+IF($F58=1,IF($J$1&lt;7,10,IF(AND($J$1=7,$M57=0,$T57&gt;1),15,IF($M57&gt;=20,15,IF($M57&gt;=6,13,10)))),0)+IF($G58=1,IF($K$1&lt;7,10,IF(AND($K$1=7,$N57=0,$U57&gt;1),15,IF($N57&gt;=20,15,IF($N57&gt;=6,13,10)))),0)+IF($H58=1,IF($L$1&lt;7,10,IF(AND($L$1=7,$O57=0,$V57&gt;1),15,IF($O57&gt;=20,15,IF($O57&gt;=6,13,10)))),0)</f>
        <v/>
      </c>
      <c r="Z58" s="38">
        <f>$Z57+$Y58</f>
        <v/>
      </c>
      <c r="AA58" s="38">
        <f>IF(AND($B58=1,AND($F$1=7,$I57=0,$P57&gt;1)),1,0)+IF(AND($C58=1,AND($G$1=7,$J57=0,$Q57&gt;1)),1,0)+IF(AND($D58=1,AND($H$1=7,$K57=0,$R57&gt;1)),1,0)+IF(AND($E58=1,AND($I$1=7,$L57=0,$S57&gt;1)),1,0)+IF(AND($F58=1,AND($J$1=7,$M57=0,$T57&gt;1)),1,0)+IF(AND($G58=1,AND($K$1=7,$N57=0,$U57&gt;1)),1,0)+IF(AND($H58=1,AND($L$1=7,$O57=0,$V57&gt;1)),1,0)</f>
        <v/>
      </c>
      <c r="AB58" s="38">
        <f>IF(IFERROR('Фев'!$I22,"")="",0,$AB57+1)</f>
        <v/>
      </c>
    </row>
    <row r="59" spans="1:28">
      <c r="A59" s="38">
        <f>IF($B$1&gt;=DATE(2026,2,18),1,0)</f>
        <v/>
      </c>
      <c r="B59" s="38">
        <f>IFERROR(IF('Фев'!$B23=TRUE,1,0),0)</f>
        <v/>
      </c>
      <c r="C59" s="38">
        <f>IFERROR(IF('Фев'!$C23=TRUE,1,0),0)</f>
        <v/>
      </c>
      <c r="D59" s="38">
        <f>IFERROR(IF('Фев'!$D23=TRUE,1,0),0)</f>
        <v/>
      </c>
      <c r="E59" s="38">
        <f>IFERROR(IF('Фев'!$E23=TRUE,1,0),0)</f>
        <v/>
      </c>
      <c r="F59" s="38">
        <f>IFERROR(IF('Фев'!$F23=TRUE,1,0),0)</f>
        <v/>
      </c>
      <c r="G59" s="38">
        <f>IFERROR(IF('Фев'!$G23=TRUE,1,0),0)</f>
        <v/>
      </c>
      <c r="H59" s="38">
        <f>IFERROR(IF('Фев'!$H23=TRUE,1,0),0)</f>
        <v/>
      </c>
      <c r="I59" s="38">
        <f>IF($A59=0,$I58,IF($B59=1,$I58+1,IF($P59&lt;=1,$I58,0)))</f>
        <v/>
      </c>
      <c r="J59" s="38">
        <f>IF($A59=0,$J58,IF($C59=1,$J58+1,IF($Q59&lt;=1,$J58,0)))</f>
        <v/>
      </c>
      <c r="K59" s="38">
        <f>IF($A59=0,$K58,IF($D59=1,$K58+1,IF($R59&lt;=1,$K58,0)))</f>
        <v/>
      </c>
      <c r="L59" s="38">
        <f>IF($A59=0,$L58,IF($E59=1,$L58+1,IF($S59&lt;=1,$L58,0)))</f>
        <v/>
      </c>
      <c r="M59" s="38">
        <f>IF($A59=0,$M58,IF($F59=1,$M58+1,IF($T59&lt;=1,$M58,0)))</f>
        <v/>
      </c>
      <c r="N59" s="38">
        <f>IF($A59=0,$N58,IF($G59=1,$N58+1,IF($U59&lt;=1,$N58,0)))</f>
        <v/>
      </c>
      <c r="O59" s="38">
        <f>IF($A59=0,$O58,IF($H59=1,$O58+1,IF($V59&lt;=1,$O58,0)))</f>
        <v/>
      </c>
      <c r="P59" s="38">
        <f>IF($A59=0,$P58,$P58+IF($B59=1,0,1))</f>
        <v/>
      </c>
      <c r="Q59" s="38">
        <f>IF($A59=0,$Q58,$Q58+IF($C59=1,0,1))</f>
        <v/>
      </c>
      <c r="R59" s="38">
        <f>IF($A59=0,$R58,$R58+IF($D59=1,0,1))</f>
        <v/>
      </c>
      <c r="S59" s="38">
        <f>IF($A59=0,$S58,$S58+IF($E59=1,0,1))</f>
        <v/>
      </c>
      <c r="T59" s="38">
        <f>IF($A59=0,$T58,$T58+IF($F59=1,0,1))</f>
        <v/>
      </c>
      <c r="U59" s="38">
        <f>IF($A59=0,$U58,$U58+IF($G59=1,0,1))</f>
        <v/>
      </c>
      <c r="V59" s="38">
        <f>IF($A59=0,$V58,$V58+IF($H59=1,0,1))</f>
        <v/>
      </c>
      <c r="W59" s="38">
        <f>SUM($B59:$H59)</f>
        <v/>
      </c>
      <c r="X59" s="38">
        <f>IF(AND($A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59=1),1,0)+IF(AND($G$1=7,$C59=1),1,0)+IF(AND($H$1=7,$D59=1),1,0)+IF(AND($I$1=7,$E59=1),1,0)+IF(AND($J$1=7,$F59=1),1,0)+IF(AND($K$1=7,$G59=1),1,0)+IF(AND($L$1=7,$H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9" s="38">
        <f>IF($B59=1,IF($F$1&lt;7,10,IF(AND($F$1=7,$I58=0,$P58&gt;1),15,IF($I58&gt;=20,15,IF($I58&gt;=6,13,10)))),0)+IF($C59=1,IF($G$1&lt;7,10,IF(AND($G$1=7,$J58=0,$Q58&gt;1),15,IF($J58&gt;=20,15,IF($J58&gt;=6,13,10)))),0)+IF($D59=1,IF($H$1&lt;7,10,IF(AND($H$1=7,$K58=0,$R58&gt;1),15,IF($K58&gt;=20,15,IF($K58&gt;=6,13,10)))),0)+IF($E59=1,IF($I$1&lt;7,10,IF(AND($I$1=7,$L58=0,$S58&gt;1),15,IF($L58&gt;=20,15,IF($L58&gt;=6,13,10)))),0)+IF($F59=1,IF($J$1&lt;7,10,IF(AND($J$1=7,$M58=0,$T58&gt;1),15,IF($M58&gt;=20,15,IF($M58&gt;=6,13,10)))),0)+IF($G59=1,IF($K$1&lt;7,10,IF(AND($K$1=7,$N58=0,$U58&gt;1),15,IF($N58&gt;=20,15,IF($N58&gt;=6,13,10)))),0)+IF($H59=1,IF($L$1&lt;7,10,IF(AND($L$1=7,$O58=0,$V58&gt;1),15,IF($O58&gt;=20,15,IF($O58&gt;=6,13,10)))),0)</f>
        <v/>
      </c>
      <c r="Z59" s="38">
        <f>$Z58+$Y59</f>
        <v/>
      </c>
      <c r="AA59" s="38">
        <f>IF(AND($B59=1,AND($F$1=7,$I58=0,$P58&gt;1)),1,0)+IF(AND($C59=1,AND($G$1=7,$J58=0,$Q58&gt;1)),1,0)+IF(AND($D59=1,AND($H$1=7,$K58=0,$R58&gt;1)),1,0)+IF(AND($E59=1,AND($I$1=7,$L58=0,$S58&gt;1)),1,0)+IF(AND($F59=1,AND($J$1=7,$M58=0,$T58&gt;1)),1,0)+IF(AND($G59=1,AND($K$1=7,$N58=0,$U58&gt;1)),1,0)+IF(AND($H59=1,AND($L$1=7,$O58=0,$V58&gt;1)),1,0)</f>
        <v/>
      </c>
      <c r="AB59" s="38">
        <f>IF(IFERROR('Фев'!$I23,"")="",0,$AB58+1)</f>
        <v/>
      </c>
    </row>
    <row r="60" spans="1:28">
      <c r="A60" s="38">
        <f>IF($B$1&gt;=DATE(2026,2,19),1,0)</f>
        <v/>
      </c>
      <c r="B60" s="38">
        <f>IFERROR(IF('Фев'!$B24=TRUE,1,0),0)</f>
        <v/>
      </c>
      <c r="C60" s="38">
        <f>IFERROR(IF('Фев'!$C24=TRUE,1,0),0)</f>
        <v/>
      </c>
      <c r="D60" s="38">
        <f>IFERROR(IF('Фев'!$D24=TRUE,1,0),0)</f>
        <v/>
      </c>
      <c r="E60" s="38">
        <f>IFERROR(IF('Фев'!$E24=TRUE,1,0),0)</f>
        <v/>
      </c>
      <c r="F60" s="38">
        <f>IFERROR(IF('Фев'!$F24=TRUE,1,0),0)</f>
        <v/>
      </c>
      <c r="G60" s="38">
        <f>IFERROR(IF('Фев'!$G24=TRUE,1,0),0)</f>
        <v/>
      </c>
      <c r="H60" s="38">
        <f>IFERROR(IF('Фев'!$H24=TRUE,1,0),0)</f>
        <v/>
      </c>
      <c r="I60" s="38">
        <f>IF($A60=0,$I59,IF($B60=1,$I59+1,IF($P60&lt;=1,$I59,0)))</f>
        <v/>
      </c>
      <c r="J60" s="38">
        <f>IF($A60=0,$J59,IF($C60=1,$J59+1,IF($Q60&lt;=1,$J59,0)))</f>
        <v/>
      </c>
      <c r="K60" s="38">
        <f>IF($A60=0,$K59,IF($D60=1,$K59+1,IF($R60&lt;=1,$K59,0)))</f>
        <v/>
      </c>
      <c r="L60" s="38">
        <f>IF($A60=0,$L59,IF($E60=1,$L59+1,IF($S60&lt;=1,$L59,0)))</f>
        <v/>
      </c>
      <c r="M60" s="38">
        <f>IF($A60=0,$M59,IF($F60=1,$M59+1,IF($T60&lt;=1,$M59,0)))</f>
        <v/>
      </c>
      <c r="N60" s="38">
        <f>IF($A60=0,$N59,IF($G60=1,$N59+1,IF($U60&lt;=1,$N59,0)))</f>
        <v/>
      </c>
      <c r="O60" s="38">
        <f>IF($A60=0,$O59,IF($H60=1,$O59+1,IF($V60&lt;=1,$O59,0)))</f>
        <v/>
      </c>
      <c r="P60" s="38">
        <f>IF($A60=0,$P59,$P59+IF($B60=1,0,1))</f>
        <v/>
      </c>
      <c r="Q60" s="38">
        <f>IF($A60=0,$Q59,$Q59+IF($C60=1,0,1))</f>
        <v/>
      </c>
      <c r="R60" s="38">
        <f>IF($A60=0,$R59,$R59+IF($D60=1,0,1))</f>
        <v/>
      </c>
      <c r="S60" s="38">
        <f>IF($A60=0,$S59,$S59+IF($E60=1,0,1))</f>
        <v/>
      </c>
      <c r="T60" s="38">
        <f>IF($A60=0,$T59,$T59+IF($F60=1,0,1))</f>
        <v/>
      </c>
      <c r="U60" s="38">
        <f>IF($A60=0,$U59,$U59+IF($G60=1,0,1))</f>
        <v/>
      </c>
      <c r="V60" s="38">
        <f>IF($A60=0,$V59,$V59+IF($H60=1,0,1))</f>
        <v/>
      </c>
      <c r="W60" s="38">
        <f>SUM($B60:$H60)</f>
        <v/>
      </c>
      <c r="X60" s="38">
        <f>IF(AND($A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60=1),1,0)+IF(AND($G$1=7,$C60=1),1,0)+IF(AND($H$1=7,$D60=1),1,0)+IF(AND($I$1=7,$E60=1),1,0)+IF(AND($J$1=7,$F60=1),1,0)+IF(AND($K$1=7,$G60=1),1,0)+IF(AND($L$1=7,$H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0" s="38">
        <f>IF($B60=1,IF($F$1&lt;7,10,IF(AND($F$1=7,$I59=0,$P59&gt;1),15,IF($I59&gt;=20,15,IF($I59&gt;=6,13,10)))),0)+IF($C60=1,IF($G$1&lt;7,10,IF(AND($G$1=7,$J59=0,$Q59&gt;1),15,IF($J59&gt;=20,15,IF($J59&gt;=6,13,10)))),0)+IF($D60=1,IF($H$1&lt;7,10,IF(AND($H$1=7,$K59=0,$R59&gt;1),15,IF($K59&gt;=20,15,IF($K59&gt;=6,13,10)))),0)+IF($E60=1,IF($I$1&lt;7,10,IF(AND($I$1=7,$L59=0,$S59&gt;1),15,IF($L59&gt;=20,15,IF($L59&gt;=6,13,10)))),0)+IF($F60=1,IF($J$1&lt;7,10,IF(AND($J$1=7,$M59=0,$T59&gt;1),15,IF($M59&gt;=20,15,IF($M59&gt;=6,13,10)))),0)+IF($G60=1,IF($K$1&lt;7,10,IF(AND($K$1=7,$N59=0,$U59&gt;1),15,IF($N59&gt;=20,15,IF($N59&gt;=6,13,10)))),0)+IF($H60=1,IF($L$1&lt;7,10,IF(AND($L$1=7,$O59=0,$V59&gt;1),15,IF($O59&gt;=20,15,IF($O59&gt;=6,13,10)))),0)</f>
        <v/>
      </c>
      <c r="Z60" s="38">
        <f>$Z59+$Y60</f>
        <v/>
      </c>
      <c r="AA60" s="38">
        <f>IF(AND($B60=1,AND($F$1=7,$I59=0,$P59&gt;1)),1,0)+IF(AND($C60=1,AND($G$1=7,$J59=0,$Q59&gt;1)),1,0)+IF(AND($D60=1,AND($H$1=7,$K59=0,$R59&gt;1)),1,0)+IF(AND($E60=1,AND($I$1=7,$L59=0,$S59&gt;1)),1,0)+IF(AND($F60=1,AND($J$1=7,$M59=0,$T59&gt;1)),1,0)+IF(AND($G60=1,AND($K$1=7,$N59=0,$U59&gt;1)),1,0)+IF(AND($H60=1,AND($L$1=7,$O59=0,$V59&gt;1)),1,0)</f>
        <v/>
      </c>
      <c r="AB60" s="38">
        <f>IF(IFERROR('Фев'!$I24,"")="",0,$AB59+1)</f>
        <v/>
      </c>
    </row>
    <row r="61" spans="1:28">
      <c r="A61" s="38">
        <f>IF($B$1&gt;=DATE(2026,2,20),1,0)</f>
        <v/>
      </c>
      <c r="B61" s="38">
        <f>IFERROR(IF('Фев'!$B25=TRUE,1,0),0)</f>
        <v/>
      </c>
      <c r="C61" s="38">
        <f>IFERROR(IF('Фев'!$C25=TRUE,1,0),0)</f>
        <v/>
      </c>
      <c r="D61" s="38">
        <f>IFERROR(IF('Фев'!$D25=TRUE,1,0),0)</f>
        <v/>
      </c>
      <c r="E61" s="38">
        <f>IFERROR(IF('Фев'!$E25=TRUE,1,0),0)</f>
        <v/>
      </c>
      <c r="F61" s="38">
        <f>IFERROR(IF('Фев'!$F25=TRUE,1,0),0)</f>
        <v/>
      </c>
      <c r="G61" s="38">
        <f>IFERROR(IF('Фев'!$G25=TRUE,1,0),0)</f>
        <v/>
      </c>
      <c r="H61" s="38">
        <f>IFERROR(IF('Фев'!$H25=TRUE,1,0),0)</f>
        <v/>
      </c>
      <c r="I61" s="38">
        <f>IF($A61=0,$I60,IF($B61=1,$I60+1,IF($P61&lt;=1,$I60,0)))</f>
        <v/>
      </c>
      <c r="J61" s="38">
        <f>IF($A61=0,$J60,IF($C61=1,$J60+1,IF($Q61&lt;=1,$J60,0)))</f>
        <v/>
      </c>
      <c r="K61" s="38">
        <f>IF($A61=0,$K60,IF($D61=1,$K60+1,IF($R61&lt;=1,$K60,0)))</f>
        <v/>
      </c>
      <c r="L61" s="38">
        <f>IF($A61=0,$L60,IF($E61=1,$L60+1,IF($S61&lt;=1,$L60,0)))</f>
        <v/>
      </c>
      <c r="M61" s="38">
        <f>IF($A61=0,$M60,IF($F61=1,$M60+1,IF($T61&lt;=1,$M60,0)))</f>
        <v/>
      </c>
      <c r="N61" s="38">
        <f>IF($A61=0,$N60,IF($G61=1,$N60+1,IF($U61&lt;=1,$N60,0)))</f>
        <v/>
      </c>
      <c r="O61" s="38">
        <f>IF($A61=0,$O60,IF($H61=1,$O60+1,IF($V61&lt;=1,$O60,0)))</f>
        <v/>
      </c>
      <c r="P61" s="38">
        <f>IF($A61=0,$P60,$P60+IF($B61=1,0,1))</f>
        <v/>
      </c>
      <c r="Q61" s="38">
        <f>IF($A61=0,$Q60,$Q60+IF($C61=1,0,1))</f>
        <v/>
      </c>
      <c r="R61" s="38">
        <f>IF($A61=0,$R60,$R60+IF($D61=1,0,1))</f>
        <v/>
      </c>
      <c r="S61" s="38">
        <f>IF($A61=0,$S60,$S60+IF($E61=1,0,1))</f>
        <v/>
      </c>
      <c r="T61" s="38">
        <f>IF($A61=0,$T60,$T60+IF($F61=1,0,1))</f>
        <v/>
      </c>
      <c r="U61" s="38">
        <f>IF($A61=0,$U60,$U60+IF($G61=1,0,1))</f>
        <v/>
      </c>
      <c r="V61" s="38">
        <f>IF($A61=0,$V60,$V60+IF($H61=1,0,1))</f>
        <v/>
      </c>
      <c r="W61" s="38">
        <f>SUM($B61:$H61)</f>
        <v/>
      </c>
      <c r="X61" s="38">
        <f>IF(AND($A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61=1),1,0)+IF(AND($G$1=7,$C61=1),1,0)+IF(AND($H$1=7,$D61=1),1,0)+IF(AND($I$1=7,$E61=1),1,0)+IF(AND($J$1=7,$F61=1),1,0)+IF(AND($K$1=7,$G61=1),1,0)+IF(AND($L$1=7,$H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1" s="38">
        <f>IF($B61=1,IF($F$1&lt;7,10,IF(AND($F$1=7,$I60=0,$P60&gt;1),15,IF($I60&gt;=20,15,IF($I60&gt;=6,13,10)))),0)+IF($C61=1,IF($G$1&lt;7,10,IF(AND($G$1=7,$J60=0,$Q60&gt;1),15,IF($J60&gt;=20,15,IF($J60&gt;=6,13,10)))),0)+IF($D61=1,IF($H$1&lt;7,10,IF(AND($H$1=7,$K60=0,$R60&gt;1),15,IF($K60&gt;=20,15,IF($K60&gt;=6,13,10)))),0)+IF($E61=1,IF($I$1&lt;7,10,IF(AND($I$1=7,$L60=0,$S60&gt;1),15,IF($L60&gt;=20,15,IF($L60&gt;=6,13,10)))),0)+IF($F61=1,IF($J$1&lt;7,10,IF(AND($J$1=7,$M60=0,$T60&gt;1),15,IF($M60&gt;=20,15,IF($M60&gt;=6,13,10)))),0)+IF($G61=1,IF($K$1&lt;7,10,IF(AND($K$1=7,$N60=0,$U60&gt;1),15,IF($N60&gt;=20,15,IF($N60&gt;=6,13,10)))),0)+IF($H61=1,IF($L$1&lt;7,10,IF(AND($L$1=7,$O60=0,$V60&gt;1),15,IF($O60&gt;=20,15,IF($O60&gt;=6,13,10)))),0)</f>
        <v/>
      </c>
      <c r="Z61" s="38">
        <f>$Z60+$Y61</f>
        <v/>
      </c>
      <c r="AA61" s="38">
        <f>IF(AND($B61=1,AND($F$1=7,$I60=0,$P60&gt;1)),1,0)+IF(AND($C61=1,AND($G$1=7,$J60=0,$Q60&gt;1)),1,0)+IF(AND($D61=1,AND($H$1=7,$K60=0,$R60&gt;1)),1,0)+IF(AND($E61=1,AND($I$1=7,$L60=0,$S60&gt;1)),1,0)+IF(AND($F61=1,AND($J$1=7,$M60=0,$T60&gt;1)),1,0)+IF(AND($G61=1,AND($K$1=7,$N60=0,$U60&gt;1)),1,0)+IF(AND($H61=1,AND($L$1=7,$O60=0,$V60&gt;1)),1,0)</f>
        <v/>
      </c>
      <c r="AB61" s="38">
        <f>IF(IFERROR('Фев'!$I25,"")="",0,$AB60+1)</f>
        <v/>
      </c>
    </row>
    <row r="62" spans="1:28">
      <c r="A62" s="38">
        <f>IF($B$1&gt;=DATE(2026,2,21),1,0)</f>
        <v/>
      </c>
      <c r="B62" s="38">
        <f>IFERROR(IF('Фев'!$B26=TRUE,1,0),0)</f>
        <v/>
      </c>
      <c r="C62" s="38">
        <f>IFERROR(IF('Фев'!$C26=TRUE,1,0),0)</f>
        <v/>
      </c>
      <c r="D62" s="38">
        <f>IFERROR(IF('Фев'!$D26=TRUE,1,0),0)</f>
        <v/>
      </c>
      <c r="E62" s="38">
        <f>IFERROR(IF('Фев'!$E26=TRUE,1,0),0)</f>
        <v/>
      </c>
      <c r="F62" s="38">
        <f>IFERROR(IF('Фев'!$F26=TRUE,1,0),0)</f>
        <v/>
      </c>
      <c r="G62" s="38">
        <f>IFERROR(IF('Фев'!$G26=TRUE,1,0),0)</f>
        <v/>
      </c>
      <c r="H62" s="38">
        <f>IFERROR(IF('Фев'!$H26=TRUE,1,0),0)</f>
        <v/>
      </c>
      <c r="I62" s="38">
        <f>IF($A62=0,$I61,IF($B62=1,$I61+1,IF($P62&lt;=1,$I61,0)))</f>
        <v/>
      </c>
      <c r="J62" s="38">
        <f>IF($A62=0,$J61,IF($C62=1,$J61+1,IF($Q62&lt;=1,$J61,0)))</f>
        <v/>
      </c>
      <c r="K62" s="38">
        <f>IF($A62=0,$K61,IF($D62=1,$K61+1,IF($R62&lt;=1,$K61,0)))</f>
        <v/>
      </c>
      <c r="L62" s="38">
        <f>IF($A62=0,$L61,IF($E62=1,$L61+1,IF($S62&lt;=1,$L61,0)))</f>
        <v/>
      </c>
      <c r="M62" s="38">
        <f>IF($A62=0,$M61,IF($F62=1,$M61+1,IF($T62&lt;=1,$M61,0)))</f>
        <v/>
      </c>
      <c r="N62" s="38">
        <f>IF($A62=0,$N61,IF($G62=1,$N61+1,IF($U62&lt;=1,$N61,0)))</f>
        <v/>
      </c>
      <c r="O62" s="38">
        <f>IF($A62=0,$O61,IF($H62=1,$O61+1,IF($V62&lt;=1,$O61,0)))</f>
        <v/>
      </c>
      <c r="P62" s="38">
        <f>IF($A62=0,$P61,$P61+IF($B62=1,0,1))</f>
        <v/>
      </c>
      <c r="Q62" s="38">
        <f>IF($A62=0,$Q61,$Q61+IF($C62=1,0,1))</f>
        <v/>
      </c>
      <c r="R62" s="38">
        <f>IF($A62=0,$R61,$R61+IF($D62=1,0,1))</f>
        <v/>
      </c>
      <c r="S62" s="38">
        <f>IF($A62=0,$S61,$S61+IF($E62=1,0,1))</f>
        <v/>
      </c>
      <c r="T62" s="38">
        <f>IF($A62=0,$T61,$T61+IF($F62=1,0,1))</f>
        <v/>
      </c>
      <c r="U62" s="38">
        <f>IF($A62=0,$U61,$U61+IF($G62=1,0,1))</f>
        <v/>
      </c>
      <c r="V62" s="38">
        <f>IF($A62=0,$V61,$V61+IF($H62=1,0,1))</f>
        <v/>
      </c>
      <c r="W62" s="38">
        <f>SUM($B62:$H62)</f>
        <v/>
      </c>
      <c r="X62" s="38">
        <f>IF(AND($A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62=1),1,0)+IF(AND($G$1=7,$C62=1),1,0)+IF(AND($H$1=7,$D62=1),1,0)+IF(AND($I$1=7,$E62=1),1,0)+IF(AND($J$1=7,$F62=1),1,0)+IF(AND($K$1=7,$G62=1),1,0)+IF(AND($L$1=7,$H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2" s="38">
        <f>IF($B62=1,IF($F$1&lt;7,10,IF(AND($F$1=7,$I61=0,$P61&gt;1),15,IF($I61&gt;=20,15,IF($I61&gt;=6,13,10)))),0)+IF($C62=1,IF($G$1&lt;7,10,IF(AND($G$1=7,$J61=0,$Q61&gt;1),15,IF($J61&gt;=20,15,IF($J61&gt;=6,13,10)))),0)+IF($D62=1,IF($H$1&lt;7,10,IF(AND($H$1=7,$K61=0,$R61&gt;1),15,IF($K61&gt;=20,15,IF($K61&gt;=6,13,10)))),0)+IF($E62=1,IF($I$1&lt;7,10,IF(AND($I$1=7,$L61=0,$S61&gt;1),15,IF($L61&gt;=20,15,IF($L61&gt;=6,13,10)))),0)+IF($F62=1,IF($J$1&lt;7,10,IF(AND($J$1=7,$M61=0,$T61&gt;1),15,IF($M61&gt;=20,15,IF($M61&gt;=6,13,10)))),0)+IF($G62=1,IF($K$1&lt;7,10,IF(AND($K$1=7,$N61=0,$U61&gt;1),15,IF($N61&gt;=20,15,IF($N61&gt;=6,13,10)))),0)+IF($H62=1,IF($L$1&lt;7,10,IF(AND($L$1=7,$O61=0,$V61&gt;1),15,IF($O61&gt;=20,15,IF($O61&gt;=6,13,10)))),0)</f>
        <v/>
      </c>
      <c r="Z62" s="38">
        <f>$Z61+$Y62</f>
        <v/>
      </c>
      <c r="AA62" s="38">
        <f>IF(AND($B62=1,AND($F$1=7,$I61=0,$P61&gt;1)),1,0)+IF(AND($C62=1,AND($G$1=7,$J61=0,$Q61&gt;1)),1,0)+IF(AND($D62=1,AND($H$1=7,$K61=0,$R61&gt;1)),1,0)+IF(AND($E62=1,AND($I$1=7,$L61=0,$S61&gt;1)),1,0)+IF(AND($F62=1,AND($J$1=7,$M61=0,$T61&gt;1)),1,0)+IF(AND($G62=1,AND($K$1=7,$N61=0,$U61&gt;1)),1,0)+IF(AND($H62=1,AND($L$1=7,$O61=0,$V61&gt;1)),1,0)</f>
        <v/>
      </c>
      <c r="AB62" s="38">
        <f>IF(IFERROR('Фев'!$I26,"")="",0,$AB61+1)</f>
        <v/>
      </c>
    </row>
    <row r="63" spans="1:28">
      <c r="A63" s="38">
        <f>IF($B$1&gt;=DATE(2026,2,22),1,0)</f>
        <v/>
      </c>
      <c r="B63" s="38">
        <f>IFERROR(IF('Фев'!$B27=TRUE,1,0),0)</f>
        <v/>
      </c>
      <c r="C63" s="38">
        <f>IFERROR(IF('Фев'!$C27=TRUE,1,0),0)</f>
        <v/>
      </c>
      <c r="D63" s="38">
        <f>IFERROR(IF('Фев'!$D27=TRUE,1,0),0)</f>
        <v/>
      </c>
      <c r="E63" s="38">
        <f>IFERROR(IF('Фев'!$E27=TRUE,1,0),0)</f>
        <v/>
      </c>
      <c r="F63" s="38">
        <f>IFERROR(IF('Фев'!$F27=TRUE,1,0),0)</f>
        <v/>
      </c>
      <c r="G63" s="38">
        <f>IFERROR(IF('Фев'!$G27=TRUE,1,0),0)</f>
        <v/>
      </c>
      <c r="H63" s="38">
        <f>IFERROR(IF('Фев'!$H27=TRUE,1,0),0)</f>
        <v/>
      </c>
      <c r="I63" s="38">
        <f>IF($A63=0,$I62,IF($B63=1,$I62+1,IF($P63&lt;=1,$I62,0)))</f>
        <v/>
      </c>
      <c r="J63" s="38">
        <f>IF($A63=0,$J62,IF($C63=1,$J62+1,IF($Q63&lt;=1,$J62,0)))</f>
        <v/>
      </c>
      <c r="K63" s="38">
        <f>IF($A63=0,$K62,IF($D63=1,$K62+1,IF($R63&lt;=1,$K62,0)))</f>
        <v/>
      </c>
      <c r="L63" s="38">
        <f>IF($A63=0,$L62,IF($E63=1,$L62+1,IF($S63&lt;=1,$L62,0)))</f>
        <v/>
      </c>
      <c r="M63" s="38">
        <f>IF($A63=0,$M62,IF($F63=1,$M62+1,IF($T63&lt;=1,$M62,0)))</f>
        <v/>
      </c>
      <c r="N63" s="38">
        <f>IF($A63=0,$N62,IF($G63=1,$N62+1,IF($U63&lt;=1,$N62,0)))</f>
        <v/>
      </c>
      <c r="O63" s="38">
        <f>IF($A63=0,$O62,IF($H63=1,$O62+1,IF($V63&lt;=1,$O62,0)))</f>
        <v/>
      </c>
      <c r="P63" s="38">
        <f>IF($A63=0,$P62,$P62+IF($B63=1,0,1))</f>
        <v/>
      </c>
      <c r="Q63" s="38">
        <f>IF($A63=0,$Q62,$Q62+IF($C63=1,0,1))</f>
        <v/>
      </c>
      <c r="R63" s="38">
        <f>IF($A63=0,$R62,$R62+IF($D63=1,0,1))</f>
        <v/>
      </c>
      <c r="S63" s="38">
        <f>IF($A63=0,$S62,$S62+IF($E63=1,0,1))</f>
        <v/>
      </c>
      <c r="T63" s="38">
        <f>IF($A63=0,$T62,$T62+IF($F63=1,0,1))</f>
        <v/>
      </c>
      <c r="U63" s="38">
        <f>IF($A63=0,$U62,$U62+IF($G63=1,0,1))</f>
        <v/>
      </c>
      <c r="V63" s="38">
        <f>IF($A63=0,$V62,$V62+IF($H63=1,0,1))</f>
        <v/>
      </c>
      <c r="W63" s="38">
        <f>SUM($B63:$H63)</f>
        <v/>
      </c>
      <c r="X63" s="38">
        <f>IF(AND($A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63=1),1,0)+IF(AND($G$1=7,$C63=1),1,0)+IF(AND($H$1=7,$D63=1),1,0)+IF(AND($I$1=7,$E63=1),1,0)+IF(AND($J$1=7,$F63=1),1,0)+IF(AND($K$1=7,$G63=1),1,0)+IF(AND($L$1=7,$H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3" s="38">
        <f>IF($B63=1,IF($F$1&lt;7,10,IF(AND($F$1=7,$I62=0,$P62&gt;1),15,IF($I62&gt;=20,15,IF($I62&gt;=6,13,10)))),0)+IF($C63=1,IF($G$1&lt;7,10,IF(AND($G$1=7,$J62=0,$Q62&gt;1),15,IF($J62&gt;=20,15,IF($J62&gt;=6,13,10)))),0)+IF($D63=1,IF($H$1&lt;7,10,IF(AND($H$1=7,$K62=0,$R62&gt;1),15,IF($K62&gt;=20,15,IF($K62&gt;=6,13,10)))),0)+IF($E63=1,IF($I$1&lt;7,10,IF(AND($I$1=7,$L62=0,$S62&gt;1),15,IF($L62&gt;=20,15,IF($L62&gt;=6,13,10)))),0)+IF($F63=1,IF($J$1&lt;7,10,IF(AND($J$1=7,$M62=0,$T62&gt;1),15,IF($M62&gt;=20,15,IF($M62&gt;=6,13,10)))),0)+IF($G63=1,IF($K$1&lt;7,10,IF(AND($K$1=7,$N62=0,$U62&gt;1),15,IF($N62&gt;=20,15,IF($N62&gt;=6,13,10)))),0)+IF($H63=1,IF($L$1&lt;7,10,IF(AND($L$1=7,$O62=0,$V62&gt;1),15,IF($O62&gt;=20,15,IF($O62&gt;=6,13,10)))),0)</f>
        <v/>
      </c>
      <c r="Z63" s="38">
        <f>$Z62+$Y63</f>
        <v/>
      </c>
      <c r="AA63" s="38">
        <f>IF(AND($B63=1,AND($F$1=7,$I62=0,$P62&gt;1)),1,0)+IF(AND($C63=1,AND($G$1=7,$J62=0,$Q62&gt;1)),1,0)+IF(AND($D63=1,AND($H$1=7,$K62=0,$R62&gt;1)),1,0)+IF(AND($E63=1,AND($I$1=7,$L62=0,$S62&gt;1)),1,0)+IF(AND($F63=1,AND($J$1=7,$M62=0,$T62&gt;1)),1,0)+IF(AND($G63=1,AND($K$1=7,$N62=0,$U62&gt;1)),1,0)+IF(AND($H63=1,AND($L$1=7,$O62=0,$V62&gt;1)),1,0)</f>
        <v/>
      </c>
      <c r="AB63" s="38">
        <f>IF(IFERROR('Фев'!$I27,"")="",0,$AB62+1)</f>
        <v/>
      </c>
    </row>
    <row r="64" spans="1:28">
      <c r="A64" s="38">
        <f>IF($B$1&gt;=DATE(2026,2,23),1,0)</f>
        <v/>
      </c>
      <c r="B64" s="38">
        <f>IFERROR(IF('Фев'!$B28=TRUE,1,0),0)</f>
        <v/>
      </c>
      <c r="C64" s="38">
        <f>IFERROR(IF('Фев'!$C28=TRUE,1,0),0)</f>
        <v/>
      </c>
      <c r="D64" s="38">
        <f>IFERROR(IF('Фев'!$D28=TRUE,1,0),0)</f>
        <v/>
      </c>
      <c r="E64" s="38">
        <f>IFERROR(IF('Фев'!$E28=TRUE,1,0),0)</f>
        <v/>
      </c>
      <c r="F64" s="38">
        <f>IFERROR(IF('Фев'!$F28=TRUE,1,0),0)</f>
        <v/>
      </c>
      <c r="G64" s="38">
        <f>IFERROR(IF('Фев'!$G28=TRUE,1,0),0)</f>
        <v/>
      </c>
      <c r="H64" s="38">
        <f>IFERROR(IF('Фев'!$H28=TRUE,1,0),0)</f>
        <v/>
      </c>
      <c r="I64" s="38">
        <f>IF($A64=0,$I63,IF($B64=1,$I63+1,IF($P64&lt;=1,$I63,0)))</f>
        <v/>
      </c>
      <c r="J64" s="38">
        <f>IF($A64=0,$J63,IF($C64=1,$J63+1,IF($Q64&lt;=1,$J63,0)))</f>
        <v/>
      </c>
      <c r="K64" s="38">
        <f>IF($A64=0,$K63,IF($D64=1,$K63+1,IF($R64&lt;=1,$K63,0)))</f>
        <v/>
      </c>
      <c r="L64" s="38">
        <f>IF($A64=0,$L63,IF($E64=1,$L63+1,IF($S64&lt;=1,$L63,0)))</f>
        <v/>
      </c>
      <c r="M64" s="38">
        <f>IF($A64=0,$M63,IF($F64=1,$M63+1,IF($T64&lt;=1,$M63,0)))</f>
        <v/>
      </c>
      <c r="N64" s="38">
        <f>IF($A64=0,$N63,IF($G64=1,$N63+1,IF($U64&lt;=1,$N63,0)))</f>
        <v/>
      </c>
      <c r="O64" s="38">
        <f>IF($A64=0,$O63,IF($H64=1,$O63+1,IF($V64&lt;=1,$O63,0)))</f>
        <v/>
      </c>
      <c r="P64" s="38">
        <f>IF($A64=0,$P63,$P63+IF($B64=1,0,1))</f>
        <v/>
      </c>
      <c r="Q64" s="38">
        <f>IF($A64=0,$Q63,$Q63+IF($C64=1,0,1))</f>
        <v/>
      </c>
      <c r="R64" s="38">
        <f>IF($A64=0,$R63,$R63+IF($D64=1,0,1))</f>
        <v/>
      </c>
      <c r="S64" s="38">
        <f>IF($A64=0,$S63,$S63+IF($E64=1,0,1))</f>
        <v/>
      </c>
      <c r="T64" s="38">
        <f>IF($A64=0,$T63,$T63+IF($F64=1,0,1))</f>
        <v/>
      </c>
      <c r="U64" s="38">
        <f>IF($A64=0,$U63,$U63+IF($G64=1,0,1))</f>
        <v/>
      </c>
      <c r="V64" s="38">
        <f>IF($A64=0,$V63,$V63+IF($H64=1,0,1))</f>
        <v/>
      </c>
      <c r="W64" s="38">
        <f>SUM($B64:$H64)</f>
        <v/>
      </c>
      <c r="X64" s="38">
        <f>IF(AND($A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64=1),1,0)+IF(AND($G$1=7,$C64=1),1,0)+IF(AND($H$1=7,$D64=1),1,0)+IF(AND($I$1=7,$E64=1),1,0)+IF(AND($J$1=7,$F64=1),1,0)+IF(AND($K$1=7,$G64=1),1,0)+IF(AND($L$1=7,$H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4" s="38">
        <f>IF($B64=1,IF($F$1&lt;7,10,IF(AND($F$1=7,$I63=0,$P63&gt;1),15,IF($I63&gt;=20,15,IF($I63&gt;=6,13,10)))),0)+IF($C64=1,IF($G$1&lt;7,10,IF(AND($G$1=7,$J63=0,$Q63&gt;1),15,IF($J63&gt;=20,15,IF($J63&gt;=6,13,10)))),0)+IF($D64=1,IF($H$1&lt;7,10,IF(AND($H$1=7,$K63=0,$R63&gt;1),15,IF($K63&gt;=20,15,IF($K63&gt;=6,13,10)))),0)+IF($E64=1,IF($I$1&lt;7,10,IF(AND($I$1=7,$L63=0,$S63&gt;1),15,IF($L63&gt;=20,15,IF($L63&gt;=6,13,10)))),0)+IF($F64=1,IF($J$1&lt;7,10,IF(AND($J$1=7,$M63=0,$T63&gt;1),15,IF($M63&gt;=20,15,IF($M63&gt;=6,13,10)))),0)+IF($G64=1,IF($K$1&lt;7,10,IF(AND($K$1=7,$N63=0,$U63&gt;1),15,IF($N63&gt;=20,15,IF($N63&gt;=6,13,10)))),0)+IF($H64=1,IF($L$1&lt;7,10,IF(AND($L$1=7,$O63=0,$V63&gt;1),15,IF($O63&gt;=20,15,IF($O63&gt;=6,13,10)))),0)</f>
        <v/>
      </c>
      <c r="Z64" s="38">
        <f>$Z63+$Y64</f>
        <v/>
      </c>
      <c r="AA64" s="38">
        <f>IF(AND($B64=1,AND($F$1=7,$I63=0,$P63&gt;1)),1,0)+IF(AND($C64=1,AND($G$1=7,$J63=0,$Q63&gt;1)),1,0)+IF(AND($D64=1,AND($H$1=7,$K63=0,$R63&gt;1)),1,0)+IF(AND($E64=1,AND($I$1=7,$L63=0,$S63&gt;1)),1,0)+IF(AND($F64=1,AND($J$1=7,$M63=0,$T63&gt;1)),1,0)+IF(AND($G64=1,AND($K$1=7,$N63=0,$U63&gt;1)),1,0)+IF(AND($H64=1,AND($L$1=7,$O63=0,$V63&gt;1)),1,0)</f>
        <v/>
      </c>
      <c r="AB64" s="38">
        <f>IF(IFERROR('Фев'!$I28,"")="",0,$AB63+1)</f>
        <v/>
      </c>
    </row>
    <row r="65" spans="1:28">
      <c r="A65" s="38">
        <f>IF($B$1&gt;=DATE(2026,2,24),1,0)</f>
        <v/>
      </c>
      <c r="B65" s="38">
        <f>IFERROR(IF('Фев'!$B29=TRUE,1,0),0)</f>
        <v/>
      </c>
      <c r="C65" s="38">
        <f>IFERROR(IF('Фев'!$C29=TRUE,1,0),0)</f>
        <v/>
      </c>
      <c r="D65" s="38">
        <f>IFERROR(IF('Фев'!$D29=TRUE,1,0),0)</f>
        <v/>
      </c>
      <c r="E65" s="38">
        <f>IFERROR(IF('Фев'!$E29=TRUE,1,0),0)</f>
        <v/>
      </c>
      <c r="F65" s="38">
        <f>IFERROR(IF('Фев'!$F29=TRUE,1,0),0)</f>
        <v/>
      </c>
      <c r="G65" s="38">
        <f>IFERROR(IF('Фев'!$G29=TRUE,1,0),0)</f>
        <v/>
      </c>
      <c r="H65" s="38">
        <f>IFERROR(IF('Фев'!$H29=TRUE,1,0),0)</f>
        <v/>
      </c>
      <c r="I65" s="38">
        <f>IF($A65=0,$I64,IF($B65=1,$I64+1,IF($P65&lt;=1,$I64,0)))</f>
        <v/>
      </c>
      <c r="J65" s="38">
        <f>IF($A65=0,$J64,IF($C65=1,$J64+1,IF($Q65&lt;=1,$J64,0)))</f>
        <v/>
      </c>
      <c r="K65" s="38">
        <f>IF($A65=0,$K64,IF($D65=1,$K64+1,IF($R65&lt;=1,$K64,0)))</f>
        <v/>
      </c>
      <c r="L65" s="38">
        <f>IF($A65=0,$L64,IF($E65=1,$L64+1,IF($S65&lt;=1,$L64,0)))</f>
        <v/>
      </c>
      <c r="M65" s="38">
        <f>IF($A65=0,$M64,IF($F65=1,$M64+1,IF($T65&lt;=1,$M64,0)))</f>
        <v/>
      </c>
      <c r="N65" s="38">
        <f>IF($A65=0,$N64,IF($G65=1,$N64+1,IF($U65&lt;=1,$N64,0)))</f>
        <v/>
      </c>
      <c r="O65" s="38">
        <f>IF($A65=0,$O64,IF($H65=1,$O64+1,IF($V65&lt;=1,$O64,0)))</f>
        <v/>
      </c>
      <c r="P65" s="38">
        <f>IF($A65=0,$P64,$P64+IF($B65=1,0,1))</f>
        <v/>
      </c>
      <c r="Q65" s="38">
        <f>IF($A65=0,$Q64,$Q64+IF($C65=1,0,1))</f>
        <v/>
      </c>
      <c r="R65" s="38">
        <f>IF($A65=0,$R64,$R64+IF($D65=1,0,1))</f>
        <v/>
      </c>
      <c r="S65" s="38">
        <f>IF($A65=0,$S64,$S64+IF($E65=1,0,1))</f>
        <v/>
      </c>
      <c r="T65" s="38">
        <f>IF($A65=0,$T64,$T64+IF($F65=1,0,1))</f>
        <v/>
      </c>
      <c r="U65" s="38">
        <f>IF($A65=0,$U64,$U64+IF($G65=1,0,1))</f>
        <v/>
      </c>
      <c r="V65" s="38">
        <f>IF($A65=0,$V64,$V64+IF($H65=1,0,1))</f>
        <v/>
      </c>
      <c r="W65" s="38">
        <f>SUM($B65:$H65)</f>
        <v/>
      </c>
      <c r="X65" s="38">
        <f>IF(AND($A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65=1),1,0)+IF(AND($G$1=7,$C65=1),1,0)+IF(AND($H$1=7,$D65=1),1,0)+IF(AND($I$1=7,$E65=1),1,0)+IF(AND($J$1=7,$F65=1),1,0)+IF(AND($K$1=7,$G65=1),1,0)+IF(AND($L$1=7,$H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5" s="38">
        <f>IF($B65=1,IF($F$1&lt;7,10,IF(AND($F$1=7,$I64=0,$P64&gt;1),15,IF($I64&gt;=20,15,IF($I64&gt;=6,13,10)))),0)+IF($C65=1,IF($G$1&lt;7,10,IF(AND($G$1=7,$J64=0,$Q64&gt;1),15,IF($J64&gt;=20,15,IF($J64&gt;=6,13,10)))),0)+IF($D65=1,IF($H$1&lt;7,10,IF(AND($H$1=7,$K64=0,$R64&gt;1),15,IF($K64&gt;=20,15,IF($K64&gt;=6,13,10)))),0)+IF($E65=1,IF($I$1&lt;7,10,IF(AND($I$1=7,$L64=0,$S64&gt;1),15,IF($L64&gt;=20,15,IF($L64&gt;=6,13,10)))),0)+IF($F65=1,IF($J$1&lt;7,10,IF(AND($J$1=7,$M64=0,$T64&gt;1),15,IF($M64&gt;=20,15,IF($M64&gt;=6,13,10)))),0)+IF($G65=1,IF($K$1&lt;7,10,IF(AND($K$1=7,$N64=0,$U64&gt;1),15,IF($N64&gt;=20,15,IF($N64&gt;=6,13,10)))),0)+IF($H65=1,IF($L$1&lt;7,10,IF(AND($L$1=7,$O64=0,$V64&gt;1),15,IF($O64&gt;=20,15,IF($O64&gt;=6,13,10)))),0)</f>
        <v/>
      </c>
      <c r="Z65" s="38">
        <f>$Z64+$Y65</f>
        <v/>
      </c>
      <c r="AA65" s="38">
        <f>IF(AND($B65=1,AND($F$1=7,$I64=0,$P64&gt;1)),1,0)+IF(AND($C65=1,AND($G$1=7,$J64=0,$Q64&gt;1)),1,0)+IF(AND($D65=1,AND($H$1=7,$K64=0,$R64&gt;1)),1,0)+IF(AND($E65=1,AND($I$1=7,$L64=0,$S64&gt;1)),1,0)+IF(AND($F65=1,AND($J$1=7,$M64=0,$T64&gt;1)),1,0)+IF(AND($G65=1,AND($K$1=7,$N64=0,$U64&gt;1)),1,0)+IF(AND($H65=1,AND($L$1=7,$O64=0,$V64&gt;1)),1,0)</f>
        <v/>
      </c>
      <c r="AB65" s="38">
        <f>IF(IFERROR('Фев'!$I29,"")="",0,$AB64+1)</f>
        <v/>
      </c>
    </row>
    <row r="66" spans="1:28">
      <c r="A66" s="38">
        <f>IF($B$1&gt;=DATE(2026,2,25),1,0)</f>
        <v/>
      </c>
      <c r="B66" s="38">
        <f>IFERROR(IF('Фев'!$B30=TRUE,1,0),0)</f>
        <v/>
      </c>
      <c r="C66" s="38">
        <f>IFERROR(IF('Фев'!$C30=TRUE,1,0),0)</f>
        <v/>
      </c>
      <c r="D66" s="38">
        <f>IFERROR(IF('Фев'!$D30=TRUE,1,0),0)</f>
        <v/>
      </c>
      <c r="E66" s="38">
        <f>IFERROR(IF('Фев'!$E30=TRUE,1,0),0)</f>
        <v/>
      </c>
      <c r="F66" s="38">
        <f>IFERROR(IF('Фев'!$F30=TRUE,1,0),0)</f>
        <v/>
      </c>
      <c r="G66" s="38">
        <f>IFERROR(IF('Фев'!$G30=TRUE,1,0),0)</f>
        <v/>
      </c>
      <c r="H66" s="38">
        <f>IFERROR(IF('Фев'!$H30=TRUE,1,0),0)</f>
        <v/>
      </c>
      <c r="I66" s="38">
        <f>IF($A66=0,$I65,IF($B66=1,$I65+1,IF($P66&lt;=1,$I65,0)))</f>
        <v/>
      </c>
      <c r="J66" s="38">
        <f>IF($A66=0,$J65,IF($C66=1,$J65+1,IF($Q66&lt;=1,$J65,0)))</f>
        <v/>
      </c>
      <c r="K66" s="38">
        <f>IF($A66=0,$K65,IF($D66=1,$K65+1,IF($R66&lt;=1,$K65,0)))</f>
        <v/>
      </c>
      <c r="L66" s="38">
        <f>IF($A66=0,$L65,IF($E66=1,$L65+1,IF($S66&lt;=1,$L65,0)))</f>
        <v/>
      </c>
      <c r="M66" s="38">
        <f>IF($A66=0,$M65,IF($F66=1,$M65+1,IF($T66&lt;=1,$M65,0)))</f>
        <v/>
      </c>
      <c r="N66" s="38">
        <f>IF($A66=0,$N65,IF($G66=1,$N65+1,IF($U66&lt;=1,$N65,0)))</f>
        <v/>
      </c>
      <c r="O66" s="38">
        <f>IF($A66=0,$O65,IF($H66=1,$O65+1,IF($V66&lt;=1,$O65,0)))</f>
        <v/>
      </c>
      <c r="P66" s="38">
        <f>IF($A66=0,$P65,$P65+IF($B66=1,0,1))</f>
        <v/>
      </c>
      <c r="Q66" s="38">
        <f>IF($A66=0,$Q65,$Q65+IF($C66=1,0,1))</f>
        <v/>
      </c>
      <c r="R66" s="38">
        <f>IF($A66=0,$R65,$R65+IF($D66=1,0,1))</f>
        <v/>
      </c>
      <c r="S66" s="38">
        <f>IF($A66=0,$S65,$S65+IF($E66=1,0,1))</f>
        <v/>
      </c>
      <c r="T66" s="38">
        <f>IF($A66=0,$T65,$T65+IF($F66=1,0,1))</f>
        <v/>
      </c>
      <c r="U66" s="38">
        <f>IF($A66=0,$U65,$U65+IF($G66=1,0,1))</f>
        <v/>
      </c>
      <c r="V66" s="38">
        <f>IF($A66=0,$V65,$V65+IF($H66=1,0,1))</f>
        <v/>
      </c>
      <c r="W66" s="38">
        <f>SUM($B66:$H66)</f>
        <v/>
      </c>
      <c r="X66" s="38">
        <f>IF(AND($A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66=1),1,0)+IF(AND($G$1=7,$C66=1),1,0)+IF(AND($H$1=7,$D66=1),1,0)+IF(AND($I$1=7,$E66=1),1,0)+IF(AND($J$1=7,$F66=1),1,0)+IF(AND($K$1=7,$G66=1),1,0)+IF(AND($L$1=7,$H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6" s="38">
        <f>IF($B66=1,IF($F$1&lt;7,10,IF(AND($F$1=7,$I65=0,$P65&gt;1),15,IF($I65&gt;=20,15,IF($I65&gt;=6,13,10)))),0)+IF($C66=1,IF($G$1&lt;7,10,IF(AND($G$1=7,$J65=0,$Q65&gt;1),15,IF($J65&gt;=20,15,IF($J65&gt;=6,13,10)))),0)+IF($D66=1,IF($H$1&lt;7,10,IF(AND($H$1=7,$K65=0,$R65&gt;1),15,IF($K65&gt;=20,15,IF($K65&gt;=6,13,10)))),0)+IF($E66=1,IF($I$1&lt;7,10,IF(AND($I$1=7,$L65=0,$S65&gt;1),15,IF($L65&gt;=20,15,IF($L65&gt;=6,13,10)))),0)+IF($F66=1,IF($J$1&lt;7,10,IF(AND($J$1=7,$M65=0,$T65&gt;1),15,IF($M65&gt;=20,15,IF($M65&gt;=6,13,10)))),0)+IF($G66=1,IF($K$1&lt;7,10,IF(AND($K$1=7,$N65=0,$U65&gt;1),15,IF($N65&gt;=20,15,IF($N65&gt;=6,13,10)))),0)+IF($H66=1,IF($L$1&lt;7,10,IF(AND($L$1=7,$O65=0,$V65&gt;1),15,IF($O65&gt;=20,15,IF($O65&gt;=6,13,10)))),0)</f>
        <v/>
      </c>
      <c r="Z66" s="38">
        <f>$Z65+$Y66</f>
        <v/>
      </c>
      <c r="AA66" s="38">
        <f>IF(AND($B66=1,AND($F$1=7,$I65=0,$P65&gt;1)),1,0)+IF(AND($C66=1,AND($G$1=7,$J65=0,$Q65&gt;1)),1,0)+IF(AND($D66=1,AND($H$1=7,$K65=0,$R65&gt;1)),1,0)+IF(AND($E66=1,AND($I$1=7,$L65=0,$S65&gt;1)),1,0)+IF(AND($F66=1,AND($J$1=7,$M65=0,$T65&gt;1)),1,0)+IF(AND($G66=1,AND($K$1=7,$N65=0,$U65&gt;1)),1,0)+IF(AND($H66=1,AND($L$1=7,$O65=0,$V65&gt;1)),1,0)</f>
        <v/>
      </c>
      <c r="AB66" s="38">
        <f>IF(IFERROR('Фев'!$I30,"")="",0,$AB65+1)</f>
        <v/>
      </c>
    </row>
    <row r="67" spans="1:28">
      <c r="A67" s="38">
        <f>IF($B$1&gt;=DATE(2026,2,26),1,0)</f>
        <v/>
      </c>
      <c r="B67" s="38">
        <f>IFERROR(IF('Фев'!$B31=TRUE,1,0),0)</f>
        <v/>
      </c>
      <c r="C67" s="38">
        <f>IFERROR(IF('Фев'!$C31=TRUE,1,0),0)</f>
        <v/>
      </c>
      <c r="D67" s="38">
        <f>IFERROR(IF('Фев'!$D31=TRUE,1,0),0)</f>
        <v/>
      </c>
      <c r="E67" s="38">
        <f>IFERROR(IF('Фев'!$E31=TRUE,1,0),0)</f>
        <v/>
      </c>
      <c r="F67" s="38">
        <f>IFERROR(IF('Фев'!$F31=TRUE,1,0),0)</f>
        <v/>
      </c>
      <c r="G67" s="38">
        <f>IFERROR(IF('Фев'!$G31=TRUE,1,0),0)</f>
        <v/>
      </c>
      <c r="H67" s="38">
        <f>IFERROR(IF('Фев'!$H31=TRUE,1,0),0)</f>
        <v/>
      </c>
      <c r="I67" s="38">
        <f>IF($A67=0,$I66,IF($B67=1,$I66+1,IF($P67&lt;=1,$I66,0)))</f>
        <v/>
      </c>
      <c r="J67" s="38">
        <f>IF($A67=0,$J66,IF($C67=1,$J66+1,IF($Q67&lt;=1,$J66,0)))</f>
        <v/>
      </c>
      <c r="K67" s="38">
        <f>IF($A67=0,$K66,IF($D67=1,$K66+1,IF($R67&lt;=1,$K66,0)))</f>
        <v/>
      </c>
      <c r="L67" s="38">
        <f>IF($A67=0,$L66,IF($E67=1,$L66+1,IF($S67&lt;=1,$L66,0)))</f>
        <v/>
      </c>
      <c r="M67" s="38">
        <f>IF($A67=0,$M66,IF($F67=1,$M66+1,IF($T67&lt;=1,$M66,0)))</f>
        <v/>
      </c>
      <c r="N67" s="38">
        <f>IF($A67=0,$N66,IF($G67=1,$N66+1,IF($U67&lt;=1,$N66,0)))</f>
        <v/>
      </c>
      <c r="O67" s="38">
        <f>IF($A67=0,$O66,IF($H67=1,$O66+1,IF($V67&lt;=1,$O66,0)))</f>
        <v/>
      </c>
      <c r="P67" s="38">
        <f>IF($A67=0,$P66,$P66+IF($B67=1,0,1))</f>
        <v/>
      </c>
      <c r="Q67" s="38">
        <f>IF($A67=0,$Q66,$Q66+IF($C67=1,0,1))</f>
        <v/>
      </c>
      <c r="R67" s="38">
        <f>IF($A67=0,$R66,$R66+IF($D67=1,0,1))</f>
        <v/>
      </c>
      <c r="S67" s="38">
        <f>IF($A67=0,$S66,$S66+IF($E67=1,0,1))</f>
        <v/>
      </c>
      <c r="T67" s="38">
        <f>IF($A67=0,$T66,$T66+IF($F67=1,0,1))</f>
        <v/>
      </c>
      <c r="U67" s="38">
        <f>IF($A67=0,$U66,$U66+IF($G67=1,0,1))</f>
        <v/>
      </c>
      <c r="V67" s="38">
        <f>IF($A67=0,$V66,$V66+IF($H67=1,0,1))</f>
        <v/>
      </c>
      <c r="W67" s="38">
        <f>SUM($B67:$H67)</f>
        <v/>
      </c>
      <c r="X67" s="38">
        <f>IF(AND($A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67=1),1,0)+IF(AND($G$1=7,$C67=1),1,0)+IF(AND($H$1=7,$D67=1),1,0)+IF(AND($I$1=7,$E67=1),1,0)+IF(AND($J$1=7,$F67=1),1,0)+IF(AND($K$1=7,$G67=1),1,0)+IF(AND($L$1=7,$H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7" s="38">
        <f>IF($B67=1,IF($F$1&lt;7,10,IF(AND($F$1=7,$I66=0,$P66&gt;1),15,IF($I66&gt;=20,15,IF($I66&gt;=6,13,10)))),0)+IF($C67=1,IF($G$1&lt;7,10,IF(AND($G$1=7,$J66=0,$Q66&gt;1),15,IF($J66&gt;=20,15,IF($J66&gt;=6,13,10)))),0)+IF($D67=1,IF($H$1&lt;7,10,IF(AND($H$1=7,$K66=0,$R66&gt;1),15,IF($K66&gt;=20,15,IF($K66&gt;=6,13,10)))),0)+IF($E67=1,IF($I$1&lt;7,10,IF(AND($I$1=7,$L66=0,$S66&gt;1),15,IF($L66&gt;=20,15,IF($L66&gt;=6,13,10)))),0)+IF($F67=1,IF($J$1&lt;7,10,IF(AND($J$1=7,$M66=0,$T66&gt;1),15,IF($M66&gt;=20,15,IF($M66&gt;=6,13,10)))),0)+IF($G67=1,IF($K$1&lt;7,10,IF(AND($K$1=7,$N66=0,$U66&gt;1),15,IF($N66&gt;=20,15,IF($N66&gt;=6,13,10)))),0)+IF($H67=1,IF($L$1&lt;7,10,IF(AND($L$1=7,$O66=0,$V66&gt;1),15,IF($O66&gt;=20,15,IF($O66&gt;=6,13,10)))),0)</f>
        <v/>
      </c>
      <c r="Z67" s="38">
        <f>$Z66+$Y67</f>
        <v/>
      </c>
      <c r="AA67" s="38">
        <f>IF(AND($B67=1,AND($F$1=7,$I66=0,$P66&gt;1)),1,0)+IF(AND($C67=1,AND($G$1=7,$J66=0,$Q66&gt;1)),1,0)+IF(AND($D67=1,AND($H$1=7,$K66=0,$R66&gt;1)),1,0)+IF(AND($E67=1,AND($I$1=7,$L66=0,$S66&gt;1)),1,0)+IF(AND($F67=1,AND($J$1=7,$M66=0,$T66&gt;1)),1,0)+IF(AND($G67=1,AND($K$1=7,$N66=0,$U66&gt;1)),1,0)+IF(AND($H67=1,AND($L$1=7,$O66=0,$V66&gt;1)),1,0)</f>
        <v/>
      </c>
      <c r="AB67" s="38">
        <f>IF(IFERROR('Фев'!$I31,"")="",0,$AB66+1)</f>
        <v/>
      </c>
    </row>
    <row r="68" spans="1:28">
      <c r="A68" s="38">
        <f>IF($B$1&gt;=DATE(2026,2,27),1,0)</f>
        <v/>
      </c>
      <c r="B68" s="38">
        <f>IFERROR(IF('Фев'!$B32=TRUE,1,0),0)</f>
        <v/>
      </c>
      <c r="C68" s="38">
        <f>IFERROR(IF('Фев'!$C32=TRUE,1,0),0)</f>
        <v/>
      </c>
      <c r="D68" s="38">
        <f>IFERROR(IF('Фев'!$D32=TRUE,1,0),0)</f>
        <v/>
      </c>
      <c r="E68" s="38">
        <f>IFERROR(IF('Фев'!$E32=TRUE,1,0),0)</f>
        <v/>
      </c>
      <c r="F68" s="38">
        <f>IFERROR(IF('Фев'!$F32=TRUE,1,0),0)</f>
        <v/>
      </c>
      <c r="G68" s="38">
        <f>IFERROR(IF('Фев'!$G32=TRUE,1,0),0)</f>
        <v/>
      </c>
      <c r="H68" s="38">
        <f>IFERROR(IF('Фев'!$H32=TRUE,1,0),0)</f>
        <v/>
      </c>
      <c r="I68" s="38">
        <f>IF($A68=0,$I67,IF($B68=1,$I67+1,IF($P68&lt;=1,$I67,0)))</f>
        <v/>
      </c>
      <c r="J68" s="38">
        <f>IF($A68=0,$J67,IF($C68=1,$J67+1,IF($Q68&lt;=1,$J67,0)))</f>
        <v/>
      </c>
      <c r="K68" s="38">
        <f>IF($A68=0,$K67,IF($D68=1,$K67+1,IF($R68&lt;=1,$K67,0)))</f>
        <v/>
      </c>
      <c r="L68" s="38">
        <f>IF($A68=0,$L67,IF($E68=1,$L67+1,IF($S68&lt;=1,$L67,0)))</f>
        <v/>
      </c>
      <c r="M68" s="38">
        <f>IF($A68=0,$M67,IF($F68=1,$M67+1,IF($T68&lt;=1,$M67,0)))</f>
        <v/>
      </c>
      <c r="N68" s="38">
        <f>IF($A68=0,$N67,IF($G68=1,$N67+1,IF($U68&lt;=1,$N67,0)))</f>
        <v/>
      </c>
      <c r="O68" s="38">
        <f>IF($A68=0,$O67,IF($H68=1,$O67+1,IF($V68&lt;=1,$O67,0)))</f>
        <v/>
      </c>
      <c r="P68" s="38">
        <f>IF($A68=0,$P67,$P67+IF($B68=1,0,1))</f>
        <v/>
      </c>
      <c r="Q68" s="38">
        <f>IF($A68=0,$Q67,$Q67+IF($C68=1,0,1))</f>
        <v/>
      </c>
      <c r="R68" s="38">
        <f>IF($A68=0,$R67,$R67+IF($D68=1,0,1))</f>
        <v/>
      </c>
      <c r="S68" s="38">
        <f>IF($A68=0,$S67,$S67+IF($E68=1,0,1))</f>
        <v/>
      </c>
      <c r="T68" s="38">
        <f>IF($A68=0,$T67,$T67+IF($F68=1,0,1))</f>
        <v/>
      </c>
      <c r="U68" s="38">
        <f>IF($A68=0,$U67,$U67+IF($G68=1,0,1))</f>
        <v/>
      </c>
      <c r="V68" s="38">
        <f>IF($A68=0,$V67,$V67+IF($H68=1,0,1))</f>
        <v/>
      </c>
      <c r="W68" s="38">
        <f>SUM($B68:$H68)</f>
        <v/>
      </c>
      <c r="X68" s="38">
        <f>IF(AND($A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68=1),1,0)+IF(AND($G$1=7,$C68=1),1,0)+IF(AND($H$1=7,$D68=1),1,0)+IF(AND($I$1=7,$E68=1),1,0)+IF(AND($J$1=7,$F68=1),1,0)+IF(AND($K$1=7,$G68=1),1,0)+IF(AND($L$1=7,$H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8" s="38">
        <f>IF($B68=1,IF($F$1&lt;7,10,IF(AND($F$1=7,$I67=0,$P67&gt;1),15,IF($I67&gt;=20,15,IF($I67&gt;=6,13,10)))),0)+IF($C68=1,IF($G$1&lt;7,10,IF(AND($G$1=7,$J67=0,$Q67&gt;1),15,IF($J67&gt;=20,15,IF($J67&gt;=6,13,10)))),0)+IF($D68=1,IF($H$1&lt;7,10,IF(AND($H$1=7,$K67=0,$R67&gt;1),15,IF($K67&gt;=20,15,IF($K67&gt;=6,13,10)))),0)+IF($E68=1,IF($I$1&lt;7,10,IF(AND($I$1=7,$L67=0,$S67&gt;1),15,IF($L67&gt;=20,15,IF($L67&gt;=6,13,10)))),0)+IF($F68=1,IF($J$1&lt;7,10,IF(AND($J$1=7,$M67=0,$T67&gt;1),15,IF($M67&gt;=20,15,IF($M67&gt;=6,13,10)))),0)+IF($G68=1,IF($K$1&lt;7,10,IF(AND($K$1=7,$N67=0,$U67&gt;1),15,IF($N67&gt;=20,15,IF($N67&gt;=6,13,10)))),0)+IF($H68=1,IF($L$1&lt;7,10,IF(AND($L$1=7,$O67=0,$V67&gt;1),15,IF($O67&gt;=20,15,IF($O67&gt;=6,13,10)))),0)</f>
        <v/>
      </c>
      <c r="Z68" s="38">
        <f>$Z67+$Y68</f>
        <v/>
      </c>
      <c r="AA68" s="38">
        <f>IF(AND($B68=1,AND($F$1=7,$I67=0,$P67&gt;1)),1,0)+IF(AND($C68=1,AND($G$1=7,$J67=0,$Q67&gt;1)),1,0)+IF(AND($D68=1,AND($H$1=7,$K67=0,$R67&gt;1)),1,0)+IF(AND($E68=1,AND($I$1=7,$L67=0,$S67&gt;1)),1,0)+IF(AND($F68=1,AND($J$1=7,$M67=0,$T67&gt;1)),1,0)+IF(AND($G68=1,AND($K$1=7,$N67=0,$U67&gt;1)),1,0)+IF(AND($H68=1,AND($L$1=7,$O67=0,$V67&gt;1)),1,0)</f>
        <v/>
      </c>
      <c r="AB68" s="38">
        <f>IF(IFERROR('Фев'!$I32,"")="",0,$AB67+1)</f>
        <v/>
      </c>
    </row>
    <row r="69" spans="1:28">
      <c r="A69" s="38">
        <f>IF($B$1&gt;=DATE(2026,2,28),1,0)</f>
        <v/>
      </c>
      <c r="B69" s="38">
        <f>IFERROR(IF('Фев'!$B33=TRUE,1,0),0)</f>
        <v/>
      </c>
      <c r="C69" s="38">
        <f>IFERROR(IF('Фев'!$C33=TRUE,1,0),0)</f>
        <v/>
      </c>
      <c r="D69" s="38">
        <f>IFERROR(IF('Фев'!$D33=TRUE,1,0),0)</f>
        <v/>
      </c>
      <c r="E69" s="38">
        <f>IFERROR(IF('Фев'!$E33=TRUE,1,0),0)</f>
        <v/>
      </c>
      <c r="F69" s="38">
        <f>IFERROR(IF('Фев'!$F33=TRUE,1,0),0)</f>
        <v/>
      </c>
      <c r="G69" s="38">
        <f>IFERROR(IF('Фев'!$G33=TRUE,1,0),0)</f>
        <v/>
      </c>
      <c r="H69" s="38">
        <f>IFERROR(IF('Фев'!$H33=TRUE,1,0),0)</f>
        <v/>
      </c>
      <c r="I69" s="38">
        <f>IF($A69=0,$I68,IF($B69=1,$I68+1,IF($P69&lt;=1,$I68,0)))</f>
        <v/>
      </c>
      <c r="J69" s="38">
        <f>IF($A69=0,$J68,IF($C69=1,$J68+1,IF($Q69&lt;=1,$J68,0)))</f>
        <v/>
      </c>
      <c r="K69" s="38">
        <f>IF($A69=0,$K68,IF($D69=1,$K68+1,IF($R69&lt;=1,$K68,0)))</f>
        <v/>
      </c>
      <c r="L69" s="38">
        <f>IF($A69=0,$L68,IF($E69=1,$L68+1,IF($S69&lt;=1,$L68,0)))</f>
        <v/>
      </c>
      <c r="M69" s="38">
        <f>IF($A69=0,$M68,IF($F69=1,$M68+1,IF($T69&lt;=1,$M68,0)))</f>
        <v/>
      </c>
      <c r="N69" s="38">
        <f>IF($A69=0,$N68,IF($G69=1,$N68+1,IF($U69&lt;=1,$N68,0)))</f>
        <v/>
      </c>
      <c r="O69" s="38">
        <f>IF($A69=0,$O68,IF($H69=1,$O68+1,IF($V69&lt;=1,$O68,0)))</f>
        <v/>
      </c>
      <c r="P69" s="38">
        <f>IF($A69=0,$P68,$P68+IF($B69=1,0,1))</f>
        <v/>
      </c>
      <c r="Q69" s="38">
        <f>IF($A69=0,$Q68,$Q68+IF($C69=1,0,1))</f>
        <v/>
      </c>
      <c r="R69" s="38">
        <f>IF($A69=0,$R68,$R68+IF($D69=1,0,1))</f>
        <v/>
      </c>
      <c r="S69" s="38">
        <f>IF($A69=0,$S68,$S68+IF($E69=1,0,1))</f>
        <v/>
      </c>
      <c r="T69" s="38">
        <f>IF($A69=0,$T68,$T68+IF($F69=1,0,1))</f>
        <v/>
      </c>
      <c r="U69" s="38">
        <f>IF($A69=0,$U68,$U68+IF($G69=1,0,1))</f>
        <v/>
      </c>
      <c r="V69" s="38">
        <f>IF($A69=0,$V68,$V68+IF($H69=1,0,1))</f>
        <v/>
      </c>
      <c r="W69" s="38">
        <f>SUM($B69:$H69)</f>
        <v/>
      </c>
      <c r="X69" s="38">
        <f>IF(AND($A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69=1),1,0)+IF(AND($G$1=7,$C69=1),1,0)+IF(AND($H$1=7,$D69=1),1,0)+IF(AND($I$1=7,$E69=1),1,0)+IF(AND($J$1=7,$F69=1),1,0)+IF(AND($K$1=7,$G69=1),1,0)+IF(AND($L$1=7,$H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9" s="38">
        <f>IF($B69=1,IF($F$1&lt;7,10,IF(AND($F$1=7,$I68=0,$P68&gt;1),15,IF($I68&gt;=20,15,IF($I68&gt;=6,13,10)))),0)+IF($C69=1,IF($G$1&lt;7,10,IF(AND($G$1=7,$J68=0,$Q68&gt;1),15,IF($J68&gt;=20,15,IF($J68&gt;=6,13,10)))),0)+IF($D69=1,IF($H$1&lt;7,10,IF(AND($H$1=7,$K68=0,$R68&gt;1),15,IF($K68&gt;=20,15,IF($K68&gt;=6,13,10)))),0)+IF($E69=1,IF($I$1&lt;7,10,IF(AND($I$1=7,$L68=0,$S68&gt;1),15,IF($L68&gt;=20,15,IF($L68&gt;=6,13,10)))),0)+IF($F69=1,IF($J$1&lt;7,10,IF(AND($J$1=7,$M68=0,$T68&gt;1),15,IF($M68&gt;=20,15,IF($M68&gt;=6,13,10)))),0)+IF($G69=1,IF($K$1&lt;7,10,IF(AND($K$1=7,$N68=0,$U68&gt;1),15,IF($N68&gt;=20,15,IF($N68&gt;=6,13,10)))),0)+IF($H69=1,IF($L$1&lt;7,10,IF(AND($L$1=7,$O68=0,$V68&gt;1),15,IF($O68&gt;=20,15,IF($O68&gt;=6,13,10)))),0)</f>
        <v/>
      </c>
      <c r="Z69" s="38">
        <f>$Z68+$Y69</f>
        <v/>
      </c>
      <c r="AA69" s="38">
        <f>IF(AND($B69=1,AND($F$1=7,$I68=0,$P68&gt;1)),1,0)+IF(AND($C69=1,AND($G$1=7,$J68=0,$Q68&gt;1)),1,0)+IF(AND($D69=1,AND($H$1=7,$K68=0,$R68&gt;1)),1,0)+IF(AND($E69=1,AND($I$1=7,$L68=0,$S68&gt;1)),1,0)+IF(AND($F69=1,AND($J$1=7,$M68=0,$T68&gt;1)),1,0)+IF(AND($G69=1,AND($K$1=7,$N68=0,$U68&gt;1)),1,0)+IF(AND($H69=1,AND($L$1=7,$O68=0,$V68&gt;1)),1,0)</f>
        <v/>
      </c>
      <c r="AB69" s="38">
        <f>IF(IFERROR('Фев'!$I33,"")="",0,$AB68+1)</f>
        <v/>
      </c>
    </row>
    <row r="70" spans="1:28">
      <c r="A70" s="38">
        <f>IF($B$1&gt;=DATE(2026,3,1),1,0)</f>
        <v/>
      </c>
      <c r="B70" s="38">
        <f>IFERROR(IF('Мар'!$B6=TRUE,1,0),0)</f>
        <v/>
      </c>
      <c r="C70" s="38">
        <f>IFERROR(IF('Мар'!$C6=TRUE,1,0),0)</f>
        <v/>
      </c>
      <c r="D70" s="38">
        <f>IFERROR(IF('Мар'!$D6=TRUE,1,0),0)</f>
        <v/>
      </c>
      <c r="E70" s="38">
        <f>IFERROR(IF('Мар'!$E6=TRUE,1,0),0)</f>
        <v/>
      </c>
      <c r="F70" s="38">
        <f>IFERROR(IF('Мар'!$F6=TRUE,1,0),0)</f>
        <v/>
      </c>
      <c r="G70" s="38">
        <f>IFERROR(IF('Мар'!$G6=TRUE,1,0),0)</f>
        <v/>
      </c>
      <c r="H70" s="38">
        <f>IFERROR(IF('Мар'!$H6=TRUE,1,0),0)</f>
        <v/>
      </c>
      <c r="I70" s="38">
        <f>IF($A70=0,$I69,IF($B70=1,$I69+1,IF($P70&lt;=1,$I69,0)))</f>
        <v/>
      </c>
      <c r="J70" s="38">
        <f>IF($A70=0,$J69,IF($C70=1,$J69+1,IF($Q70&lt;=1,$J69,0)))</f>
        <v/>
      </c>
      <c r="K70" s="38">
        <f>IF($A70=0,$K69,IF($D70=1,$K69+1,IF($R70&lt;=1,$K69,0)))</f>
        <v/>
      </c>
      <c r="L70" s="38">
        <f>IF($A70=0,$L69,IF($E70=1,$L69+1,IF($S70&lt;=1,$L69,0)))</f>
        <v/>
      </c>
      <c r="M70" s="38">
        <f>IF($A70=0,$M69,IF($F70=1,$M69+1,IF($T70&lt;=1,$M69,0)))</f>
        <v/>
      </c>
      <c r="N70" s="38">
        <f>IF($A70=0,$N69,IF($G70=1,$N69+1,IF($U70&lt;=1,$N69,0)))</f>
        <v/>
      </c>
      <c r="O70" s="38">
        <f>IF($A70=0,$O69,IF($H70=1,$O69+1,IF($V70&lt;=1,$O69,0)))</f>
        <v/>
      </c>
      <c r="P70" s="38">
        <f>IF($A70=0,0,0+IF($B70=1,0,1))</f>
        <v/>
      </c>
      <c r="Q70" s="38">
        <f>IF($A70=0,0,0+IF($C70=1,0,1))</f>
        <v/>
      </c>
      <c r="R70" s="38">
        <f>IF($A70=0,0,0+IF($D70=1,0,1))</f>
        <v/>
      </c>
      <c r="S70" s="38">
        <f>IF($A70=0,0,0+IF($E70=1,0,1))</f>
        <v/>
      </c>
      <c r="T70" s="38">
        <f>IF($A70=0,0,0+IF($F70=1,0,1))</f>
        <v/>
      </c>
      <c r="U70" s="38">
        <f>IF($A70=0,0,0+IF($G70=1,0,1))</f>
        <v/>
      </c>
      <c r="V70" s="38">
        <f>IF($A70=0,0,0+IF($H70=1,0,1))</f>
        <v/>
      </c>
      <c r="W70" s="38">
        <f>SUM($B70:$H70)</f>
        <v/>
      </c>
      <c r="X70" s="38">
        <f>IF(AND($A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70=1),1,0)+IF(AND($G$1=7,$C70=1),1,0)+IF(AND($H$1=7,$D70=1),1,0)+IF(AND($I$1=7,$E70=1),1,0)+IF(AND($J$1=7,$F70=1),1,0)+IF(AND($K$1=7,$G70=1),1,0)+IF(AND($L$1=7,$H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0" s="38">
        <f>IF($B70=1,IF($F$1&lt;7,10,IF(AND($F$1=7,$I69=0,0&gt;1),15,IF($I69&gt;=20,15,IF($I69&gt;=6,13,10)))),0)+IF($C70=1,IF($G$1&lt;7,10,IF(AND($G$1=7,$J69=0,0&gt;1),15,IF($J69&gt;=20,15,IF($J69&gt;=6,13,10)))),0)+IF($D70=1,IF($H$1&lt;7,10,IF(AND($H$1=7,$K69=0,0&gt;1),15,IF($K69&gt;=20,15,IF($K69&gt;=6,13,10)))),0)+IF($E70=1,IF($I$1&lt;7,10,IF(AND($I$1=7,$L69=0,0&gt;1),15,IF($L69&gt;=20,15,IF($L69&gt;=6,13,10)))),0)+IF($F70=1,IF($J$1&lt;7,10,IF(AND($J$1=7,$M69=0,0&gt;1),15,IF($M69&gt;=20,15,IF($M69&gt;=6,13,10)))),0)+IF($G70=1,IF($K$1&lt;7,10,IF(AND($K$1=7,$N69=0,0&gt;1),15,IF($N69&gt;=20,15,IF($N69&gt;=6,13,10)))),0)+IF($H70=1,IF($L$1&lt;7,10,IF(AND($L$1=7,$O69=0,0&gt;1),15,IF($O69&gt;=20,15,IF($O69&gt;=6,13,10)))),0)</f>
        <v/>
      </c>
      <c r="Z70" s="38">
        <f>$Z69+$Y70</f>
        <v/>
      </c>
      <c r="AA70" s="38">
        <f>IF(AND($B70=1,AND($F$1=7,$I69=0,0&gt;1)),1,0)+IF(AND($C70=1,AND($G$1=7,$J69=0,0&gt;1)),1,0)+IF(AND($D70=1,AND($H$1=7,$K69=0,0&gt;1)),1,0)+IF(AND($E70=1,AND($I$1=7,$L69=0,0&gt;1)),1,0)+IF(AND($F70=1,AND($J$1=7,$M69=0,0&gt;1)),1,0)+IF(AND($G70=1,AND($K$1=7,$N69=0,0&gt;1)),1,0)+IF(AND($H70=1,AND($L$1=7,$O69=0,0&gt;1)),1,0)</f>
        <v/>
      </c>
      <c r="AB70" s="38">
        <f>IF(IFERROR('Мар'!$I6,"")="",0,$AB69+1)</f>
        <v/>
      </c>
    </row>
    <row r="71" spans="1:28">
      <c r="A71" s="38">
        <f>IF($B$1&gt;=DATE(2026,3,2),1,0)</f>
        <v/>
      </c>
      <c r="B71" s="38">
        <f>IFERROR(IF('Мар'!$B7=TRUE,1,0),0)</f>
        <v/>
      </c>
      <c r="C71" s="38">
        <f>IFERROR(IF('Мар'!$C7=TRUE,1,0),0)</f>
        <v/>
      </c>
      <c r="D71" s="38">
        <f>IFERROR(IF('Мар'!$D7=TRUE,1,0),0)</f>
        <v/>
      </c>
      <c r="E71" s="38">
        <f>IFERROR(IF('Мар'!$E7=TRUE,1,0),0)</f>
        <v/>
      </c>
      <c r="F71" s="38">
        <f>IFERROR(IF('Мар'!$F7=TRUE,1,0),0)</f>
        <v/>
      </c>
      <c r="G71" s="38">
        <f>IFERROR(IF('Мар'!$G7=TRUE,1,0),0)</f>
        <v/>
      </c>
      <c r="H71" s="38">
        <f>IFERROR(IF('Мар'!$H7=TRUE,1,0),0)</f>
        <v/>
      </c>
      <c r="I71" s="38">
        <f>IF($A71=0,$I70,IF($B71=1,$I70+1,IF($P71&lt;=1,$I70,0)))</f>
        <v/>
      </c>
      <c r="J71" s="38">
        <f>IF($A71=0,$J70,IF($C71=1,$J70+1,IF($Q71&lt;=1,$J70,0)))</f>
        <v/>
      </c>
      <c r="K71" s="38">
        <f>IF($A71=0,$K70,IF($D71=1,$K70+1,IF($R71&lt;=1,$K70,0)))</f>
        <v/>
      </c>
      <c r="L71" s="38">
        <f>IF($A71=0,$L70,IF($E71=1,$L70+1,IF($S71&lt;=1,$L70,0)))</f>
        <v/>
      </c>
      <c r="M71" s="38">
        <f>IF($A71=0,$M70,IF($F71=1,$M70+1,IF($T71&lt;=1,$M70,0)))</f>
        <v/>
      </c>
      <c r="N71" s="38">
        <f>IF($A71=0,$N70,IF($G71=1,$N70+1,IF($U71&lt;=1,$N70,0)))</f>
        <v/>
      </c>
      <c r="O71" s="38">
        <f>IF($A71=0,$O70,IF($H71=1,$O70+1,IF($V71&lt;=1,$O70,0)))</f>
        <v/>
      </c>
      <c r="P71" s="38">
        <f>IF($A71=0,$P70,$P70+IF($B71=1,0,1))</f>
        <v/>
      </c>
      <c r="Q71" s="38">
        <f>IF($A71=0,$Q70,$Q70+IF($C71=1,0,1))</f>
        <v/>
      </c>
      <c r="R71" s="38">
        <f>IF($A71=0,$R70,$R70+IF($D71=1,0,1))</f>
        <v/>
      </c>
      <c r="S71" s="38">
        <f>IF($A71=0,$S70,$S70+IF($E71=1,0,1))</f>
        <v/>
      </c>
      <c r="T71" s="38">
        <f>IF($A71=0,$T70,$T70+IF($F71=1,0,1))</f>
        <v/>
      </c>
      <c r="U71" s="38">
        <f>IF($A71=0,$U70,$U70+IF($G71=1,0,1))</f>
        <v/>
      </c>
      <c r="V71" s="38">
        <f>IF($A71=0,$V70,$V70+IF($H71=1,0,1))</f>
        <v/>
      </c>
      <c r="W71" s="38">
        <f>SUM($B71:$H71)</f>
        <v/>
      </c>
      <c r="X71" s="38">
        <f>IF(AND($A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71=1),1,0)+IF(AND($G$1=7,$C71=1),1,0)+IF(AND($H$1=7,$D71=1),1,0)+IF(AND($I$1=7,$E71=1),1,0)+IF(AND($J$1=7,$F71=1),1,0)+IF(AND($K$1=7,$G71=1),1,0)+IF(AND($L$1=7,$H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1" s="38">
        <f>IF($B71=1,IF($F$1&lt;7,10,IF(AND($F$1=7,$I70=0,$P70&gt;1),15,IF($I70&gt;=20,15,IF($I70&gt;=6,13,10)))),0)+IF($C71=1,IF($G$1&lt;7,10,IF(AND($G$1=7,$J70=0,$Q70&gt;1),15,IF($J70&gt;=20,15,IF($J70&gt;=6,13,10)))),0)+IF($D71=1,IF($H$1&lt;7,10,IF(AND($H$1=7,$K70=0,$R70&gt;1),15,IF($K70&gt;=20,15,IF($K70&gt;=6,13,10)))),0)+IF($E71=1,IF($I$1&lt;7,10,IF(AND($I$1=7,$L70=0,$S70&gt;1),15,IF($L70&gt;=20,15,IF($L70&gt;=6,13,10)))),0)+IF($F71=1,IF($J$1&lt;7,10,IF(AND($J$1=7,$M70=0,$T70&gt;1),15,IF($M70&gt;=20,15,IF($M70&gt;=6,13,10)))),0)+IF($G71=1,IF($K$1&lt;7,10,IF(AND($K$1=7,$N70=0,$U70&gt;1),15,IF($N70&gt;=20,15,IF($N70&gt;=6,13,10)))),0)+IF($H71=1,IF($L$1&lt;7,10,IF(AND($L$1=7,$O70=0,$V70&gt;1),15,IF($O70&gt;=20,15,IF($O70&gt;=6,13,10)))),0)</f>
        <v/>
      </c>
      <c r="Z71" s="38">
        <f>$Z70+$Y71</f>
        <v/>
      </c>
      <c r="AA71" s="38">
        <f>IF(AND($B71=1,AND($F$1=7,$I70=0,$P70&gt;1)),1,0)+IF(AND($C71=1,AND($G$1=7,$J70=0,$Q70&gt;1)),1,0)+IF(AND($D71=1,AND($H$1=7,$K70=0,$R70&gt;1)),1,0)+IF(AND($E71=1,AND($I$1=7,$L70=0,$S70&gt;1)),1,0)+IF(AND($F71=1,AND($J$1=7,$M70=0,$T70&gt;1)),1,0)+IF(AND($G71=1,AND($K$1=7,$N70=0,$U70&gt;1)),1,0)+IF(AND($H71=1,AND($L$1=7,$O70=0,$V70&gt;1)),1,0)</f>
        <v/>
      </c>
      <c r="AB71" s="38">
        <f>IF(IFERROR('Мар'!$I7,"")="",0,$AB70+1)</f>
        <v/>
      </c>
    </row>
    <row r="72" spans="1:28">
      <c r="A72" s="38">
        <f>IF($B$1&gt;=DATE(2026,3,3),1,0)</f>
        <v/>
      </c>
      <c r="B72" s="38">
        <f>IFERROR(IF('Мар'!$B8=TRUE,1,0),0)</f>
        <v/>
      </c>
      <c r="C72" s="38">
        <f>IFERROR(IF('Мар'!$C8=TRUE,1,0),0)</f>
        <v/>
      </c>
      <c r="D72" s="38">
        <f>IFERROR(IF('Мар'!$D8=TRUE,1,0),0)</f>
        <v/>
      </c>
      <c r="E72" s="38">
        <f>IFERROR(IF('Мар'!$E8=TRUE,1,0),0)</f>
        <v/>
      </c>
      <c r="F72" s="38">
        <f>IFERROR(IF('Мар'!$F8=TRUE,1,0),0)</f>
        <v/>
      </c>
      <c r="G72" s="38">
        <f>IFERROR(IF('Мар'!$G8=TRUE,1,0),0)</f>
        <v/>
      </c>
      <c r="H72" s="38">
        <f>IFERROR(IF('Мар'!$H8=TRUE,1,0),0)</f>
        <v/>
      </c>
      <c r="I72" s="38">
        <f>IF($A72=0,$I71,IF($B72=1,$I71+1,IF($P72&lt;=1,$I71,0)))</f>
        <v/>
      </c>
      <c r="J72" s="38">
        <f>IF($A72=0,$J71,IF($C72=1,$J71+1,IF($Q72&lt;=1,$J71,0)))</f>
        <v/>
      </c>
      <c r="K72" s="38">
        <f>IF($A72=0,$K71,IF($D72=1,$K71+1,IF($R72&lt;=1,$K71,0)))</f>
        <v/>
      </c>
      <c r="L72" s="38">
        <f>IF($A72=0,$L71,IF($E72=1,$L71+1,IF($S72&lt;=1,$L71,0)))</f>
        <v/>
      </c>
      <c r="M72" s="38">
        <f>IF($A72=0,$M71,IF($F72=1,$M71+1,IF($T72&lt;=1,$M71,0)))</f>
        <v/>
      </c>
      <c r="N72" s="38">
        <f>IF($A72=0,$N71,IF($G72=1,$N71+1,IF($U72&lt;=1,$N71,0)))</f>
        <v/>
      </c>
      <c r="O72" s="38">
        <f>IF($A72=0,$O71,IF($H72=1,$O71+1,IF($V72&lt;=1,$O71,0)))</f>
        <v/>
      </c>
      <c r="P72" s="38">
        <f>IF($A72=0,$P71,$P71+IF($B72=1,0,1))</f>
        <v/>
      </c>
      <c r="Q72" s="38">
        <f>IF($A72=0,$Q71,$Q71+IF($C72=1,0,1))</f>
        <v/>
      </c>
      <c r="R72" s="38">
        <f>IF($A72=0,$R71,$R71+IF($D72=1,0,1))</f>
        <v/>
      </c>
      <c r="S72" s="38">
        <f>IF($A72=0,$S71,$S71+IF($E72=1,0,1))</f>
        <v/>
      </c>
      <c r="T72" s="38">
        <f>IF($A72=0,$T71,$T71+IF($F72=1,0,1))</f>
        <v/>
      </c>
      <c r="U72" s="38">
        <f>IF($A72=0,$U71,$U71+IF($G72=1,0,1))</f>
        <v/>
      </c>
      <c r="V72" s="38">
        <f>IF($A72=0,$V71,$V71+IF($H72=1,0,1))</f>
        <v/>
      </c>
      <c r="W72" s="38">
        <f>SUM($B72:$H72)</f>
        <v/>
      </c>
      <c r="X72" s="38">
        <f>IF(AND($A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72=1),1,0)+IF(AND($G$1=7,$C72=1),1,0)+IF(AND($H$1=7,$D72=1),1,0)+IF(AND($I$1=7,$E72=1),1,0)+IF(AND($J$1=7,$F72=1),1,0)+IF(AND($K$1=7,$G72=1),1,0)+IF(AND($L$1=7,$H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2" s="38">
        <f>IF($B72=1,IF($F$1&lt;7,10,IF(AND($F$1=7,$I71=0,$P71&gt;1),15,IF($I71&gt;=20,15,IF($I71&gt;=6,13,10)))),0)+IF($C72=1,IF($G$1&lt;7,10,IF(AND($G$1=7,$J71=0,$Q71&gt;1),15,IF($J71&gt;=20,15,IF($J71&gt;=6,13,10)))),0)+IF($D72=1,IF($H$1&lt;7,10,IF(AND($H$1=7,$K71=0,$R71&gt;1),15,IF($K71&gt;=20,15,IF($K71&gt;=6,13,10)))),0)+IF($E72=1,IF($I$1&lt;7,10,IF(AND($I$1=7,$L71=0,$S71&gt;1),15,IF($L71&gt;=20,15,IF($L71&gt;=6,13,10)))),0)+IF($F72=1,IF($J$1&lt;7,10,IF(AND($J$1=7,$M71=0,$T71&gt;1),15,IF($M71&gt;=20,15,IF($M71&gt;=6,13,10)))),0)+IF($G72=1,IF($K$1&lt;7,10,IF(AND($K$1=7,$N71=0,$U71&gt;1),15,IF($N71&gt;=20,15,IF($N71&gt;=6,13,10)))),0)+IF($H72=1,IF($L$1&lt;7,10,IF(AND($L$1=7,$O71=0,$V71&gt;1),15,IF($O71&gt;=20,15,IF($O71&gt;=6,13,10)))),0)</f>
        <v/>
      </c>
      <c r="Z72" s="38">
        <f>$Z71+$Y72</f>
        <v/>
      </c>
      <c r="AA72" s="38">
        <f>IF(AND($B72=1,AND($F$1=7,$I71=0,$P71&gt;1)),1,0)+IF(AND($C72=1,AND($G$1=7,$J71=0,$Q71&gt;1)),1,0)+IF(AND($D72=1,AND($H$1=7,$K71=0,$R71&gt;1)),1,0)+IF(AND($E72=1,AND($I$1=7,$L71=0,$S71&gt;1)),1,0)+IF(AND($F72=1,AND($J$1=7,$M71=0,$T71&gt;1)),1,0)+IF(AND($G72=1,AND($K$1=7,$N71=0,$U71&gt;1)),1,0)+IF(AND($H72=1,AND($L$1=7,$O71=0,$V71&gt;1)),1,0)</f>
        <v/>
      </c>
      <c r="AB72" s="38">
        <f>IF(IFERROR('Мар'!$I8,"")="",0,$AB71+1)</f>
        <v/>
      </c>
    </row>
    <row r="73" spans="1:28">
      <c r="A73" s="38">
        <f>IF($B$1&gt;=DATE(2026,3,4),1,0)</f>
        <v/>
      </c>
      <c r="B73" s="38">
        <f>IFERROR(IF('Мар'!$B9=TRUE,1,0),0)</f>
        <v/>
      </c>
      <c r="C73" s="38">
        <f>IFERROR(IF('Мар'!$C9=TRUE,1,0),0)</f>
        <v/>
      </c>
      <c r="D73" s="38">
        <f>IFERROR(IF('Мар'!$D9=TRUE,1,0),0)</f>
        <v/>
      </c>
      <c r="E73" s="38">
        <f>IFERROR(IF('Мар'!$E9=TRUE,1,0),0)</f>
        <v/>
      </c>
      <c r="F73" s="38">
        <f>IFERROR(IF('Мар'!$F9=TRUE,1,0),0)</f>
        <v/>
      </c>
      <c r="G73" s="38">
        <f>IFERROR(IF('Мар'!$G9=TRUE,1,0),0)</f>
        <v/>
      </c>
      <c r="H73" s="38">
        <f>IFERROR(IF('Мар'!$H9=TRUE,1,0),0)</f>
        <v/>
      </c>
      <c r="I73" s="38">
        <f>IF($A73=0,$I72,IF($B73=1,$I72+1,IF($P73&lt;=1,$I72,0)))</f>
        <v/>
      </c>
      <c r="J73" s="38">
        <f>IF($A73=0,$J72,IF($C73=1,$J72+1,IF($Q73&lt;=1,$J72,0)))</f>
        <v/>
      </c>
      <c r="K73" s="38">
        <f>IF($A73=0,$K72,IF($D73=1,$K72+1,IF($R73&lt;=1,$K72,0)))</f>
        <v/>
      </c>
      <c r="L73" s="38">
        <f>IF($A73=0,$L72,IF($E73=1,$L72+1,IF($S73&lt;=1,$L72,0)))</f>
        <v/>
      </c>
      <c r="M73" s="38">
        <f>IF($A73=0,$M72,IF($F73=1,$M72+1,IF($T73&lt;=1,$M72,0)))</f>
        <v/>
      </c>
      <c r="N73" s="38">
        <f>IF($A73=0,$N72,IF($G73=1,$N72+1,IF($U73&lt;=1,$N72,0)))</f>
        <v/>
      </c>
      <c r="O73" s="38">
        <f>IF($A73=0,$O72,IF($H73=1,$O72+1,IF($V73&lt;=1,$O72,0)))</f>
        <v/>
      </c>
      <c r="P73" s="38">
        <f>IF($A73=0,$P72,$P72+IF($B73=1,0,1))</f>
        <v/>
      </c>
      <c r="Q73" s="38">
        <f>IF($A73=0,$Q72,$Q72+IF($C73=1,0,1))</f>
        <v/>
      </c>
      <c r="R73" s="38">
        <f>IF($A73=0,$R72,$R72+IF($D73=1,0,1))</f>
        <v/>
      </c>
      <c r="S73" s="38">
        <f>IF($A73=0,$S72,$S72+IF($E73=1,0,1))</f>
        <v/>
      </c>
      <c r="T73" s="38">
        <f>IF($A73=0,$T72,$T72+IF($F73=1,0,1))</f>
        <v/>
      </c>
      <c r="U73" s="38">
        <f>IF($A73=0,$U72,$U72+IF($G73=1,0,1))</f>
        <v/>
      </c>
      <c r="V73" s="38">
        <f>IF($A73=0,$V72,$V72+IF($H73=1,0,1))</f>
        <v/>
      </c>
      <c r="W73" s="38">
        <f>SUM($B73:$H73)</f>
        <v/>
      </c>
      <c r="X73" s="38">
        <f>IF(AND($A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73=1),1,0)+IF(AND($G$1=7,$C73=1),1,0)+IF(AND($H$1=7,$D73=1),1,0)+IF(AND($I$1=7,$E73=1),1,0)+IF(AND($J$1=7,$F73=1),1,0)+IF(AND($K$1=7,$G73=1),1,0)+IF(AND($L$1=7,$H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3" s="38">
        <f>IF($B73=1,IF($F$1&lt;7,10,IF(AND($F$1=7,$I72=0,$P72&gt;1),15,IF($I72&gt;=20,15,IF($I72&gt;=6,13,10)))),0)+IF($C73=1,IF($G$1&lt;7,10,IF(AND($G$1=7,$J72=0,$Q72&gt;1),15,IF($J72&gt;=20,15,IF($J72&gt;=6,13,10)))),0)+IF($D73=1,IF($H$1&lt;7,10,IF(AND($H$1=7,$K72=0,$R72&gt;1),15,IF($K72&gt;=20,15,IF($K72&gt;=6,13,10)))),0)+IF($E73=1,IF($I$1&lt;7,10,IF(AND($I$1=7,$L72=0,$S72&gt;1),15,IF($L72&gt;=20,15,IF($L72&gt;=6,13,10)))),0)+IF($F73=1,IF($J$1&lt;7,10,IF(AND($J$1=7,$M72=0,$T72&gt;1),15,IF($M72&gt;=20,15,IF($M72&gt;=6,13,10)))),0)+IF($G73=1,IF($K$1&lt;7,10,IF(AND($K$1=7,$N72=0,$U72&gt;1),15,IF($N72&gt;=20,15,IF($N72&gt;=6,13,10)))),0)+IF($H73=1,IF($L$1&lt;7,10,IF(AND($L$1=7,$O72=0,$V72&gt;1),15,IF($O72&gt;=20,15,IF($O72&gt;=6,13,10)))),0)</f>
        <v/>
      </c>
      <c r="Z73" s="38">
        <f>$Z72+$Y73</f>
        <v/>
      </c>
      <c r="AA73" s="38">
        <f>IF(AND($B73=1,AND($F$1=7,$I72=0,$P72&gt;1)),1,0)+IF(AND($C73=1,AND($G$1=7,$J72=0,$Q72&gt;1)),1,0)+IF(AND($D73=1,AND($H$1=7,$K72=0,$R72&gt;1)),1,0)+IF(AND($E73=1,AND($I$1=7,$L72=0,$S72&gt;1)),1,0)+IF(AND($F73=1,AND($J$1=7,$M72=0,$T72&gt;1)),1,0)+IF(AND($G73=1,AND($K$1=7,$N72=0,$U72&gt;1)),1,0)+IF(AND($H73=1,AND($L$1=7,$O72=0,$V72&gt;1)),1,0)</f>
        <v/>
      </c>
      <c r="AB73" s="38">
        <f>IF(IFERROR('Мар'!$I9,"")="",0,$AB72+1)</f>
        <v/>
      </c>
    </row>
    <row r="74" spans="1:28">
      <c r="A74" s="38">
        <f>IF($B$1&gt;=DATE(2026,3,5),1,0)</f>
        <v/>
      </c>
      <c r="B74" s="38">
        <f>IFERROR(IF('Мар'!$B10=TRUE,1,0),0)</f>
        <v/>
      </c>
      <c r="C74" s="38">
        <f>IFERROR(IF('Мар'!$C10=TRUE,1,0),0)</f>
        <v/>
      </c>
      <c r="D74" s="38">
        <f>IFERROR(IF('Мар'!$D10=TRUE,1,0),0)</f>
        <v/>
      </c>
      <c r="E74" s="38">
        <f>IFERROR(IF('Мар'!$E10=TRUE,1,0),0)</f>
        <v/>
      </c>
      <c r="F74" s="38">
        <f>IFERROR(IF('Мар'!$F10=TRUE,1,0),0)</f>
        <v/>
      </c>
      <c r="G74" s="38">
        <f>IFERROR(IF('Мар'!$G10=TRUE,1,0),0)</f>
        <v/>
      </c>
      <c r="H74" s="38">
        <f>IFERROR(IF('Мар'!$H10=TRUE,1,0),0)</f>
        <v/>
      </c>
      <c r="I74" s="38">
        <f>IF($A74=0,$I73,IF($B74=1,$I73+1,IF($P74&lt;=1,$I73,0)))</f>
        <v/>
      </c>
      <c r="J74" s="38">
        <f>IF($A74=0,$J73,IF($C74=1,$J73+1,IF($Q74&lt;=1,$J73,0)))</f>
        <v/>
      </c>
      <c r="K74" s="38">
        <f>IF($A74=0,$K73,IF($D74=1,$K73+1,IF($R74&lt;=1,$K73,0)))</f>
        <v/>
      </c>
      <c r="L74" s="38">
        <f>IF($A74=0,$L73,IF($E74=1,$L73+1,IF($S74&lt;=1,$L73,0)))</f>
        <v/>
      </c>
      <c r="M74" s="38">
        <f>IF($A74=0,$M73,IF($F74=1,$M73+1,IF($T74&lt;=1,$M73,0)))</f>
        <v/>
      </c>
      <c r="N74" s="38">
        <f>IF($A74=0,$N73,IF($G74=1,$N73+1,IF($U74&lt;=1,$N73,0)))</f>
        <v/>
      </c>
      <c r="O74" s="38">
        <f>IF($A74=0,$O73,IF($H74=1,$O73+1,IF($V74&lt;=1,$O73,0)))</f>
        <v/>
      </c>
      <c r="P74" s="38">
        <f>IF($A74=0,$P73,$P73+IF($B74=1,0,1))</f>
        <v/>
      </c>
      <c r="Q74" s="38">
        <f>IF($A74=0,$Q73,$Q73+IF($C74=1,0,1))</f>
        <v/>
      </c>
      <c r="R74" s="38">
        <f>IF($A74=0,$R73,$R73+IF($D74=1,0,1))</f>
        <v/>
      </c>
      <c r="S74" s="38">
        <f>IF($A74=0,$S73,$S73+IF($E74=1,0,1))</f>
        <v/>
      </c>
      <c r="T74" s="38">
        <f>IF($A74=0,$T73,$T73+IF($F74=1,0,1))</f>
        <v/>
      </c>
      <c r="U74" s="38">
        <f>IF($A74=0,$U73,$U73+IF($G74=1,0,1))</f>
        <v/>
      </c>
      <c r="V74" s="38">
        <f>IF($A74=0,$V73,$V73+IF($H74=1,0,1))</f>
        <v/>
      </c>
      <c r="W74" s="38">
        <f>SUM($B74:$H74)</f>
        <v/>
      </c>
      <c r="X74" s="38">
        <f>IF(AND($A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74=1),1,0)+IF(AND($G$1=7,$C74=1),1,0)+IF(AND($H$1=7,$D74=1),1,0)+IF(AND($I$1=7,$E74=1),1,0)+IF(AND($J$1=7,$F74=1),1,0)+IF(AND($K$1=7,$G74=1),1,0)+IF(AND($L$1=7,$H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4" s="38">
        <f>IF($B74=1,IF($F$1&lt;7,10,IF(AND($F$1=7,$I73=0,$P73&gt;1),15,IF($I73&gt;=20,15,IF($I73&gt;=6,13,10)))),0)+IF($C74=1,IF($G$1&lt;7,10,IF(AND($G$1=7,$J73=0,$Q73&gt;1),15,IF($J73&gt;=20,15,IF($J73&gt;=6,13,10)))),0)+IF($D74=1,IF($H$1&lt;7,10,IF(AND($H$1=7,$K73=0,$R73&gt;1),15,IF($K73&gt;=20,15,IF($K73&gt;=6,13,10)))),0)+IF($E74=1,IF($I$1&lt;7,10,IF(AND($I$1=7,$L73=0,$S73&gt;1),15,IF($L73&gt;=20,15,IF($L73&gt;=6,13,10)))),0)+IF($F74=1,IF($J$1&lt;7,10,IF(AND($J$1=7,$M73=0,$T73&gt;1),15,IF($M73&gt;=20,15,IF($M73&gt;=6,13,10)))),0)+IF($G74=1,IF($K$1&lt;7,10,IF(AND($K$1=7,$N73=0,$U73&gt;1),15,IF($N73&gt;=20,15,IF($N73&gt;=6,13,10)))),0)+IF($H74=1,IF($L$1&lt;7,10,IF(AND($L$1=7,$O73=0,$V73&gt;1),15,IF($O73&gt;=20,15,IF($O73&gt;=6,13,10)))),0)</f>
        <v/>
      </c>
      <c r="Z74" s="38">
        <f>$Z73+$Y74</f>
        <v/>
      </c>
      <c r="AA74" s="38">
        <f>IF(AND($B74=1,AND($F$1=7,$I73=0,$P73&gt;1)),1,0)+IF(AND($C74=1,AND($G$1=7,$J73=0,$Q73&gt;1)),1,0)+IF(AND($D74=1,AND($H$1=7,$K73=0,$R73&gt;1)),1,0)+IF(AND($E74=1,AND($I$1=7,$L73=0,$S73&gt;1)),1,0)+IF(AND($F74=1,AND($J$1=7,$M73=0,$T73&gt;1)),1,0)+IF(AND($G74=1,AND($K$1=7,$N73=0,$U73&gt;1)),1,0)+IF(AND($H74=1,AND($L$1=7,$O73=0,$V73&gt;1)),1,0)</f>
        <v/>
      </c>
      <c r="AB74" s="38">
        <f>IF(IFERROR('Мар'!$I10,"")="",0,$AB73+1)</f>
        <v/>
      </c>
    </row>
    <row r="75" spans="1:28">
      <c r="A75" s="38">
        <f>IF($B$1&gt;=DATE(2026,3,6),1,0)</f>
        <v/>
      </c>
      <c r="B75" s="38">
        <f>IFERROR(IF('Мар'!$B11=TRUE,1,0),0)</f>
        <v/>
      </c>
      <c r="C75" s="38">
        <f>IFERROR(IF('Мар'!$C11=TRUE,1,0),0)</f>
        <v/>
      </c>
      <c r="D75" s="38">
        <f>IFERROR(IF('Мар'!$D11=TRUE,1,0),0)</f>
        <v/>
      </c>
      <c r="E75" s="38">
        <f>IFERROR(IF('Мар'!$E11=TRUE,1,0),0)</f>
        <v/>
      </c>
      <c r="F75" s="38">
        <f>IFERROR(IF('Мар'!$F11=TRUE,1,0),0)</f>
        <v/>
      </c>
      <c r="G75" s="38">
        <f>IFERROR(IF('Мар'!$G11=TRUE,1,0),0)</f>
        <v/>
      </c>
      <c r="H75" s="38">
        <f>IFERROR(IF('Мар'!$H11=TRUE,1,0),0)</f>
        <v/>
      </c>
      <c r="I75" s="38">
        <f>IF($A75=0,$I74,IF($B75=1,$I74+1,IF($P75&lt;=1,$I74,0)))</f>
        <v/>
      </c>
      <c r="J75" s="38">
        <f>IF($A75=0,$J74,IF($C75=1,$J74+1,IF($Q75&lt;=1,$J74,0)))</f>
        <v/>
      </c>
      <c r="K75" s="38">
        <f>IF($A75=0,$K74,IF($D75=1,$K74+1,IF($R75&lt;=1,$K74,0)))</f>
        <v/>
      </c>
      <c r="L75" s="38">
        <f>IF($A75=0,$L74,IF($E75=1,$L74+1,IF($S75&lt;=1,$L74,0)))</f>
        <v/>
      </c>
      <c r="M75" s="38">
        <f>IF($A75=0,$M74,IF($F75=1,$M74+1,IF($T75&lt;=1,$M74,0)))</f>
        <v/>
      </c>
      <c r="N75" s="38">
        <f>IF($A75=0,$N74,IF($G75=1,$N74+1,IF($U75&lt;=1,$N74,0)))</f>
        <v/>
      </c>
      <c r="O75" s="38">
        <f>IF($A75=0,$O74,IF($H75=1,$O74+1,IF($V75&lt;=1,$O74,0)))</f>
        <v/>
      </c>
      <c r="P75" s="38">
        <f>IF($A75=0,$P74,$P74+IF($B75=1,0,1))</f>
        <v/>
      </c>
      <c r="Q75" s="38">
        <f>IF($A75=0,$Q74,$Q74+IF($C75=1,0,1))</f>
        <v/>
      </c>
      <c r="R75" s="38">
        <f>IF($A75=0,$R74,$R74+IF($D75=1,0,1))</f>
        <v/>
      </c>
      <c r="S75" s="38">
        <f>IF($A75=0,$S74,$S74+IF($E75=1,0,1))</f>
        <v/>
      </c>
      <c r="T75" s="38">
        <f>IF($A75=0,$T74,$T74+IF($F75=1,0,1))</f>
        <v/>
      </c>
      <c r="U75" s="38">
        <f>IF($A75=0,$U74,$U74+IF($G75=1,0,1))</f>
        <v/>
      </c>
      <c r="V75" s="38">
        <f>IF($A75=0,$V74,$V74+IF($H75=1,0,1))</f>
        <v/>
      </c>
      <c r="W75" s="38">
        <f>SUM($B75:$H75)</f>
        <v/>
      </c>
      <c r="X75" s="38">
        <f>IF(AND($A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75=1),1,0)+IF(AND($G$1=7,$C75=1),1,0)+IF(AND($H$1=7,$D75=1),1,0)+IF(AND($I$1=7,$E75=1),1,0)+IF(AND($J$1=7,$F75=1),1,0)+IF(AND($K$1=7,$G75=1),1,0)+IF(AND($L$1=7,$H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5" s="38">
        <f>IF($B75=1,IF($F$1&lt;7,10,IF(AND($F$1=7,$I74=0,$P74&gt;1),15,IF($I74&gt;=20,15,IF($I74&gt;=6,13,10)))),0)+IF($C75=1,IF($G$1&lt;7,10,IF(AND($G$1=7,$J74=0,$Q74&gt;1),15,IF($J74&gt;=20,15,IF($J74&gt;=6,13,10)))),0)+IF($D75=1,IF($H$1&lt;7,10,IF(AND($H$1=7,$K74=0,$R74&gt;1),15,IF($K74&gt;=20,15,IF($K74&gt;=6,13,10)))),0)+IF($E75=1,IF($I$1&lt;7,10,IF(AND($I$1=7,$L74=0,$S74&gt;1),15,IF($L74&gt;=20,15,IF($L74&gt;=6,13,10)))),0)+IF($F75=1,IF($J$1&lt;7,10,IF(AND($J$1=7,$M74=0,$T74&gt;1),15,IF($M74&gt;=20,15,IF($M74&gt;=6,13,10)))),0)+IF($G75=1,IF($K$1&lt;7,10,IF(AND($K$1=7,$N74=0,$U74&gt;1),15,IF($N74&gt;=20,15,IF($N74&gt;=6,13,10)))),0)+IF($H75=1,IF($L$1&lt;7,10,IF(AND($L$1=7,$O74=0,$V74&gt;1),15,IF($O74&gt;=20,15,IF($O74&gt;=6,13,10)))),0)</f>
        <v/>
      </c>
      <c r="Z75" s="38">
        <f>$Z74+$Y75</f>
        <v/>
      </c>
      <c r="AA75" s="38">
        <f>IF(AND($B75=1,AND($F$1=7,$I74=0,$P74&gt;1)),1,0)+IF(AND($C75=1,AND($G$1=7,$J74=0,$Q74&gt;1)),1,0)+IF(AND($D75=1,AND($H$1=7,$K74=0,$R74&gt;1)),1,0)+IF(AND($E75=1,AND($I$1=7,$L74=0,$S74&gt;1)),1,0)+IF(AND($F75=1,AND($J$1=7,$M74=0,$T74&gt;1)),1,0)+IF(AND($G75=1,AND($K$1=7,$N74=0,$U74&gt;1)),1,0)+IF(AND($H75=1,AND($L$1=7,$O74=0,$V74&gt;1)),1,0)</f>
        <v/>
      </c>
      <c r="AB75" s="38">
        <f>IF(IFERROR('Мар'!$I11,"")="",0,$AB74+1)</f>
        <v/>
      </c>
    </row>
    <row r="76" spans="1:28">
      <c r="A76" s="38">
        <f>IF($B$1&gt;=DATE(2026,3,7),1,0)</f>
        <v/>
      </c>
      <c r="B76" s="38">
        <f>IFERROR(IF('Мар'!$B12=TRUE,1,0),0)</f>
        <v/>
      </c>
      <c r="C76" s="38">
        <f>IFERROR(IF('Мар'!$C12=TRUE,1,0),0)</f>
        <v/>
      </c>
      <c r="D76" s="38">
        <f>IFERROR(IF('Мар'!$D12=TRUE,1,0),0)</f>
        <v/>
      </c>
      <c r="E76" s="38">
        <f>IFERROR(IF('Мар'!$E12=TRUE,1,0),0)</f>
        <v/>
      </c>
      <c r="F76" s="38">
        <f>IFERROR(IF('Мар'!$F12=TRUE,1,0),0)</f>
        <v/>
      </c>
      <c r="G76" s="38">
        <f>IFERROR(IF('Мар'!$G12=TRUE,1,0),0)</f>
        <v/>
      </c>
      <c r="H76" s="38">
        <f>IFERROR(IF('Мар'!$H12=TRUE,1,0),0)</f>
        <v/>
      </c>
      <c r="I76" s="38">
        <f>IF($A76=0,$I75,IF($B76=1,$I75+1,IF($P76&lt;=1,$I75,0)))</f>
        <v/>
      </c>
      <c r="J76" s="38">
        <f>IF($A76=0,$J75,IF($C76=1,$J75+1,IF($Q76&lt;=1,$J75,0)))</f>
        <v/>
      </c>
      <c r="K76" s="38">
        <f>IF($A76=0,$K75,IF($D76=1,$K75+1,IF($R76&lt;=1,$K75,0)))</f>
        <v/>
      </c>
      <c r="L76" s="38">
        <f>IF($A76=0,$L75,IF($E76=1,$L75+1,IF($S76&lt;=1,$L75,0)))</f>
        <v/>
      </c>
      <c r="M76" s="38">
        <f>IF($A76=0,$M75,IF($F76=1,$M75+1,IF($T76&lt;=1,$M75,0)))</f>
        <v/>
      </c>
      <c r="N76" s="38">
        <f>IF($A76=0,$N75,IF($G76=1,$N75+1,IF($U76&lt;=1,$N75,0)))</f>
        <v/>
      </c>
      <c r="O76" s="38">
        <f>IF($A76=0,$O75,IF($H76=1,$O75+1,IF($V76&lt;=1,$O75,0)))</f>
        <v/>
      </c>
      <c r="P76" s="38">
        <f>IF($A76=0,$P75,$P75+IF($B76=1,0,1))</f>
        <v/>
      </c>
      <c r="Q76" s="38">
        <f>IF($A76=0,$Q75,$Q75+IF($C76=1,0,1))</f>
        <v/>
      </c>
      <c r="R76" s="38">
        <f>IF($A76=0,$R75,$R75+IF($D76=1,0,1))</f>
        <v/>
      </c>
      <c r="S76" s="38">
        <f>IF($A76=0,$S75,$S75+IF($E76=1,0,1))</f>
        <v/>
      </c>
      <c r="T76" s="38">
        <f>IF($A76=0,$T75,$T75+IF($F76=1,0,1))</f>
        <v/>
      </c>
      <c r="U76" s="38">
        <f>IF($A76=0,$U75,$U75+IF($G76=1,0,1))</f>
        <v/>
      </c>
      <c r="V76" s="38">
        <f>IF($A76=0,$V75,$V75+IF($H76=1,0,1))</f>
        <v/>
      </c>
      <c r="W76" s="38">
        <f>SUM($B76:$H76)</f>
        <v/>
      </c>
      <c r="X76" s="38">
        <f>IF(AND($A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76=1),1,0)+IF(AND($G$1=7,$C76=1),1,0)+IF(AND($H$1=7,$D76=1),1,0)+IF(AND($I$1=7,$E76=1),1,0)+IF(AND($J$1=7,$F76=1),1,0)+IF(AND($K$1=7,$G76=1),1,0)+IF(AND($L$1=7,$H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6" s="38">
        <f>IF($B76=1,IF($F$1&lt;7,10,IF(AND($F$1=7,$I75=0,$P75&gt;1),15,IF($I75&gt;=20,15,IF($I75&gt;=6,13,10)))),0)+IF($C76=1,IF($G$1&lt;7,10,IF(AND($G$1=7,$J75=0,$Q75&gt;1),15,IF($J75&gt;=20,15,IF($J75&gt;=6,13,10)))),0)+IF($D76=1,IF($H$1&lt;7,10,IF(AND($H$1=7,$K75=0,$R75&gt;1),15,IF($K75&gt;=20,15,IF($K75&gt;=6,13,10)))),0)+IF($E76=1,IF($I$1&lt;7,10,IF(AND($I$1=7,$L75=0,$S75&gt;1),15,IF($L75&gt;=20,15,IF($L75&gt;=6,13,10)))),0)+IF($F76=1,IF($J$1&lt;7,10,IF(AND($J$1=7,$M75=0,$T75&gt;1),15,IF($M75&gt;=20,15,IF($M75&gt;=6,13,10)))),0)+IF($G76=1,IF($K$1&lt;7,10,IF(AND($K$1=7,$N75=0,$U75&gt;1),15,IF($N75&gt;=20,15,IF($N75&gt;=6,13,10)))),0)+IF($H76=1,IF($L$1&lt;7,10,IF(AND($L$1=7,$O75=0,$V75&gt;1),15,IF($O75&gt;=20,15,IF($O75&gt;=6,13,10)))),0)</f>
        <v/>
      </c>
      <c r="Z76" s="38">
        <f>$Z75+$Y76</f>
        <v/>
      </c>
      <c r="AA76" s="38">
        <f>IF(AND($B76=1,AND($F$1=7,$I75=0,$P75&gt;1)),1,0)+IF(AND($C76=1,AND($G$1=7,$J75=0,$Q75&gt;1)),1,0)+IF(AND($D76=1,AND($H$1=7,$K75=0,$R75&gt;1)),1,0)+IF(AND($E76=1,AND($I$1=7,$L75=0,$S75&gt;1)),1,0)+IF(AND($F76=1,AND($J$1=7,$M75=0,$T75&gt;1)),1,0)+IF(AND($G76=1,AND($K$1=7,$N75=0,$U75&gt;1)),1,0)+IF(AND($H76=1,AND($L$1=7,$O75=0,$V75&gt;1)),1,0)</f>
        <v/>
      </c>
      <c r="AB76" s="38">
        <f>IF(IFERROR('Мар'!$I12,"")="",0,$AB75+1)</f>
        <v/>
      </c>
    </row>
    <row r="77" spans="1:28">
      <c r="A77" s="38">
        <f>IF($B$1&gt;=DATE(2026,3,8),1,0)</f>
        <v/>
      </c>
      <c r="B77" s="38">
        <f>IFERROR(IF('Мар'!$B13=TRUE,1,0),0)</f>
        <v/>
      </c>
      <c r="C77" s="38">
        <f>IFERROR(IF('Мар'!$C13=TRUE,1,0),0)</f>
        <v/>
      </c>
      <c r="D77" s="38">
        <f>IFERROR(IF('Мар'!$D13=TRUE,1,0),0)</f>
        <v/>
      </c>
      <c r="E77" s="38">
        <f>IFERROR(IF('Мар'!$E13=TRUE,1,0),0)</f>
        <v/>
      </c>
      <c r="F77" s="38">
        <f>IFERROR(IF('Мар'!$F13=TRUE,1,0),0)</f>
        <v/>
      </c>
      <c r="G77" s="38">
        <f>IFERROR(IF('Мар'!$G13=TRUE,1,0),0)</f>
        <v/>
      </c>
      <c r="H77" s="38">
        <f>IFERROR(IF('Мар'!$H13=TRUE,1,0),0)</f>
        <v/>
      </c>
      <c r="I77" s="38">
        <f>IF($A77=0,$I76,IF($B77=1,$I76+1,IF($P77&lt;=1,$I76,0)))</f>
        <v/>
      </c>
      <c r="J77" s="38">
        <f>IF($A77=0,$J76,IF($C77=1,$J76+1,IF($Q77&lt;=1,$J76,0)))</f>
        <v/>
      </c>
      <c r="K77" s="38">
        <f>IF($A77=0,$K76,IF($D77=1,$K76+1,IF($R77&lt;=1,$K76,0)))</f>
        <v/>
      </c>
      <c r="L77" s="38">
        <f>IF($A77=0,$L76,IF($E77=1,$L76+1,IF($S77&lt;=1,$L76,0)))</f>
        <v/>
      </c>
      <c r="M77" s="38">
        <f>IF($A77=0,$M76,IF($F77=1,$M76+1,IF($T77&lt;=1,$M76,0)))</f>
        <v/>
      </c>
      <c r="N77" s="38">
        <f>IF($A77=0,$N76,IF($G77=1,$N76+1,IF($U77&lt;=1,$N76,0)))</f>
        <v/>
      </c>
      <c r="O77" s="38">
        <f>IF($A77=0,$O76,IF($H77=1,$O76+1,IF($V77&lt;=1,$O76,0)))</f>
        <v/>
      </c>
      <c r="P77" s="38">
        <f>IF($A77=0,$P76,$P76+IF($B77=1,0,1))</f>
        <v/>
      </c>
      <c r="Q77" s="38">
        <f>IF($A77=0,$Q76,$Q76+IF($C77=1,0,1))</f>
        <v/>
      </c>
      <c r="R77" s="38">
        <f>IF($A77=0,$R76,$R76+IF($D77=1,0,1))</f>
        <v/>
      </c>
      <c r="S77" s="38">
        <f>IF($A77=0,$S76,$S76+IF($E77=1,0,1))</f>
        <v/>
      </c>
      <c r="T77" s="38">
        <f>IF($A77=0,$T76,$T76+IF($F77=1,0,1))</f>
        <v/>
      </c>
      <c r="U77" s="38">
        <f>IF($A77=0,$U76,$U76+IF($G77=1,0,1))</f>
        <v/>
      </c>
      <c r="V77" s="38">
        <f>IF($A77=0,$V76,$V76+IF($H77=1,0,1))</f>
        <v/>
      </c>
      <c r="W77" s="38">
        <f>SUM($B77:$H77)</f>
        <v/>
      </c>
      <c r="X77" s="38">
        <f>IF(AND($A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77=1),1,0)+IF(AND($G$1=7,$C77=1),1,0)+IF(AND($H$1=7,$D77=1),1,0)+IF(AND($I$1=7,$E77=1),1,0)+IF(AND($J$1=7,$F77=1),1,0)+IF(AND($K$1=7,$G77=1),1,0)+IF(AND($L$1=7,$H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7" s="38">
        <f>IF($B77=1,IF($F$1&lt;7,10,IF(AND($F$1=7,$I76=0,$P76&gt;1),15,IF($I76&gt;=20,15,IF($I76&gt;=6,13,10)))),0)+IF($C77=1,IF($G$1&lt;7,10,IF(AND($G$1=7,$J76=0,$Q76&gt;1),15,IF($J76&gt;=20,15,IF($J76&gt;=6,13,10)))),0)+IF($D77=1,IF($H$1&lt;7,10,IF(AND($H$1=7,$K76=0,$R76&gt;1),15,IF($K76&gt;=20,15,IF($K76&gt;=6,13,10)))),0)+IF($E77=1,IF($I$1&lt;7,10,IF(AND($I$1=7,$L76=0,$S76&gt;1),15,IF($L76&gt;=20,15,IF($L76&gt;=6,13,10)))),0)+IF($F77=1,IF($J$1&lt;7,10,IF(AND($J$1=7,$M76=0,$T76&gt;1),15,IF($M76&gt;=20,15,IF($M76&gt;=6,13,10)))),0)+IF($G77=1,IF($K$1&lt;7,10,IF(AND($K$1=7,$N76=0,$U76&gt;1),15,IF($N76&gt;=20,15,IF($N76&gt;=6,13,10)))),0)+IF($H77=1,IF($L$1&lt;7,10,IF(AND($L$1=7,$O76=0,$V76&gt;1),15,IF($O76&gt;=20,15,IF($O76&gt;=6,13,10)))),0)</f>
        <v/>
      </c>
      <c r="Z77" s="38">
        <f>$Z76+$Y77</f>
        <v/>
      </c>
      <c r="AA77" s="38">
        <f>IF(AND($B77=1,AND($F$1=7,$I76=0,$P76&gt;1)),1,0)+IF(AND($C77=1,AND($G$1=7,$J76=0,$Q76&gt;1)),1,0)+IF(AND($D77=1,AND($H$1=7,$K76=0,$R76&gt;1)),1,0)+IF(AND($E77=1,AND($I$1=7,$L76=0,$S76&gt;1)),1,0)+IF(AND($F77=1,AND($J$1=7,$M76=0,$T76&gt;1)),1,0)+IF(AND($G77=1,AND($K$1=7,$N76=0,$U76&gt;1)),1,0)+IF(AND($H77=1,AND($L$1=7,$O76=0,$V76&gt;1)),1,0)</f>
        <v/>
      </c>
      <c r="AB77" s="38">
        <f>IF(IFERROR('Мар'!$I13,"")="",0,$AB76+1)</f>
        <v/>
      </c>
    </row>
    <row r="78" spans="1:28">
      <c r="A78" s="38">
        <f>IF($B$1&gt;=DATE(2026,3,9),1,0)</f>
        <v/>
      </c>
      <c r="B78" s="38">
        <f>IFERROR(IF('Мар'!$B14=TRUE,1,0),0)</f>
        <v/>
      </c>
      <c r="C78" s="38">
        <f>IFERROR(IF('Мар'!$C14=TRUE,1,0),0)</f>
        <v/>
      </c>
      <c r="D78" s="38">
        <f>IFERROR(IF('Мар'!$D14=TRUE,1,0),0)</f>
        <v/>
      </c>
      <c r="E78" s="38">
        <f>IFERROR(IF('Мар'!$E14=TRUE,1,0),0)</f>
        <v/>
      </c>
      <c r="F78" s="38">
        <f>IFERROR(IF('Мар'!$F14=TRUE,1,0),0)</f>
        <v/>
      </c>
      <c r="G78" s="38">
        <f>IFERROR(IF('Мар'!$G14=TRUE,1,0),0)</f>
        <v/>
      </c>
      <c r="H78" s="38">
        <f>IFERROR(IF('Мар'!$H14=TRUE,1,0),0)</f>
        <v/>
      </c>
      <c r="I78" s="38">
        <f>IF($A78=0,$I77,IF($B78=1,$I77+1,IF($P78&lt;=1,$I77,0)))</f>
        <v/>
      </c>
      <c r="J78" s="38">
        <f>IF($A78=0,$J77,IF($C78=1,$J77+1,IF($Q78&lt;=1,$J77,0)))</f>
        <v/>
      </c>
      <c r="K78" s="38">
        <f>IF($A78=0,$K77,IF($D78=1,$K77+1,IF($R78&lt;=1,$K77,0)))</f>
        <v/>
      </c>
      <c r="L78" s="38">
        <f>IF($A78=0,$L77,IF($E78=1,$L77+1,IF($S78&lt;=1,$L77,0)))</f>
        <v/>
      </c>
      <c r="M78" s="38">
        <f>IF($A78=0,$M77,IF($F78=1,$M77+1,IF($T78&lt;=1,$M77,0)))</f>
        <v/>
      </c>
      <c r="N78" s="38">
        <f>IF($A78=0,$N77,IF($G78=1,$N77+1,IF($U78&lt;=1,$N77,0)))</f>
        <v/>
      </c>
      <c r="O78" s="38">
        <f>IF($A78=0,$O77,IF($H78=1,$O77+1,IF($V78&lt;=1,$O77,0)))</f>
        <v/>
      </c>
      <c r="P78" s="38">
        <f>IF($A78=0,$P77,$P77+IF($B78=1,0,1))</f>
        <v/>
      </c>
      <c r="Q78" s="38">
        <f>IF($A78=0,$Q77,$Q77+IF($C78=1,0,1))</f>
        <v/>
      </c>
      <c r="R78" s="38">
        <f>IF($A78=0,$R77,$R77+IF($D78=1,0,1))</f>
        <v/>
      </c>
      <c r="S78" s="38">
        <f>IF($A78=0,$S77,$S77+IF($E78=1,0,1))</f>
        <v/>
      </c>
      <c r="T78" s="38">
        <f>IF($A78=0,$T77,$T77+IF($F78=1,0,1))</f>
        <v/>
      </c>
      <c r="U78" s="38">
        <f>IF($A78=0,$U77,$U77+IF($G78=1,0,1))</f>
        <v/>
      </c>
      <c r="V78" s="38">
        <f>IF($A78=0,$V77,$V77+IF($H78=1,0,1))</f>
        <v/>
      </c>
      <c r="W78" s="38">
        <f>SUM($B78:$H78)</f>
        <v/>
      </c>
      <c r="X78" s="38">
        <f>IF(AND($A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78=1),1,0)+IF(AND($G$1=7,$C78=1),1,0)+IF(AND($H$1=7,$D78=1),1,0)+IF(AND($I$1=7,$E78=1),1,0)+IF(AND($J$1=7,$F78=1),1,0)+IF(AND($K$1=7,$G78=1),1,0)+IF(AND($L$1=7,$H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8" s="38">
        <f>IF($B78=1,IF($F$1&lt;7,10,IF(AND($F$1=7,$I77=0,$P77&gt;1),15,IF($I77&gt;=20,15,IF($I77&gt;=6,13,10)))),0)+IF($C78=1,IF($G$1&lt;7,10,IF(AND($G$1=7,$J77=0,$Q77&gt;1),15,IF($J77&gt;=20,15,IF($J77&gt;=6,13,10)))),0)+IF($D78=1,IF($H$1&lt;7,10,IF(AND($H$1=7,$K77=0,$R77&gt;1),15,IF($K77&gt;=20,15,IF($K77&gt;=6,13,10)))),0)+IF($E78=1,IF($I$1&lt;7,10,IF(AND($I$1=7,$L77=0,$S77&gt;1),15,IF($L77&gt;=20,15,IF($L77&gt;=6,13,10)))),0)+IF($F78=1,IF($J$1&lt;7,10,IF(AND($J$1=7,$M77=0,$T77&gt;1),15,IF($M77&gt;=20,15,IF($M77&gt;=6,13,10)))),0)+IF($G78=1,IF($K$1&lt;7,10,IF(AND($K$1=7,$N77=0,$U77&gt;1),15,IF($N77&gt;=20,15,IF($N77&gt;=6,13,10)))),0)+IF($H78=1,IF($L$1&lt;7,10,IF(AND($L$1=7,$O77=0,$V77&gt;1),15,IF($O77&gt;=20,15,IF($O77&gt;=6,13,10)))),0)</f>
        <v/>
      </c>
      <c r="Z78" s="38">
        <f>$Z77+$Y78</f>
        <v/>
      </c>
      <c r="AA78" s="38">
        <f>IF(AND($B78=1,AND($F$1=7,$I77=0,$P77&gt;1)),1,0)+IF(AND($C78=1,AND($G$1=7,$J77=0,$Q77&gt;1)),1,0)+IF(AND($D78=1,AND($H$1=7,$K77=0,$R77&gt;1)),1,0)+IF(AND($E78=1,AND($I$1=7,$L77=0,$S77&gt;1)),1,0)+IF(AND($F78=1,AND($J$1=7,$M77=0,$T77&gt;1)),1,0)+IF(AND($G78=1,AND($K$1=7,$N77=0,$U77&gt;1)),1,0)+IF(AND($H78=1,AND($L$1=7,$O77=0,$V77&gt;1)),1,0)</f>
        <v/>
      </c>
      <c r="AB78" s="38">
        <f>IF(IFERROR('Мар'!$I14,"")="",0,$AB77+1)</f>
        <v/>
      </c>
    </row>
    <row r="79" spans="1:28">
      <c r="A79" s="38">
        <f>IF($B$1&gt;=DATE(2026,3,10),1,0)</f>
        <v/>
      </c>
      <c r="B79" s="38">
        <f>IFERROR(IF('Мар'!$B15=TRUE,1,0),0)</f>
        <v/>
      </c>
      <c r="C79" s="38">
        <f>IFERROR(IF('Мар'!$C15=TRUE,1,0),0)</f>
        <v/>
      </c>
      <c r="D79" s="38">
        <f>IFERROR(IF('Мар'!$D15=TRUE,1,0),0)</f>
        <v/>
      </c>
      <c r="E79" s="38">
        <f>IFERROR(IF('Мар'!$E15=TRUE,1,0),0)</f>
        <v/>
      </c>
      <c r="F79" s="38">
        <f>IFERROR(IF('Мар'!$F15=TRUE,1,0),0)</f>
        <v/>
      </c>
      <c r="G79" s="38">
        <f>IFERROR(IF('Мар'!$G15=TRUE,1,0),0)</f>
        <v/>
      </c>
      <c r="H79" s="38">
        <f>IFERROR(IF('Мар'!$H15=TRUE,1,0),0)</f>
        <v/>
      </c>
      <c r="I79" s="38">
        <f>IF($A79=0,$I78,IF($B79=1,$I78+1,IF($P79&lt;=1,$I78,0)))</f>
        <v/>
      </c>
      <c r="J79" s="38">
        <f>IF($A79=0,$J78,IF($C79=1,$J78+1,IF($Q79&lt;=1,$J78,0)))</f>
        <v/>
      </c>
      <c r="K79" s="38">
        <f>IF($A79=0,$K78,IF($D79=1,$K78+1,IF($R79&lt;=1,$K78,0)))</f>
        <v/>
      </c>
      <c r="L79" s="38">
        <f>IF($A79=0,$L78,IF($E79=1,$L78+1,IF($S79&lt;=1,$L78,0)))</f>
        <v/>
      </c>
      <c r="M79" s="38">
        <f>IF($A79=0,$M78,IF($F79=1,$M78+1,IF($T79&lt;=1,$M78,0)))</f>
        <v/>
      </c>
      <c r="N79" s="38">
        <f>IF($A79=0,$N78,IF($G79=1,$N78+1,IF($U79&lt;=1,$N78,0)))</f>
        <v/>
      </c>
      <c r="O79" s="38">
        <f>IF($A79=0,$O78,IF($H79=1,$O78+1,IF($V79&lt;=1,$O78,0)))</f>
        <v/>
      </c>
      <c r="P79" s="38">
        <f>IF($A79=0,$P78,$P78+IF($B79=1,0,1))</f>
        <v/>
      </c>
      <c r="Q79" s="38">
        <f>IF($A79=0,$Q78,$Q78+IF($C79=1,0,1))</f>
        <v/>
      </c>
      <c r="R79" s="38">
        <f>IF($A79=0,$R78,$R78+IF($D79=1,0,1))</f>
        <v/>
      </c>
      <c r="S79" s="38">
        <f>IF($A79=0,$S78,$S78+IF($E79=1,0,1))</f>
        <v/>
      </c>
      <c r="T79" s="38">
        <f>IF($A79=0,$T78,$T78+IF($F79=1,0,1))</f>
        <v/>
      </c>
      <c r="U79" s="38">
        <f>IF($A79=0,$U78,$U78+IF($G79=1,0,1))</f>
        <v/>
      </c>
      <c r="V79" s="38">
        <f>IF($A79=0,$V78,$V78+IF($H79=1,0,1))</f>
        <v/>
      </c>
      <c r="W79" s="38">
        <f>SUM($B79:$H79)</f>
        <v/>
      </c>
      <c r="X79" s="38">
        <f>IF(AND($A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79=1),1,0)+IF(AND($G$1=7,$C79=1),1,0)+IF(AND($H$1=7,$D79=1),1,0)+IF(AND($I$1=7,$E79=1),1,0)+IF(AND($J$1=7,$F79=1),1,0)+IF(AND($K$1=7,$G79=1),1,0)+IF(AND($L$1=7,$H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9" s="38">
        <f>IF($B79=1,IF($F$1&lt;7,10,IF(AND($F$1=7,$I78=0,$P78&gt;1),15,IF($I78&gt;=20,15,IF($I78&gt;=6,13,10)))),0)+IF($C79=1,IF($G$1&lt;7,10,IF(AND($G$1=7,$J78=0,$Q78&gt;1),15,IF($J78&gt;=20,15,IF($J78&gt;=6,13,10)))),0)+IF($D79=1,IF($H$1&lt;7,10,IF(AND($H$1=7,$K78=0,$R78&gt;1),15,IF($K78&gt;=20,15,IF($K78&gt;=6,13,10)))),0)+IF($E79=1,IF($I$1&lt;7,10,IF(AND($I$1=7,$L78=0,$S78&gt;1),15,IF($L78&gt;=20,15,IF($L78&gt;=6,13,10)))),0)+IF($F79=1,IF($J$1&lt;7,10,IF(AND($J$1=7,$M78=0,$T78&gt;1),15,IF($M78&gt;=20,15,IF($M78&gt;=6,13,10)))),0)+IF($G79=1,IF($K$1&lt;7,10,IF(AND($K$1=7,$N78=0,$U78&gt;1),15,IF($N78&gt;=20,15,IF($N78&gt;=6,13,10)))),0)+IF($H79=1,IF($L$1&lt;7,10,IF(AND($L$1=7,$O78=0,$V78&gt;1),15,IF($O78&gt;=20,15,IF($O78&gt;=6,13,10)))),0)</f>
        <v/>
      </c>
      <c r="Z79" s="38">
        <f>$Z78+$Y79</f>
        <v/>
      </c>
      <c r="AA79" s="38">
        <f>IF(AND($B79=1,AND($F$1=7,$I78=0,$P78&gt;1)),1,0)+IF(AND($C79=1,AND($G$1=7,$J78=0,$Q78&gt;1)),1,0)+IF(AND($D79=1,AND($H$1=7,$K78=0,$R78&gt;1)),1,0)+IF(AND($E79=1,AND($I$1=7,$L78=0,$S78&gt;1)),1,0)+IF(AND($F79=1,AND($J$1=7,$M78=0,$T78&gt;1)),1,0)+IF(AND($G79=1,AND($K$1=7,$N78=0,$U78&gt;1)),1,0)+IF(AND($H79=1,AND($L$1=7,$O78=0,$V78&gt;1)),1,0)</f>
        <v/>
      </c>
      <c r="AB79" s="38">
        <f>IF(IFERROR('Мар'!$I15,"")="",0,$AB78+1)</f>
        <v/>
      </c>
    </row>
    <row r="80" spans="1:28">
      <c r="A80" s="38">
        <f>IF($B$1&gt;=DATE(2026,3,11),1,0)</f>
        <v/>
      </c>
      <c r="B80" s="38">
        <f>IFERROR(IF('Мар'!$B16=TRUE,1,0),0)</f>
        <v/>
      </c>
      <c r="C80" s="38">
        <f>IFERROR(IF('Мар'!$C16=TRUE,1,0),0)</f>
        <v/>
      </c>
      <c r="D80" s="38">
        <f>IFERROR(IF('Мар'!$D16=TRUE,1,0),0)</f>
        <v/>
      </c>
      <c r="E80" s="38">
        <f>IFERROR(IF('Мар'!$E16=TRUE,1,0),0)</f>
        <v/>
      </c>
      <c r="F80" s="38">
        <f>IFERROR(IF('Мар'!$F16=TRUE,1,0),0)</f>
        <v/>
      </c>
      <c r="G80" s="38">
        <f>IFERROR(IF('Мар'!$G16=TRUE,1,0),0)</f>
        <v/>
      </c>
      <c r="H80" s="38">
        <f>IFERROR(IF('Мар'!$H16=TRUE,1,0),0)</f>
        <v/>
      </c>
      <c r="I80" s="38">
        <f>IF($A80=0,$I79,IF($B80=1,$I79+1,IF($P80&lt;=1,$I79,0)))</f>
        <v/>
      </c>
      <c r="J80" s="38">
        <f>IF($A80=0,$J79,IF($C80=1,$J79+1,IF($Q80&lt;=1,$J79,0)))</f>
        <v/>
      </c>
      <c r="K80" s="38">
        <f>IF($A80=0,$K79,IF($D80=1,$K79+1,IF($R80&lt;=1,$K79,0)))</f>
        <v/>
      </c>
      <c r="L80" s="38">
        <f>IF($A80=0,$L79,IF($E80=1,$L79+1,IF($S80&lt;=1,$L79,0)))</f>
        <v/>
      </c>
      <c r="M80" s="38">
        <f>IF($A80=0,$M79,IF($F80=1,$M79+1,IF($T80&lt;=1,$M79,0)))</f>
        <v/>
      </c>
      <c r="N80" s="38">
        <f>IF($A80=0,$N79,IF($G80=1,$N79+1,IF($U80&lt;=1,$N79,0)))</f>
        <v/>
      </c>
      <c r="O80" s="38">
        <f>IF($A80=0,$O79,IF($H80=1,$O79+1,IF($V80&lt;=1,$O79,0)))</f>
        <v/>
      </c>
      <c r="P80" s="38">
        <f>IF($A80=0,$P79,$P79+IF($B80=1,0,1))</f>
        <v/>
      </c>
      <c r="Q80" s="38">
        <f>IF($A80=0,$Q79,$Q79+IF($C80=1,0,1))</f>
        <v/>
      </c>
      <c r="R80" s="38">
        <f>IF($A80=0,$R79,$R79+IF($D80=1,0,1))</f>
        <v/>
      </c>
      <c r="S80" s="38">
        <f>IF($A80=0,$S79,$S79+IF($E80=1,0,1))</f>
        <v/>
      </c>
      <c r="T80" s="38">
        <f>IF($A80=0,$T79,$T79+IF($F80=1,0,1))</f>
        <v/>
      </c>
      <c r="U80" s="38">
        <f>IF($A80=0,$U79,$U79+IF($G80=1,0,1))</f>
        <v/>
      </c>
      <c r="V80" s="38">
        <f>IF($A80=0,$V79,$V79+IF($H80=1,0,1))</f>
        <v/>
      </c>
      <c r="W80" s="38">
        <f>SUM($B80:$H80)</f>
        <v/>
      </c>
      <c r="X80" s="38">
        <f>IF(AND($A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80=1),1,0)+IF(AND($G$1=7,$C80=1),1,0)+IF(AND($H$1=7,$D80=1),1,0)+IF(AND($I$1=7,$E80=1),1,0)+IF(AND($J$1=7,$F80=1),1,0)+IF(AND($K$1=7,$G80=1),1,0)+IF(AND($L$1=7,$H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0" s="38">
        <f>IF($B80=1,IF($F$1&lt;7,10,IF(AND($F$1=7,$I79=0,$P79&gt;1),15,IF($I79&gt;=20,15,IF($I79&gt;=6,13,10)))),0)+IF($C80=1,IF($G$1&lt;7,10,IF(AND($G$1=7,$J79=0,$Q79&gt;1),15,IF($J79&gt;=20,15,IF($J79&gt;=6,13,10)))),0)+IF($D80=1,IF($H$1&lt;7,10,IF(AND($H$1=7,$K79=0,$R79&gt;1),15,IF($K79&gt;=20,15,IF($K79&gt;=6,13,10)))),0)+IF($E80=1,IF($I$1&lt;7,10,IF(AND($I$1=7,$L79=0,$S79&gt;1),15,IF($L79&gt;=20,15,IF($L79&gt;=6,13,10)))),0)+IF($F80=1,IF($J$1&lt;7,10,IF(AND($J$1=7,$M79=0,$T79&gt;1),15,IF($M79&gt;=20,15,IF($M79&gt;=6,13,10)))),0)+IF($G80=1,IF($K$1&lt;7,10,IF(AND($K$1=7,$N79=0,$U79&gt;1),15,IF($N79&gt;=20,15,IF($N79&gt;=6,13,10)))),0)+IF($H80=1,IF($L$1&lt;7,10,IF(AND($L$1=7,$O79=0,$V79&gt;1),15,IF($O79&gt;=20,15,IF($O79&gt;=6,13,10)))),0)</f>
        <v/>
      </c>
      <c r="Z80" s="38">
        <f>$Z79+$Y80</f>
        <v/>
      </c>
      <c r="AA80" s="38">
        <f>IF(AND($B80=1,AND($F$1=7,$I79=0,$P79&gt;1)),1,0)+IF(AND($C80=1,AND($G$1=7,$J79=0,$Q79&gt;1)),1,0)+IF(AND($D80=1,AND($H$1=7,$K79=0,$R79&gt;1)),1,0)+IF(AND($E80=1,AND($I$1=7,$L79=0,$S79&gt;1)),1,0)+IF(AND($F80=1,AND($J$1=7,$M79=0,$T79&gt;1)),1,0)+IF(AND($G80=1,AND($K$1=7,$N79=0,$U79&gt;1)),1,0)+IF(AND($H80=1,AND($L$1=7,$O79=0,$V79&gt;1)),1,0)</f>
        <v/>
      </c>
      <c r="AB80" s="38">
        <f>IF(IFERROR('Мар'!$I16,"")="",0,$AB79+1)</f>
        <v/>
      </c>
    </row>
    <row r="81" spans="1:28">
      <c r="A81" s="38">
        <f>IF($B$1&gt;=DATE(2026,3,12),1,0)</f>
        <v/>
      </c>
      <c r="B81" s="38">
        <f>IFERROR(IF('Мар'!$B17=TRUE,1,0),0)</f>
        <v/>
      </c>
      <c r="C81" s="38">
        <f>IFERROR(IF('Мар'!$C17=TRUE,1,0),0)</f>
        <v/>
      </c>
      <c r="D81" s="38">
        <f>IFERROR(IF('Мар'!$D17=TRUE,1,0),0)</f>
        <v/>
      </c>
      <c r="E81" s="38">
        <f>IFERROR(IF('Мар'!$E17=TRUE,1,0),0)</f>
        <v/>
      </c>
      <c r="F81" s="38">
        <f>IFERROR(IF('Мар'!$F17=TRUE,1,0),0)</f>
        <v/>
      </c>
      <c r="G81" s="38">
        <f>IFERROR(IF('Мар'!$G17=TRUE,1,0),0)</f>
        <v/>
      </c>
      <c r="H81" s="38">
        <f>IFERROR(IF('Мар'!$H17=TRUE,1,0),0)</f>
        <v/>
      </c>
      <c r="I81" s="38">
        <f>IF($A81=0,$I80,IF($B81=1,$I80+1,IF($P81&lt;=1,$I80,0)))</f>
        <v/>
      </c>
      <c r="J81" s="38">
        <f>IF($A81=0,$J80,IF($C81=1,$J80+1,IF($Q81&lt;=1,$J80,0)))</f>
        <v/>
      </c>
      <c r="K81" s="38">
        <f>IF($A81=0,$K80,IF($D81=1,$K80+1,IF($R81&lt;=1,$K80,0)))</f>
        <v/>
      </c>
      <c r="L81" s="38">
        <f>IF($A81=0,$L80,IF($E81=1,$L80+1,IF($S81&lt;=1,$L80,0)))</f>
        <v/>
      </c>
      <c r="M81" s="38">
        <f>IF($A81=0,$M80,IF($F81=1,$M80+1,IF($T81&lt;=1,$M80,0)))</f>
        <v/>
      </c>
      <c r="N81" s="38">
        <f>IF($A81=0,$N80,IF($G81=1,$N80+1,IF($U81&lt;=1,$N80,0)))</f>
        <v/>
      </c>
      <c r="O81" s="38">
        <f>IF($A81=0,$O80,IF($H81=1,$O80+1,IF($V81&lt;=1,$O80,0)))</f>
        <v/>
      </c>
      <c r="P81" s="38">
        <f>IF($A81=0,$P80,$P80+IF($B81=1,0,1))</f>
        <v/>
      </c>
      <c r="Q81" s="38">
        <f>IF($A81=0,$Q80,$Q80+IF($C81=1,0,1))</f>
        <v/>
      </c>
      <c r="R81" s="38">
        <f>IF($A81=0,$R80,$R80+IF($D81=1,0,1))</f>
        <v/>
      </c>
      <c r="S81" s="38">
        <f>IF($A81=0,$S80,$S80+IF($E81=1,0,1))</f>
        <v/>
      </c>
      <c r="T81" s="38">
        <f>IF($A81=0,$T80,$T80+IF($F81=1,0,1))</f>
        <v/>
      </c>
      <c r="U81" s="38">
        <f>IF($A81=0,$U80,$U80+IF($G81=1,0,1))</f>
        <v/>
      </c>
      <c r="V81" s="38">
        <f>IF($A81=0,$V80,$V80+IF($H81=1,0,1))</f>
        <v/>
      </c>
      <c r="W81" s="38">
        <f>SUM($B81:$H81)</f>
        <v/>
      </c>
      <c r="X81" s="38">
        <f>IF(AND($A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81=1),1,0)+IF(AND($G$1=7,$C81=1),1,0)+IF(AND($H$1=7,$D81=1),1,0)+IF(AND($I$1=7,$E81=1),1,0)+IF(AND($J$1=7,$F81=1),1,0)+IF(AND($K$1=7,$G81=1),1,0)+IF(AND($L$1=7,$H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1" s="38">
        <f>IF($B81=1,IF($F$1&lt;7,10,IF(AND($F$1=7,$I80=0,$P80&gt;1),15,IF($I80&gt;=20,15,IF($I80&gt;=6,13,10)))),0)+IF($C81=1,IF($G$1&lt;7,10,IF(AND($G$1=7,$J80=0,$Q80&gt;1),15,IF($J80&gt;=20,15,IF($J80&gt;=6,13,10)))),0)+IF($D81=1,IF($H$1&lt;7,10,IF(AND($H$1=7,$K80=0,$R80&gt;1),15,IF($K80&gt;=20,15,IF($K80&gt;=6,13,10)))),0)+IF($E81=1,IF($I$1&lt;7,10,IF(AND($I$1=7,$L80=0,$S80&gt;1),15,IF($L80&gt;=20,15,IF($L80&gt;=6,13,10)))),0)+IF($F81=1,IF($J$1&lt;7,10,IF(AND($J$1=7,$M80=0,$T80&gt;1),15,IF($M80&gt;=20,15,IF($M80&gt;=6,13,10)))),0)+IF($G81=1,IF($K$1&lt;7,10,IF(AND($K$1=7,$N80=0,$U80&gt;1),15,IF($N80&gt;=20,15,IF($N80&gt;=6,13,10)))),0)+IF($H81=1,IF($L$1&lt;7,10,IF(AND($L$1=7,$O80=0,$V80&gt;1),15,IF($O80&gt;=20,15,IF($O80&gt;=6,13,10)))),0)</f>
        <v/>
      </c>
      <c r="Z81" s="38">
        <f>$Z80+$Y81</f>
        <v/>
      </c>
      <c r="AA81" s="38">
        <f>IF(AND($B81=1,AND($F$1=7,$I80=0,$P80&gt;1)),1,0)+IF(AND($C81=1,AND($G$1=7,$J80=0,$Q80&gt;1)),1,0)+IF(AND($D81=1,AND($H$1=7,$K80=0,$R80&gt;1)),1,0)+IF(AND($E81=1,AND($I$1=7,$L80=0,$S80&gt;1)),1,0)+IF(AND($F81=1,AND($J$1=7,$M80=0,$T80&gt;1)),1,0)+IF(AND($G81=1,AND($K$1=7,$N80=0,$U80&gt;1)),1,0)+IF(AND($H81=1,AND($L$1=7,$O80=0,$V80&gt;1)),1,0)</f>
        <v/>
      </c>
      <c r="AB81" s="38">
        <f>IF(IFERROR('Мар'!$I17,"")="",0,$AB80+1)</f>
        <v/>
      </c>
    </row>
    <row r="82" spans="1:28">
      <c r="A82" s="38">
        <f>IF($B$1&gt;=DATE(2026,3,13),1,0)</f>
        <v/>
      </c>
      <c r="B82" s="38">
        <f>IFERROR(IF('Мар'!$B18=TRUE,1,0),0)</f>
        <v/>
      </c>
      <c r="C82" s="38">
        <f>IFERROR(IF('Мар'!$C18=TRUE,1,0),0)</f>
        <v/>
      </c>
      <c r="D82" s="38">
        <f>IFERROR(IF('Мар'!$D18=TRUE,1,0),0)</f>
        <v/>
      </c>
      <c r="E82" s="38">
        <f>IFERROR(IF('Мар'!$E18=TRUE,1,0),0)</f>
        <v/>
      </c>
      <c r="F82" s="38">
        <f>IFERROR(IF('Мар'!$F18=TRUE,1,0),0)</f>
        <v/>
      </c>
      <c r="G82" s="38">
        <f>IFERROR(IF('Мар'!$G18=TRUE,1,0),0)</f>
        <v/>
      </c>
      <c r="H82" s="38">
        <f>IFERROR(IF('Мар'!$H18=TRUE,1,0),0)</f>
        <v/>
      </c>
      <c r="I82" s="38">
        <f>IF($A82=0,$I81,IF($B82=1,$I81+1,IF($P82&lt;=1,$I81,0)))</f>
        <v/>
      </c>
      <c r="J82" s="38">
        <f>IF($A82=0,$J81,IF($C82=1,$J81+1,IF($Q82&lt;=1,$J81,0)))</f>
        <v/>
      </c>
      <c r="K82" s="38">
        <f>IF($A82=0,$K81,IF($D82=1,$K81+1,IF($R82&lt;=1,$K81,0)))</f>
        <v/>
      </c>
      <c r="L82" s="38">
        <f>IF($A82=0,$L81,IF($E82=1,$L81+1,IF($S82&lt;=1,$L81,0)))</f>
        <v/>
      </c>
      <c r="M82" s="38">
        <f>IF($A82=0,$M81,IF($F82=1,$M81+1,IF($T82&lt;=1,$M81,0)))</f>
        <v/>
      </c>
      <c r="N82" s="38">
        <f>IF($A82=0,$N81,IF($G82=1,$N81+1,IF($U82&lt;=1,$N81,0)))</f>
        <v/>
      </c>
      <c r="O82" s="38">
        <f>IF($A82=0,$O81,IF($H82=1,$O81+1,IF($V82&lt;=1,$O81,0)))</f>
        <v/>
      </c>
      <c r="P82" s="38">
        <f>IF($A82=0,$P81,$P81+IF($B82=1,0,1))</f>
        <v/>
      </c>
      <c r="Q82" s="38">
        <f>IF($A82=0,$Q81,$Q81+IF($C82=1,0,1))</f>
        <v/>
      </c>
      <c r="R82" s="38">
        <f>IF($A82=0,$R81,$R81+IF($D82=1,0,1))</f>
        <v/>
      </c>
      <c r="S82" s="38">
        <f>IF($A82=0,$S81,$S81+IF($E82=1,0,1))</f>
        <v/>
      </c>
      <c r="T82" s="38">
        <f>IF($A82=0,$T81,$T81+IF($F82=1,0,1))</f>
        <v/>
      </c>
      <c r="U82" s="38">
        <f>IF($A82=0,$U81,$U81+IF($G82=1,0,1))</f>
        <v/>
      </c>
      <c r="V82" s="38">
        <f>IF($A82=0,$V81,$V81+IF($H82=1,0,1))</f>
        <v/>
      </c>
      <c r="W82" s="38">
        <f>SUM($B82:$H82)</f>
        <v/>
      </c>
      <c r="X82" s="38">
        <f>IF(AND($A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82=1),1,0)+IF(AND($G$1=7,$C82=1),1,0)+IF(AND($H$1=7,$D82=1),1,0)+IF(AND($I$1=7,$E82=1),1,0)+IF(AND($J$1=7,$F82=1),1,0)+IF(AND($K$1=7,$G82=1),1,0)+IF(AND($L$1=7,$H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2" s="38">
        <f>IF($B82=1,IF($F$1&lt;7,10,IF(AND($F$1=7,$I81=0,$P81&gt;1),15,IF($I81&gt;=20,15,IF($I81&gt;=6,13,10)))),0)+IF($C82=1,IF($G$1&lt;7,10,IF(AND($G$1=7,$J81=0,$Q81&gt;1),15,IF($J81&gt;=20,15,IF($J81&gt;=6,13,10)))),0)+IF($D82=1,IF($H$1&lt;7,10,IF(AND($H$1=7,$K81=0,$R81&gt;1),15,IF($K81&gt;=20,15,IF($K81&gt;=6,13,10)))),0)+IF($E82=1,IF($I$1&lt;7,10,IF(AND($I$1=7,$L81=0,$S81&gt;1),15,IF($L81&gt;=20,15,IF($L81&gt;=6,13,10)))),0)+IF($F82=1,IF($J$1&lt;7,10,IF(AND($J$1=7,$M81=0,$T81&gt;1),15,IF($M81&gt;=20,15,IF($M81&gt;=6,13,10)))),0)+IF($G82=1,IF($K$1&lt;7,10,IF(AND($K$1=7,$N81=0,$U81&gt;1),15,IF($N81&gt;=20,15,IF($N81&gt;=6,13,10)))),0)+IF($H82=1,IF($L$1&lt;7,10,IF(AND($L$1=7,$O81=0,$V81&gt;1),15,IF($O81&gt;=20,15,IF($O81&gt;=6,13,10)))),0)</f>
        <v/>
      </c>
      <c r="Z82" s="38">
        <f>$Z81+$Y82</f>
        <v/>
      </c>
      <c r="AA82" s="38">
        <f>IF(AND($B82=1,AND($F$1=7,$I81=0,$P81&gt;1)),1,0)+IF(AND($C82=1,AND($G$1=7,$J81=0,$Q81&gt;1)),1,0)+IF(AND($D82=1,AND($H$1=7,$K81=0,$R81&gt;1)),1,0)+IF(AND($E82=1,AND($I$1=7,$L81=0,$S81&gt;1)),1,0)+IF(AND($F82=1,AND($J$1=7,$M81=0,$T81&gt;1)),1,0)+IF(AND($G82=1,AND($K$1=7,$N81=0,$U81&gt;1)),1,0)+IF(AND($H82=1,AND($L$1=7,$O81=0,$V81&gt;1)),1,0)</f>
        <v/>
      </c>
      <c r="AB82" s="38">
        <f>IF(IFERROR('Мар'!$I18,"")="",0,$AB81+1)</f>
        <v/>
      </c>
    </row>
    <row r="83" spans="1:28">
      <c r="A83" s="38">
        <f>IF($B$1&gt;=DATE(2026,3,14),1,0)</f>
        <v/>
      </c>
      <c r="B83" s="38">
        <f>IFERROR(IF('Мар'!$B19=TRUE,1,0),0)</f>
        <v/>
      </c>
      <c r="C83" s="38">
        <f>IFERROR(IF('Мар'!$C19=TRUE,1,0),0)</f>
        <v/>
      </c>
      <c r="D83" s="38">
        <f>IFERROR(IF('Мар'!$D19=TRUE,1,0),0)</f>
        <v/>
      </c>
      <c r="E83" s="38">
        <f>IFERROR(IF('Мар'!$E19=TRUE,1,0),0)</f>
        <v/>
      </c>
      <c r="F83" s="38">
        <f>IFERROR(IF('Мар'!$F19=TRUE,1,0),0)</f>
        <v/>
      </c>
      <c r="G83" s="38">
        <f>IFERROR(IF('Мар'!$G19=TRUE,1,0),0)</f>
        <v/>
      </c>
      <c r="H83" s="38">
        <f>IFERROR(IF('Мар'!$H19=TRUE,1,0),0)</f>
        <v/>
      </c>
      <c r="I83" s="38">
        <f>IF($A83=0,$I82,IF($B83=1,$I82+1,IF($P83&lt;=1,$I82,0)))</f>
        <v/>
      </c>
      <c r="J83" s="38">
        <f>IF($A83=0,$J82,IF($C83=1,$J82+1,IF($Q83&lt;=1,$J82,0)))</f>
        <v/>
      </c>
      <c r="K83" s="38">
        <f>IF($A83=0,$K82,IF($D83=1,$K82+1,IF($R83&lt;=1,$K82,0)))</f>
        <v/>
      </c>
      <c r="L83" s="38">
        <f>IF($A83=0,$L82,IF($E83=1,$L82+1,IF($S83&lt;=1,$L82,0)))</f>
        <v/>
      </c>
      <c r="M83" s="38">
        <f>IF($A83=0,$M82,IF($F83=1,$M82+1,IF($T83&lt;=1,$M82,0)))</f>
        <v/>
      </c>
      <c r="N83" s="38">
        <f>IF($A83=0,$N82,IF($G83=1,$N82+1,IF($U83&lt;=1,$N82,0)))</f>
        <v/>
      </c>
      <c r="O83" s="38">
        <f>IF($A83=0,$O82,IF($H83=1,$O82+1,IF($V83&lt;=1,$O82,0)))</f>
        <v/>
      </c>
      <c r="P83" s="38">
        <f>IF($A83=0,$P82,$P82+IF($B83=1,0,1))</f>
        <v/>
      </c>
      <c r="Q83" s="38">
        <f>IF($A83=0,$Q82,$Q82+IF($C83=1,0,1))</f>
        <v/>
      </c>
      <c r="R83" s="38">
        <f>IF($A83=0,$R82,$R82+IF($D83=1,0,1))</f>
        <v/>
      </c>
      <c r="S83" s="38">
        <f>IF($A83=0,$S82,$S82+IF($E83=1,0,1))</f>
        <v/>
      </c>
      <c r="T83" s="38">
        <f>IF($A83=0,$T82,$T82+IF($F83=1,0,1))</f>
        <v/>
      </c>
      <c r="U83" s="38">
        <f>IF($A83=0,$U82,$U82+IF($G83=1,0,1))</f>
        <v/>
      </c>
      <c r="V83" s="38">
        <f>IF($A83=0,$V82,$V82+IF($H83=1,0,1))</f>
        <v/>
      </c>
      <c r="W83" s="38">
        <f>SUM($B83:$H83)</f>
        <v/>
      </c>
      <c r="X83" s="38">
        <f>IF(AND($A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83=1),1,0)+IF(AND($G$1=7,$C83=1),1,0)+IF(AND($H$1=7,$D83=1),1,0)+IF(AND($I$1=7,$E83=1),1,0)+IF(AND($J$1=7,$F83=1),1,0)+IF(AND($K$1=7,$G83=1),1,0)+IF(AND($L$1=7,$H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3" s="38">
        <f>IF($B83=1,IF($F$1&lt;7,10,IF(AND($F$1=7,$I82=0,$P82&gt;1),15,IF($I82&gt;=20,15,IF($I82&gt;=6,13,10)))),0)+IF($C83=1,IF($G$1&lt;7,10,IF(AND($G$1=7,$J82=0,$Q82&gt;1),15,IF($J82&gt;=20,15,IF($J82&gt;=6,13,10)))),0)+IF($D83=1,IF($H$1&lt;7,10,IF(AND($H$1=7,$K82=0,$R82&gt;1),15,IF($K82&gt;=20,15,IF($K82&gt;=6,13,10)))),0)+IF($E83=1,IF($I$1&lt;7,10,IF(AND($I$1=7,$L82=0,$S82&gt;1),15,IF($L82&gt;=20,15,IF($L82&gt;=6,13,10)))),0)+IF($F83=1,IF($J$1&lt;7,10,IF(AND($J$1=7,$M82=0,$T82&gt;1),15,IF($M82&gt;=20,15,IF($M82&gt;=6,13,10)))),0)+IF($G83=1,IF($K$1&lt;7,10,IF(AND($K$1=7,$N82=0,$U82&gt;1),15,IF($N82&gt;=20,15,IF($N82&gt;=6,13,10)))),0)+IF($H83=1,IF($L$1&lt;7,10,IF(AND($L$1=7,$O82=0,$V82&gt;1),15,IF($O82&gt;=20,15,IF($O82&gt;=6,13,10)))),0)</f>
        <v/>
      </c>
      <c r="Z83" s="38">
        <f>$Z82+$Y83</f>
        <v/>
      </c>
      <c r="AA83" s="38">
        <f>IF(AND($B83=1,AND($F$1=7,$I82=0,$P82&gt;1)),1,0)+IF(AND($C83=1,AND($G$1=7,$J82=0,$Q82&gt;1)),1,0)+IF(AND($D83=1,AND($H$1=7,$K82=0,$R82&gt;1)),1,0)+IF(AND($E83=1,AND($I$1=7,$L82=0,$S82&gt;1)),1,0)+IF(AND($F83=1,AND($J$1=7,$M82=0,$T82&gt;1)),1,0)+IF(AND($G83=1,AND($K$1=7,$N82=0,$U82&gt;1)),1,0)+IF(AND($H83=1,AND($L$1=7,$O82=0,$V82&gt;1)),1,0)</f>
        <v/>
      </c>
      <c r="AB83" s="38">
        <f>IF(IFERROR('Мар'!$I19,"")="",0,$AB82+1)</f>
        <v/>
      </c>
    </row>
    <row r="84" spans="1:28">
      <c r="A84" s="38">
        <f>IF($B$1&gt;=DATE(2026,3,15),1,0)</f>
        <v/>
      </c>
      <c r="B84" s="38">
        <f>IFERROR(IF('Мар'!$B20=TRUE,1,0),0)</f>
        <v/>
      </c>
      <c r="C84" s="38">
        <f>IFERROR(IF('Мар'!$C20=TRUE,1,0),0)</f>
        <v/>
      </c>
      <c r="D84" s="38">
        <f>IFERROR(IF('Мар'!$D20=TRUE,1,0),0)</f>
        <v/>
      </c>
      <c r="E84" s="38">
        <f>IFERROR(IF('Мар'!$E20=TRUE,1,0),0)</f>
        <v/>
      </c>
      <c r="F84" s="38">
        <f>IFERROR(IF('Мар'!$F20=TRUE,1,0),0)</f>
        <v/>
      </c>
      <c r="G84" s="38">
        <f>IFERROR(IF('Мар'!$G20=TRUE,1,0),0)</f>
        <v/>
      </c>
      <c r="H84" s="38">
        <f>IFERROR(IF('Мар'!$H20=TRUE,1,0),0)</f>
        <v/>
      </c>
      <c r="I84" s="38">
        <f>IF($A84=0,$I83,IF($B84=1,$I83+1,IF($P84&lt;=1,$I83,0)))</f>
        <v/>
      </c>
      <c r="J84" s="38">
        <f>IF($A84=0,$J83,IF($C84=1,$J83+1,IF($Q84&lt;=1,$J83,0)))</f>
        <v/>
      </c>
      <c r="K84" s="38">
        <f>IF($A84=0,$K83,IF($D84=1,$K83+1,IF($R84&lt;=1,$K83,0)))</f>
        <v/>
      </c>
      <c r="L84" s="38">
        <f>IF($A84=0,$L83,IF($E84=1,$L83+1,IF($S84&lt;=1,$L83,0)))</f>
        <v/>
      </c>
      <c r="M84" s="38">
        <f>IF($A84=0,$M83,IF($F84=1,$M83+1,IF($T84&lt;=1,$M83,0)))</f>
        <v/>
      </c>
      <c r="N84" s="38">
        <f>IF($A84=0,$N83,IF($G84=1,$N83+1,IF($U84&lt;=1,$N83,0)))</f>
        <v/>
      </c>
      <c r="O84" s="38">
        <f>IF($A84=0,$O83,IF($H84=1,$O83+1,IF($V84&lt;=1,$O83,0)))</f>
        <v/>
      </c>
      <c r="P84" s="38">
        <f>IF($A84=0,$P83,$P83+IF($B84=1,0,1))</f>
        <v/>
      </c>
      <c r="Q84" s="38">
        <f>IF($A84=0,$Q83,$Q83+IF($C84=1,0,1))</f>
        <v/>
      </c>
      <c r="R84" s="38">
        <f>IF($A84=0,$R83,$R83+IF($D84=1,0,1))</f>
        <v/>
      </c>
      <c r="S84" s="38">
        <f>IF($A84=0,$S83,$S83+IF($E84=1,0,1))</f>
        <v/>
      </c>
      <c r="T84" s="38">
        <f>IF($A84=0,$T83,$T83+IF($F84=1,0,1))</f>
        <v/>
      </c>
      <c r="U84" s="38">
        <f>IF($A84=0,$U83,$U83+IF($G84=1,0,1))</f>
        <v/>
      </c>
      <c r="V84" s="38">
        <f>IF($A84=0,$V83,$V83+IF($H84=1,0,1))</f>
        <v/>
      </c>
      <c r="W84" s="38">
        <f>SUM($B84:$H84)</f>
        <v/>
      </c>
      <c r="X84" s="38">
        <f>IF(AND($A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84=1),1,0)+IF(AND($G$1=7,$C84=1),1,0)+IF(AND($H$1=7,$D84=1),1,0)+IF(AND($I$1=7,$E84=1),1,0)+IF(AND($J$1=7,$F84=1),1,0)+IF(AND($K$1=7,$G84=1),1,0)+IF(AND($L$1=7,$H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4" s="38">
        <f>IF($B84=1,IF($F$1&lt;7,10,IF(AND($F$1=7,$I83=0,$P83&gt;1),15,IF($I83&gt;=20,15,IF($I83&gt;=6,13,10)))),0)+IF($C84=1,IF($G$1&lt;7,10,IF(AND($G$1=7,$J83=0,$Q83&gt;1),15,IF($J83&gt;=20,15,IF($J83&gt;=6,13,10)))),0)+IF($D84=1,IF($H$1&lt;7,10,IF(AND($H$1=7,$K83=0,$R83&gt;1),15,IF($K83&gt;=20,15,IF($K83&gt;=6,13,10)))),0)+IF($E84=1,IF($I$1&lt;7,10,IF(AND($I$1=7,$L83=0,$S83&gt;1),15,IF($L83&gt;=20,15,IF($L83&gt;=6,13,10)))),0)+IF($F84=1,IF($J$1&lt;7,10,IF(AND($J$1=7,$M83=0,$T83&gt;1),15,IF($M83&gt;=20,15,IF($M83&gt;=6,13,10)))),0)+IF($G84=1,IF($K$1&lt;7,10,IF(AND($K$1=7,$N83=0,$U83&gt;1),15,IF($N83&gt;=20,15,IF($N83&gt;=6,13,10)))),0)+IF($H84=1,IF($L$1&lt;7,10,IF(AND($L$1=7,$O83=0,$V83&gt;1),15,IF($O83&gt;=20,15,IF($O83&gt;=6,13,10)))),0)</f>
        <v/>
      </c>
      <c r="Z84" s="38">
        <f>$Z83+$Y84</f>
        <v/>
      </c>
      <c r="AA84" s="38">
        <f>IF(AND($B84=1,AND($F$1=7,$I83=0,$P83&gt;1)),1,0)+IF(AND($C84=1,AND($G$1=7,$J83=0,$Q83&gt;1)),1,0)+IF(AND($D84=1,AND($H$1=7,$K83=0,$R83&gt;1)),1,0)+IF(AND($E84=1,AND($I$1=7,$L83=0,$S83&gt;1)),1,0)+IF(AND($F84=1,AND($J$1=7,$M83=0,$T83&gt;1)),1,0)+IF(AND($G84=1,AND($K$1=7,$N83=0,$U83&gt;1)),1,0)+IF(AND($H84=1,AND($L$1=7,$O83=0,$V83&gt;1)),1,0)</f>
        <v/>
      </c>
      <c r="AB84" s="38">
        <f>IF(IFERROR('Мар'!$I20,"")="",0,$AB83+1)</f>
        <v/>
      </c>
    </row>
    <row r="85" spans="1:28">
      <c r="A85" s="38">
        <f>IF($B$1&gt;=DATE(2026,3,16),1,0)</f>
        <v/>
      </c>
      <c r="B85" s="38">
        <f>IFERROR(IF('Мар'!$B21=TRUE,1,0),0)</f>
        <v/>
      </c>
      <c r="C85" s="38">
        <f>IFERROR(IF('Мар'!$C21=TRUE,1,0),0)</f>
        <v/>
      </c>
      <c r="D85" s="38">
        <f>IFERROR(IF('Мар'!$D21=TRUE,1,0),0)</f>
        <v/>
      </c>
      <c r="E85" s="38">
        <f>IFERROR(IF('Мар'!$E21=TRUE,1,0),0)</f>
        <v/>
      </c>
      <c r="F85" s="38">
        <f>IFERROR(IF('Мар'!$F21=TRUE,1,0),0)</f>
        <v/>
      </c>
      <c r="G85" s="38">
        <f>IFERROR(IF('Мар'!$G21=TRUE,1,0),0)</f>
        <v/>
      </c>
      <c r="H85" s="38">
        <f>IFERROR(IF('Мар'!$H21=TRUE,1,0),0)</f>
        <v/>
      </c>
      <c r="I85" s="38">
        <f>IF($A85=0,$I84,IF($B85=1,$I84+1,IF($P85&lt;=1,$I84,0)))</f>
        <v/>
      </c>
      <c r="J85" s="38">
        <f>IF($A85=0,$J84,IF($C85=1,$J84+1,IF($Q85&lt;=1,$J84,0)))</f>
        <v/>
      </c>
      <c r="K85" s="38">
        <f>IF($A85=0,$K84,IF($D85=1,$K84+1,IF($R85&lt;=1,$K84,0)))</f>
        <v/>
      </c>
      <c r="L85" s="38">
        <f>IF($A85=0,$L84,IF($E85=1,$L84+1,IF($S85&lt;=1,$L84,0)))</f>
        <v/>
      </c>
      <c r="M85" s="38">
        <f>IF($A85=0,$M84,IF($F85=1,$M84+1,IF($T85&lt;=1,$M84,0)))</f>
        <v/>
      </c>
      <c r="N85" s="38">
        <f>IF($A85=0,$N84,IF($G85=1,$N84+1,IF($U85&lt;=1,$N84,0)))</f>
        <v/>
      </c>
      <c r="O85" s="38">
        <f>IF($A85=0,$O84,IF($H85=1,$O84+1,IF($V85&lt;=1,$O84,0)))</f>
        <v/>
      </c>
      <c r="P85" s="38">
        <f>IF($A85=0,$P84,$P84+IF($B85=1,0,1))</f>
        <v/>
      </c>
      <c r="Q85" s="38">
        <f>IF($A85=0,$Q84,$Q84+IF($C85=1,0,1))</f>
        <v/>
      </c>
      <c r="R85" s="38">
        <f>IF($A85=0,$R84,$R84+IF($D85=1,0,1))</f>
        <v/>
      </c>
      <c r="S85" s="38">
        <f>IF($A85=0,$S84,$S84+IF($E85=1,0,1))</f>
        <v/>
      </c>
      <c r="T85" s="38">
        <f>IF($A85=0,$T84,$T84+IF($F85=1,0,1))</f>
        <v/>
      </c>
      <c r="U85" s="38">
        <f>IF($A85=0,$U84,$U84+IF($G85=1,0,1))</f>
        <v/>
      </c>
      <c r="V85" s="38">
        <f>IF($A85=0,$V84,$V84+IF($H85=1,0,1))</f>
        <v/>
      </c>
      <c r="W85" s="38">
        <f>SUM($B85:$H85)</f>
        <v/>
      </c>
      <c r="X85" s="38">
        <f>IF(AND($A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85=1),1,0)+IF(AND($G$1=7,$C85=1),1,0)+IF(AND($H$1=7,$D85=1),1,0)+IF(AND($I$1=7,$E85=1),1,0)+IF(AND($J$1=7,$F85=1),1,0)+IF(AND($K$1=7,$G85=1),1,0)+IF(AND($L$1=7,$H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5" s="38">
        <f>IF($B85=1,IF($F$1&lt;7,10,IF(AND($F$1=7,$I84=0,$P84&gt;1),15,IF($I84&gt;=20,15,IF($I84&gt;=6,13,10)))),0)+IF($C85=1,IF($G$1&lt;7,10,IF(AND($G$1=7,$J84=0,$Q84&gt;1),15,IF($J84&gt;=20,15,IF($J84&gt;=6,13,10)))),0)+IF($D85=1,IF($H$1&lt;7,10,IF(AND($H$1=7,$K84=0,$R84&gt;1),15,IF($K84&gt;=20,15,IF($K84&gt;=6,13,10)))),0)+IF($E85=1,IF($I$1&lt;7,10,IF(AND($I$1=7,$L84=0,$S84&gt;1),15,IF($L84&gt;=20,15,IF($L84&gt;=6,13,10)))),0)+IF($F85=1,IF($J$1&lt;7,10,IF(AND($J$1=7,$M84=0,$T84&gt;1),15,IF($M84&gt;=20,15,IF($M84&gt;=6,13,10)))),0)+IF($G85=1,IF($K$1&lt;7,10,IF(AND($K$1=7,$N84=0,$U84&gt;1),15,IF($N84&gt;=20,15,IF($N84&gt;=6,13,10)))),0)+IF($H85=1,IF($L$1&lt;7,10,IF(AND($L$1=7,$O84=0,$V84&gt;1),15,IF($O84&gt;=20,15,IF($O84&gt;=6,13,10)))),0)</f>
        <v/>
      </c>
      <c r="Z85" s="38">
        <f>$Z84+$Y85</f>
        <v/>
      </c>
      <c r="AA85" s="38">
        <f>IF(AND($B85=1,AND($F$1=7,$I84=0,$P84&gt;1)),1,0)+IF(AND($C85=1,AND($G$1=7,$J84=0,$Q84&gt;1)),1,0)+IF(AND($D85=1,AND($H$1=7,$K84=0,$R84&gt;1)),1,0)+IF(AND($E85=1,AND($I$1=7,$L84=0,$S84&gt;1)),1,0)+IF(AND($F85=1,AND($J$1=7,$M84=0,$T84&gt;1)),1,0)+IF(AND($G85=1,AND($K$1=7,$N84=0,$U84&gt;1)),1,0)+IF(AND($H85=1,AND($L$1=7,$O84=0,$V84&gt;1)),1,0)</f>
        <v/>
      </c>
      <c r="AB85" s="38">
        <f>IF(IFERROR('Мар'!$I21,"")="",0,$AB84+1)</f>
        <v/>
      </c>
    </row>
    <row r="86" spans="1:28">
      <c r="A86" s="38">
        <f>IF($B$1&gt;=DATE(2026,3,17),1,0)</f>
        <v/>
      </c>
      <c r="B86" s="38">
        <f>IFERROR(IF('Мар'!$B22=TRUE,1,0),0)</f>
        <v/>
      </c>
      <c r="C86" s="38">
        <f>IFERROR(IF('Мар'!$C22=TRUE,1,0),0)</f>
        <v/>
      </c>
      <c r="D86" s="38">
        <f>IFERROR(IF('Мар'!$D22=TRUE,1,0),0)</f>
        <v/>
      </c>
      <c r="E86" s="38">
        <f>IFERROR(IF('Мар'!$E22=TRUE,1,0),0)</f>
        <v/>
      </c>
      <c r="F86" s="38">
        <f>IFERROR(IF('Мар'!$F22=TRUE,1,0),0)</f>
        <v/>
      </c>
      <c r="G86" s="38">
        <f>IFERROR(IF('Мар'!$G22=TRUE,1,0),0)</f>
        <v/>
      </c>
      <c r="H86" s="38">
        <f>IFERROR(IF('Мар'!$H22=TRUE,1,0),0)</f>
        <v/>
      </c>
      <c r="I86" s="38">
        <f>IF($A86=0,$I85,IF($B86=1,$I85+1,IF($P86&lt;=1,$I85,0)))</f>
        <v/>
      </c>
      <c r="J86" s="38">
        <f>IF($A86=0,$J85,IF($C86=1,$J85+1,IF($Q86&lt;=1,$J85,0)))</f>
        <v/>
      </c>
      <c r="K86" s="38">
        <f>IF($A86=0,$K85,IF($D86=1,$K85+1,IF($R86&lt;=1,$K85,0)))</f>
        <v/>
      </c>
      <c r="L86" s="38">
        <f>IF($A86=0,$L85,IF($E86=1,$L85+1,IF($S86&lt;=1,$L85,0)))</f>
        <v/>
      </c>
      <c r="M86" s="38">
        <f>IF($A86=0,$M85,IF($F86=1,$M85+1,IF($T86&lt;=1,$M85,0)))</f>
        <v/>
      </c>
      <c r="N86" s="38">
        <f>IF($A86=0,$N85,IF($G86=1,$N85+1,IF($U86&lt;=1,$N85,0)))</f>
        <v/>
      </c>
      <c r="O86" s="38">
        <f>IF($A86=0,$O85,IF($H86=1,$O85+1,IF($V86&lt;=1,$O85,0)))</f>
        <v/>
      </c>
      <c r="P86" s="38">
        <f>IF($A86=0,$P85,$P85+IF($B86=1,0,1))</f>
        <v/>
      </c>
      <c r="Q86" s="38">
        <f>IF($A86=0,$Q85,$Q85+IF($C86=1,0,1))</f>
        <v/>
      </c>
      <c r="R86" s="38">
        <f>IF($A86=0,$R85,$R85+IF($D86=1,0,1))</f>
        <v/>
      </c>
      <c r="S86" s="38">
        <f>IF($A86=0,$S85,$S85+IF($E86=1,0,1))</f>
        <v/>
      </c>
      <c r="T86" s="38">
        <f>IF($A86=0,$T85,$T85+IF($F86=1,0,1))</f>
        <v/>
      </c>
      <c r="U86" s="38">
        <f>IF($A86=0,$U85,$U85+IF($G86=1,0,1))</f>
        <v/>
      </c>
      <c r="V86" s="38">
        <f>IF($A86=0,$V85,$V85+IF($H86=1,0,1))</f>
        <v/>
      </c>
      <c r="W86" s="38">
        <f>SUM($B86:$H86)</f>
        <v/>
      </c>
      <c r="X86" s="38">
        <f>IF(AND($A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86=1),1,0)+IF(AND($G$1=7,$C86=1),1,0)+IF(AND($H$1=7,$D86=1),1,0)+IF(AND($I$1=7,$E86=1),1,0)+IF(AND($J$1=7,$F86=1),1,0)+IF(AND($K$1=7,$G86=1),1,0)+IF(AND($L$1=7,$H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6" s="38">
        <f>IF($B86=1,IF($F$1&lt;7,10,IF(AND($F$1=7,$I85=0,$P85&gt;1),15,IF($I85&gt;=20,15,IF($I85&gt;=6,13,10)))),0)+IF($C86=1,IF($G$1&lt;7,10,IF(AND($G$1=7,$J85=0,$Q85&gt;1),15,IF($J85&gt;=20,15,IF($J85&gt;=6,13,10)))),0)+IF($D86=1,IF($H$1&lt;7,10,IF(AND($H$1=7,$K85=0,$R85&gt;1),15,IF($K85&gt;=20,15,IF($K85&gt;=6,13,10)))),0)+IF($E86=1,IF($I$1&lt;7,10,IF(AND($I$1=7,$L85=0,$S85&gt;1),15,IF($L85&gt;=20,15,IF($L85&gt;=6,13,10)))),0)+IF($F86=1,IF($J$1&lt;7,10,IF(AND($J$1=7,$M85=0,$T85&gt;1),15,IF($M85&gt;=20,15,IF($M85&gt;=6,13,10)))),0)+IF($G86=1,IF($K$1&lt;7,10,IF(AND($K$1=7,$N85=0,$U85&gt;1),15,IF($N85&gt;=20,15,IF($N85&gt;=6,13,10)))),0)+IF($H86=1,IF($L$1&lt;7,10,IF(AND($L$1=7,$O85=0,$V85&gt;1),15,IF($O85&gt;=20,15,IF($O85&gt;=6,13,10)))),0)</f>
        <v/>
      </c>
      <c r="Z86" s="38">
        <f>$Z85+$Y86</f>
        <v/>
      </c>
      <c r="AA86" s="38">
        <f>IF(AND($B86=1,AND($F$1=7,$I85=0,$P85&gt;1)),1,0)+IF(AND($C86=1,AND($G$1=7,$J85=0,$Q85&gt;1)),1,0)+IF(AND($D86=1,AND($H$1=7,$K85=0,$R85&gt;1)),1,0)+IF(AND($E86=1,AND($I$1=7,$L85=0,$S85&gt;1)),1,0)+IF(AND($F86=1,AND($J$1=7,$M85=0,$T85&gt;1)),1,0)+IF(AND($G86=1,AND($K$1=7,$N85=0,$U85&gt;1)),1,0)+IF(AND($H86=1,AND($L$1=7,$O85=0,$V85&gt;1)),1,0)</f>
        <v/>
      </c>
      <c r="AB86" s="38">
        <f>IF(IFERROR('Мар'!$I22,"")="",0,$AB85+1)</f>
        <v/>
      </c>
    </row>
    <row r="87" spans="1:28">
      <c r="A87" s="38">
        <f>IF($B$1&gt;=DATE(2026,3,18),1,0)</f>
        <v/>
      </c>
      <c r="B87" s="38">
        <f>IFERROR(IF('Мар'!$B23=TRUE,1,0),0)</f>
        <v/>
      </c>
      <c r="C87" s="38">
        <f>IFERROR(IF('Мар'!$C23=TRUE,1,0),0)</f>
        <v/>
      </c>
      <c r="D87" s="38">
        <f>IFERROR(IF('Мар'!$D23=TRUE,1,0),0)</f>
        <v/>
      </c>
      <c r="E87" s="38">
        <f>IFERROR(IF('Мар'!$E23=TRUE,1,0),0)</f>
        <v/>
      </c>
      <c r="F87" s="38">
        <f>IFERROR(IF('Мар'!$F23=TRUE,1,0),0)</f>
        <v/>
      </c>
      <c r="G87" s="38">
        <f>IFERROR(IF('Мар'!$G23=TRUE,1,0),0)</f>
        <v/>
      </c>
      <c r="H87" s="38">
        <f>IFERROR(IF('Мар'!$H23=TRUE,1,0),0)</f>
        <v/>
      </c>
      <c r="I87" s="38">
        <f>IF($A87=0,$I86,IF($B87=1,$I86+1,IF($P87&lt;=1,$I86,0)))</f>
        <v/>
      </c>
      <c r="J87" s="38">
        <f>IF($A87=0,$J86,IF($C87=1,$J86+1,IF($Q87&lt;=1,$J86,0)))</f>
        <v/>
      </c>
      <c r="K87" s="38">
        <f>IF($A87=0,$K86,IF($D87=1,$K86+1,IF($R87&lt;=1,$K86,0)))</f>
        <v/>
      </c>
      <c r="L87" s="38">
        <f>IF($A87=0,$L86,IF($E87=1,$L86+1,IF($S87&lt;=1,$L86,0)))</f>
        <v/>
      </c>
      <c r="M87" s="38">
        <f>IF($A87=0,$M86,IF($F87=1,$M86+1,IF($T87&lt;=1,$M86,0)))</f>
        <v/>
      </c>
      <c r="N87" s="38">
        <f>IF($A87=0,$N86,IF($G87=1,$N86+1,IF($U87&lt;=1,$N86,0)))</f>
        <v/>
      </c>
      <c r="O87" s="38">
        <f>IF($A87=0,$O86,IF($H87=1,$O86+1,IF($V87&lt;=1,$O86,0)))</f>
        <v/>
      </c>
      <c r="P87" s="38">
        <f>IF($A87=0,$P86,$P86+IF($B87=1,0,1))</f>
        <v/>
      </c>
      <c r="Q87" s="38">
        <f>IF($A87=0,$Q86,$Q86+IF($C87=1,0,1))</f>
        <v/>
      </c>
      <c r="R87" s="38">
        <f>IF($A87=0,$R86,$R86+IF($D87=1,0,1))</f>
        <v/>
      </c>
      <c r="S87" s="38">
        <f>IF($A87=0,$S86,$S86+IF($E87=1,0,1))</f>
        <v/>
      </c>
      <c r="T87" s="38">
        <f>IF($A87=0,$T86,$T86+IF($F87=1,0,1))</f>
        <v/>
      </c>
      <c r="U87" s="38">
        <f>IF($A87=0,$U86,$U86+IF($G87=1,0,1))</f>
        <v/>
      </c>
      <c r="V87" s="38">
        <f>IF($A87=0,$V86,$V86+IF($H87=1,0,1))</f>
        <v/>
      </c>
      <c r="W87" s="38">
        <f>SUM($B87:$H87)</f>
        <v/>
      </c>
      <c r="X87" s="38">
        <f>IF(AND($A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87=1),1,0)+IF(AND($G$1=7,$C87=1),1,0)+IF(AND($H$1=7,$D87=1),1,0)+IF(AND($I$1=7,$E87=1),1,0)+IF(AND($J$1=7,$F87=1),1,0)+IF(AND($K$1=7,$G87=1),1,0)+IF(AND($L$1=7,$H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7" s="38">
        <f>IF($B87=1,IF($F$1&lt;7,10,IF(AND($F$1=7,$I86=0,$P86&gt;1),15,IF($I86&gt;=20,15,IF($I86&gt;=6,13,10)))),0)+IF($C87=1,IF($G$1&lt;7,10,IF(AND($G$1=7,$J86=0,$Q86&gt;1),15,IF($J86&gt;=20,15,IF($J86&gt;=6,13,10)))),0)+IF($D87=1,IF($H$1&lt;7,10,IF(AND($H$1=7,$K86=0,$R86&gt;1),15,IF($K86&gt;=20,15,IF($K86&gt;=6,13,10)))),0)+IF($E87=1,IF($I$1&lt;7,10,IF(AND($I$1=7,$L86=0,$S86&gt;1),15,IF($L86&gt;=20,15,IF($L86&gt;=6,13,10)))),0)+IF($F87=1,IF($J$1&lt;7,10,IF(AND($J$1=7,$M86=0,$T86&gt;1),15,IF($M86&gt;=20,15,IF($M86&gt;=6,13,10)))),0)+IF($G87=1,IF($K$1&lt;7,10,IF(AND($K$1=7,$N86=0,$U86&gt;1),15,IF($N86&gt;=20,15,IF($N86&gt;=6,13,10)))),0)+IF($H87=1,IF($L$1&lt;7,10,IF(AND($L$1=7,$O86=0,$V86&gt;1),15,IF($O86&gt;=20,15,IF($O86&gt;=6,13,10)))),0)</f>
        <v/>
      </c>
      <c r="Z87" s="38">
        <f>$Z86+$Y87</f>
        <v/>
      </c>
      <c r="AA87" s="38">
        <f>IF(AND($B87=1,AND($F$1=7,$I86=0,$P86&gt;1)),1,0)+IF(AND($C87=1,AND($G$1=7,$J86=0,$Q86&gt;1)),1,0)+IF(AND($D87=1,AND($H$1=7,$K86=0,$R86&gt;1)),1,0)+IF(AND($E87=1,AND($I$1=7,$L86=0,$S86&gt;1)),1,0)+IF(AND($F87=1,AND($J$1=7,$M86=0,$T86&gt;1)),1,0)+IF(AND($G87=1,AND($K$1=7,$N86=0,$U86&gt;1)),1,0)+IF(AND($H87=1,AND($L$1=7,$O86=0,$V86&gt;1)),1,0)</f>
        <v/>
      </c>
      <c r="AB87" s="38">
        <f>IF(IFERROR('Мар'!$I23,"")="",0,$AB86+1)</f>
        <v/>
      </c>
    </row>
    <row r="88" spans="1:28">
      <c r="A88" s="38">
        <f>IF($B$1&gt;=DATE(2026,3,19),1,0)</f>
        <v/>
      </c>
      <c r="B88" s="38">
        <f>IFERROR(IF('Мар'!$B24=TRUE,1,0),0)</f>
        <v/>
      </c>
      <c r="C88" s="38">
        <f>IFERROR(IF('Мар'!$C24=TRUE,1,0),0)</f>
        <v/>
      </c>
      <c r="D88" s="38">
        <f>IFERROR(IF('Мар'!$D24=TRUE,1,0),0)</f>
        <v/>
      </c>
      <c r="E88" s="38">
        <f>IFERROR(IF('Мар'!$E24=TRUE,1,0),0)</f>
        <v/>
      </c>
      <c r="F88" s="38">
        <f>IFERROR(IF('Мар'!$F24=TRUE,1,0),0)</f>
        <v/>
      </c>
      <c r="G88" s="38">
        <f>IFERROR(IF('Мар'!$G24=TRUE,1,0),0)</f>
        <v/>
      </c>
      <c r="H88" s="38">
        <f>IFERROR(IF('Мар'!$H24=TRUE,1,0),0)</f>
        <v/>
      </c>
      <c r="I88" s="38">
        <f>IF($A88=0,$I87,IF($B88=1,$I87+1,IF($P88&lt;=1,$I87,0)))</f>
        <v/>
      </c>
      <c r="J88" s="38">
        <f>IF($A88=0,$J87,IF($C88=1,$J87+1,IF($Q88&lt;=1,$J87,0)))</f>
        <v/>
      </c>
      <c r="K88" s="38">
        <f>IF($A88=0,$K87,IF($D88=1,$K87+1,IF($R88&lt;=1,$K87,0)))</f>
        <v/>
      </c>
      <c r="L88" s="38">
        <f>IF($A88=0,$L87,IF($E88=1,$L87+1,IF($S88&lt;=1,$L87,0)))</f>
        <v/>
      </c>
      <c r="M88" s="38">
        <f>IF($A88=0,$M87,IF($F88=1,$M87+1,IF($T88&lt;=1,$M87,0)))</f>
        <v/>
      </c>
      <c r="N88" s="38">
        <f>IF($A88=0,$N87,IF($G88=1,$N87+1,IF($U88&lt;=1,$N87,0)))</f>
        <v/>
      </c>
      <c r="O88" s="38">
        <f>IF($A88=0,$O87,IF($H88=1,$O87+1,IF($V88&lt;=1,$O87,0)))</f>
        <v/>
      </c>
      <c r="P88" s="38">
        <f>IF($A88=0,$P87,$P87+IF($B88=1,0,1))</f>
        <v/>
      </c>
      <c r="Q88" s="38">
        <f>IF($A88=0,$Q87,$Q87+IF($C88=1,0,1))</f>
        <v/>
      </c>
      <c r="R88" s="38">
        <f>IF($A88=0,$R87,$R87+IF($D88=1,0,1))</f>
        <v/>
      </c>
      <c r="S88" s="38">
        <f>IF($A88=0,$S87,$S87+IF($E88=1,0,1))</f>
        <v/>
      </c>
      <c r="T88" s="38">
        <f>IF($A88=0,$T87,$T87+IF($F88=1,0,1))</f>
        <v/>
      </c>
      <c r="U88" s="38">
        <f>IF($A88=0,$U87,$U87+IF($G88=1,0,1))</f>
        <v/>
      </c>
      <c r="V88" s="38">
        <f>IF($A88=0,$V87,$V87+IF($H88=1,0,1))</f>
        <v/>
      </c>
      <c r="W88" s="38">
        <f>SUM($B88:$H88)</f>
        <v/>
      </c>
      <c r="X88" s="38">
        <f>IF(AND($A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88=1),1,0)+IF(AND($G$1=7,$C88=1),1,0)+IF(AND($H$1=7,$D88=1),1,0)+IF(AND($I$1=7,$E88=1),1,0)+IF(AND($J$1=7,$F88=1),1,0)+IF(AND($K$1=7,$G88=1),1,0)+IF(AND($L$1=7,$H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8" s="38">
        <f>IF($B88=1,IF($F$1&lt;7,10,IF(AND($F$1=7,$I87=0,$P87&gt;1),15,IF($I87&gt;=20,15,IF($I87&gt;=6,13,10)))),0)+IF($C88=1,IF($G$1&lt;7,10,IF(AND($G$1=7,$J87=0,$Q87&gt;1),15,IF($J87&gt;=20,15,IF($J87&gt;=6,13,10)))),0)+IF($D88=1,IF($H$1&lt;7,10,IF(AND($H$1=7,$K87=0,$R87&gt;1),15,IF($K87&gt;=20,15,IF($K87&gt;=6,13,10)))),0)+IF($E88=1,IF($I$1&lt;7,10,IF(AND($I$1=7,$L87=0,$S87&gt;1),15,IF($L87&gt;=20,15,IF($L87&gt;=6,13,10)))),0)+IF($F88=1,IF($J$1&lt;7,10,IF(AND($J$1=7,$M87=0,$T87&gt;1),15,IF($M87&gt;=20,15,IF($M87&gt;=6,13,10)))),0)+IF($G88=1,IF($K$1&lt;7,10,IF(AND($K$1=7,$N87=0,$U87&gt;1),15,IF($N87&gt;=20,15,IF($N87&gt;=6,13,10)))),0)+IF($H88=1,IF($L$1&lt;7,10,IF(AND($L$1=7,$O87=0,$V87&gt;1),15,IF($O87&gt;=20,15,IF($O87&gt;=6,13,10)))),0)</f>
        <v/>
      </c>
      <c r="Z88" s="38">
        <f>$Z87+$Y88</f>
        <v/>
      </c>
      <c r="AA88" s="38">
        <f>IF(AND($B88=1,AND($F$1=7,$I87=0,$P87&gt;1)),1,0)+IF(AND($C88=1,AND($G$1=7,$J87=0,$Q87&gt;1)),1,0)+IF(AND($D88=1,AND($H$1=7,$K87=0,$R87&gt;1)),1,0)+IF(AND($E88=1,AND($I$1=7,$L87=0,$S87&gt;1)),1,0)+IF(AND($F88=1,AND($J$1=7,$M87=0,$T87&gt;1)),1,0)+IF(AND($G88=1,AND($K$1=7,$N87=0,$U87&gt;1)),1,0)+IF(AND($H88=1,AND($L$1=7,$O87=0,$V87&gt;1)),1,0)</f>
        <v/>
      </c>
      <c r="AB88" s="38">
        <f>IF(IFERROR('Мар'!$I24,"")="",0,$AB87+1)</f>
        <v/>
      </c>
    </row>
    <row r="89" spans="1:28">
      <c r="A89" s="38">
        <f>IF($B$1&gt;=DATE(2026,3,20),1,0)</f>
        <v/>
      </c>
      <c r="B89" s="38">
        <f>IFERROR(IF('Мар'!$B25=TRUE,1,0),0)</f>
        <v/>
      </c>
      <c r="C89" s="38">
        <f>IFERROR(IF('Мар'!$C25=TRUE,1,0),0)</f>
        <v/>
      </c>
      <c r="D89" s="38">
        <f>IFERROR(IF('Мар'!$D25=TRUE,1,0),0)</f>
        <v/>
      </c>
      <c r="E89" s="38">
        <f>IFERROR(IF('Мар'!$E25=TRUE,1,0),0)</f>
        <v/>
      </c>
      <c r="F89" s="38">
        <f>IFERROR(IF('Мар'!$F25=TRUE,1,0),0)</f>
        <v/>
      </c>
      <c r="G89" s="38">
        <f>IFERROR(IF('Мар'!$G25=TRUE,1,0),0)</f>
        <v/>
      </c>
      <c r="H89" s="38">
        <f>IFERROR(IF('Мар'!$H25=TRUE,1,0),0)</f>
        <v/>
      </c>
      <c r="I89" s="38">
        <f>IF($A89=0,$I88,IF($B89=1,$I88+1,IF($P89&lt;=1,$I88,0)))</f>
        <v/>
      </c>
      <c r="J89" s="38">
        <f>IF($A89=0,$J88,IF($C89=1,$J88+1,IF($Q89&lt;=1,$J88,0)))</f>
        <v/>
      </c>
      <c r="K89" s="38">
        <f>IF($A89=0,$K88,IF($D89=1,$K88+1,IF($R89&lt;=1,$K88,0)))</f>
        <v/>
      </c>
      <c r="L89" s="38">
        <f>IF($A89=0,$L88,IF($E89=1,$L88+1,IF($S89&lt;=1,$L88,0)))</f>
        <v/>
      </c>
      <c r="M89" s="38">
        <f>IF($A89=0,$M88,IF($F89=1,$M88+1,IF($T89&lt;=1,$M88,0)))</f>
        <v/>
      </c>
      <c r="N89" s="38">
        <f>IF($A89=0,$N88,IF($G89=1,$N88+1,IF($U89&lt;=1,$N88,0)))</f>
        <v/>
      </c>
      <c r="O89" s="38">
        <f>IF($A89=0,$O88,IF($H89=1,$O88+1,IF($V89&lt;=1,$O88,0)))</f>
        <v/>
      </c>
      <c r="P89" s="38">
        <f>IF($A89=0,$P88,$P88+IF($B89=1,0,1))</f>
        <v/>
      </c>
      <c r="Q89" s="38">
        <f>IF($A89=0,$Q88,$Q88+IF($C89=1,0,1))</f>
        <v/>
      </c>
      <c r="R89" s="38">
        <f>IF($A89=0,$R88,$R88+IF($D89=1,0,1))</f>
        <v/>
      </c>
      <c r="S89" s="38">
        <f>IF($A89=0,$S88,$S88+IF($E89=1,0,1))</f>
        <v/>
      </c>
      <c r="T89" s="38">
        <f>IF($A89=0,$T88,$T88+IF($F89=1,0,1))</f>
        <v/>
      </c>
      <c r="U89" s="38">
        <f>IF($A89=0,$U88,$U88+IF($G89=1,0,1))</f>
        <v/>
      </c>
      <c r="V89" s="38">
        <f>IF($A89=0,$V88,$V88+IF($H89=1,0,1))</f>
        <v/>
      </c>
      <c r="W89" s="38">
        <f>SUM($B89:$H89)</f>
        <v/>
      </c>
      <c r="X89" s="38">
        <f>IF(AND($A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89=1),1,0)+IF(AND($G$1=7,$C89=1),1,0)+IF(AND($H$1=7,$D89=1),1,0)+IF(AND($I$1=7,$E89=1),1,0)+IF(AND($J$1=7,$F89=1),1,0)+IF(AND($K$1=7,$G89=1),1,0)+IF(AND($L$1=7,$H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9" s="38">
        <f>IF($B89=1,IF($F$1&lt;7,10,IF(AND($F$1=7,$I88=0,$P88&gt;1),15,IF($I88&gt;=20,15,IF($I88&gt;=6,13,10)))),0)+IF($C89=1,IF($G$1&lt;7,10,IF(AND($G$1=7,$J88=0,$Q88&gt;1),15,IF($J88&gt;=20,15,IF($J88&gt;=6,13,10)))),0)+IF($D89=1,IF($H$1&lt;7,10,IF(AND($H$1=7,$K88=0,$R88&gt;1),15,IF($K88&gt;=20,15,IF($K88&gt;=6,13,10)))),0)+IF($E89=1,IF($I$1&lt;7,10,IF(AND($I$1=7,$L88=0,$S88&gt;1),15,IF($L88&gt;=20,15,IF($L88&gt;=6,13,10)))),0)+IF($F89=1,IF($J$1&lt;7,10,IF(AND($J$1=7,$M88=0,$T88&gt;1),15,IF($M88&gt;=20,15,IF($M88&gt;=6,13,10)))),0)+IF($G89=1,IF($K$1&lt;7,10,IF(AND($K$1=7,$N88=0,$U88&gt;1),15,IF($N88&gt;=20,15,IF($N88&gt;=6,13,10)))),0)+IF($H89=1,IF($L$1&lt;7,10,IF(AND($L$1=7,$O88=0,$V88&gt;1),15,IF($O88&gt;=20,15,IF($O88&gt;=6,13,10)))),0)</f>
        <v/>
      </c>
      <c r="Z89" s="38">
        <f>$Z88+$Y89</f>
        <v/>
      </c>
      <c r="AA89" s="38">
        <f>IF(AND($B89=1,AND($F$1=7,$I88=0,$P88&gt;1)),1,0)+IF(AND($C89=1,AND($G$1=7,$J88=0,$Q88&gt;1)),1,0)+IF(AND($D89=1,AND($H$1=7,$K88=0,$R88&gt;1)),1,0)+IF(AND($E89=1,AND($I$1=7,$L88=0,$S88&gt;1)),1,0)+IF(AND($F89=1,AND($J$1=7,$M88=0,$T88&gt;1)),1,0)+IF(AND($G89=1,AND($K$1=7,$N88=0,$U88&gt;1)),1,0)+IF(AND($H89=1,AND($L$1=7,$O88=0,$V88&gt;1)),1,0)</f>
        <v/>
      </c>
      <c r="AB89" s="38">
        <f>IF(IFERROR('Мар'!$I25,"")="",0,$AB88+1)</f>
        <v/>
      </c>
    </row>
    <row r="90" spans="1:28">
      <c r="A90" s="38">
        <f>IF($B$1&gt;=DATE(2026,3,21),1,0)</f>
        <v/>
      </c>
      <c r="B90" s="38">
        <f>IFERROR(IF('Мар'!$B26=TRUE,1,0),0)</f>
        <v/>
      </c>
      <c r="C90" s="38">
        <f>IFERROR(IF('Мар'!$C26=TRUE,1,0),0)</f>
        <v/>
      </c>
      <c r="D90" s="38">
        <f>IFERROR(IF('Мар'!$D26=TRUE,1,0),0)</f>
        <v/>
      </c>
      <c r="E90" s="38">
        <f>IFERROR(IF('Мар'!$E26=TRUE,1,0),0)</f>
        <v/>
      </c>
      <c r="F90" s="38">
        <f>IFERROR(IF('Мар'!$F26=TRUE,1,0),0)</f>
        <v/>
      </c>
      <c r="G90" s="38">
        <f>IFERROR(IF('Мар'!$G26=TRUE,1,0),0)</f>
        <v/>
      </c>
      <c r="H90" s="38">
        <f>IFERROR(IF('Мар'!$H26=TRUE,1,0),0)</f>
        <v/>
      </c>
      <c r="I90" s="38">
        <f>IF($A90=0,$I89,IF($B90=1,$I89+1,IF($P90&lt;=1,$I89,0)))</f>
        <v/>
      </c>
      <c r="J90" s="38">
        <f>IF($A90=0,$J89,IF($C90=1,$J89+1,IF($Q90&lt;=1,$J89,0)))</f>
        <v/>
      </c>
      <c r="K90" s="38">
        <f>IF($A90=0,$K89,IF($D90=1,$K89+1,IF($R90&lt;=1,$K89,0)))</f>
        <v/>
      </c>
      <c r="L90" s="38">
        <f>IF($A90=0,$L89,IF($E90=1,$L89+1,IF($S90&lt;=1,$L89,0)))</f>
        <v/>
      </c>
      <c r="M90" s="38">
        <f>IF($A90=0,$M89,IF($F90=1,$M89+1,IF($T90&lt;=1,$M89,0)))</f>
        <v/>
      </c>
      <c r="N90" s="38">
        <f>IF($A90=0,$N89,IF($G90=1,$N89+1,IF($U90&lt;=1,$N89,0)))</f>
        <v/>
      </c>
      <c r="O90" s="38">
        <f>IF($A90=0,$O89,IF($H90=1,$O89+1,IF($V90&lt;=1,$O89,0)))</f>
        <v/>
      </c>
      <c r="P90" s="38">
        <f>IF($A90=0,$P89,$P89+IF($B90=1,0,1))</f>
        <v/>
      </c>
      <c r="Q90" s="38">
        <f>IF($A90=0,$Q89,$Q89+IF($C90=1,0,1))</f>
        <v/>
      </c>
      <c r="R90" s="38">
        <f>IF($A90=0,$R89,$R89+IF($D90=1,0,1))</f>
        <v/>
      </c>
      <c r="S90" s="38">
        <f>IF($A90=0,$S89,$S89+IF($E90=1,0,1))</f>
        <v/>
      </c>
      <c r="T90" s="38">
        <f>IF($A90=0,$T89,$T89+IF($F90=1,0,1))</f>
        <v/>
      </c>
      <c r="U90" s="38">
        <f>IF($A90=0,$U89,$U89+IF($G90=1,0,1))</f>
        <v/>
      </c>
      <c r="V90" s="38">
        <f>IF($A90=0,$V89,$V89+IF($H90=1,0,1))</f>
        <v/>
      </c>
      <c r="W90" s="38">
        <f>SUM($B90:$H90)</f>
        <v/>
      </c>
      <c r="X90" s="38">
        <f>IF(AND($A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90=1),1,0)+IF(AND($G$1=7,$C90=1),1,0)+IF(AND($H$1=7,$D90=1),1,0)+IF(AND($I$1=7,$E90=1),1,0)+IF(AND($J$1=7,$F90=1),1,0)+IF(AND($K$1=7,$G90=1),1,0)+IF(AND($L$1=7,$H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0" s="38">
        <f>IF($B90=1,IF($F$1&lt;7,10,IF(AND($F$1=7,$I89=0,$P89&gt;1),15,IF($I89&gt;=20,15,IF($I89&gt;=6,13,10)))),0)+IF($C90=1,IF($G$1&lt;7,10,IF(AND($G$1=7,$J89=0,$Q89&gt;1),15,IF($J89&gt;=20,15,IF($J89&gt;=6,13,10)))),0)+IF($D90=1,IF($H$1&lt;7,10,IF(AND($H$1=7,$K89=0,$R89&gt;1),15,IF($K89&gt;=20,15,IF($K89&gt;=6,13,10)))),0)+IF($E90=1,IF($I$1&lt;7,10,IF(AND($I$1=7,$L89=0,$S89&gt;1),15,IF($L89&gt;=20,15,IF($L89&gt;=6,13,10)))),0)+IF($F90=1,IF($J$1&lt;7,10,IF(AND($J$1=7,$M89=0,$T89&gt;1),15,IF($M89&gt;=20,15,IF($M89&gt;=6,13,10)))),0)+IF($G90=1,IF($K$1&lt;7,10,IF(AND($K$1=7,$N89=0,$U89&gt;1),15,IF($N89&gt;=20,15,IF($N89&gt;=6,13,10)))),0)+IF($H90=1,IF($L$1&lt;7,10,IF(AND($L$1=7,$O89=0,$V89&gt;1),15,IF($O89&gt;=20,15,IF($O89&gt;=6,13,10)))),0)</f>
        <v/>
      </c>
      <c r="Z90" s="38">
        <f>$Z89+$Y90</f>
        <v/>
      </c>
      <c r="AA90" s="38">
        <f>IF(AND($B90=1,AND($F$1=7,$I89=0,$P89&gt;1)),1,0)+IF(AND($C90=1,AND($G$1=7,$J89=0,$Q89&gt;1)),1,0)+IF(AND($D90=1,AND($H$1=7,$K89=0,$R89&gt;1)),1,0)+IF(AND($E90=1,AND($I$1=7,$L89=0,$S89&gt;1)),1,0)+IF(AND($F90=1,AND($J$1=7,$M89=0,$T89&gt;1)),1,0)+IF(AND($G90=1,AND($K$1=7,$N89=0,$U89&gt;1)),1,0)+IF(AND($H90=1,AND($L$1=7,$O89=0,$V89&gt;1)),1,0)</f>
        <v/>
      </c>
      <c r="AB90" s="38">
        <f>IF(IFERROR('Мар'!$I26,"")="",0,$AB89+1)</f>
        <v/>
      </c>
    </row>
    <row r="91" spans="1:28">
      <c r="A91" s="38">
        <f>IF($B$1&gt;=DATE(2026,3,22),1,0)</f>
        <v/>
      </c>
      <c r="B91" s="38">
        <f>IFERROR(IF('Мар'!$B27=TRUE,1,0),0)</f>
        <v/>
      </c>
      <c r="C91" s="38">
        <f>IFERROR(IF('Мар'!$C27=TRUE,1,0),0)</f>
        <v/>
      </c>
      <c r="D91" s="38">
        <f>IFERROR(IF('Мар'!$D27=TRUE,1,0),0)</f>
        <v/>
      </c>
      <c r="E91" s="38">
        <f>IFERROR(IF('Мар'!$E27=TRUE,1,0),0)</f>
        <v/>
      </c>
      <c r="F91" s="38">
        <f>IFERROR(IF('Мар'!$F27=TRUE,1,0),0)</f>
        <v/>
      </c>
      <c r="G91" s="38">
        <f>IFERROR(IF('Мар'!$G27=TRUE,1,0),0)</f>
        <v/>
      </c>
      <c r="H91" s="38">
        <f>IFERROR(IF('Мар'!$H27=TRUE,1,0),0)</f>
        <v/>
      </c>
      <c r="I91" s="38">
        <f>IF($A91=0,$I90,IF($B91=1,$I90+1,IF($P91&lt;=1,$I90,0)))</f>
        <v/>
      </c>
      <c r="J91" s="38">
        <f>IF($A91=0,$J90,IF($C91=1,$J90+1,IF($Q91&lt;=1,$J90,0)))</f>
        <v/>
      </c>
      <c r="K91" s="38">
        <f>IF($A91=0,$K90,IF($D91=1,$K90+1,IF($R91&lt;=1,$K90,0)))</f>
        <v/>
      </c>
      <c r="L91" s="38">
        <f>IF($A91=0,$L90,IF($E91=1,$L90+1,IF($S91&lt;=1,$L90,0)))</f>
        <v/>
      </c>
      <c r="M91" s="38">
        <f>IF($A91=0,$M90,IF($F91=1,$M90+1,IF($T91&lt;=1,$M90,0)))</f>
        <v/>
      </c>
      <c r="N91" s="38">
        <f>IF($A91=0,$N90,IF($G91=1,$N90+1,IF($U91&lt;=1,$N90,0)))</f>
        <v/>
      </c>
      <c r="O91" s="38">
        <f>IF($A91=0,$O90,IF($H91=1,$O90+1,IF($V91&lt;=1,$O90,0)))</f>
        <v/>
      </c>
      <c r="P91" s="38">
        <f>IF($A91=0,$P90,$P90+IF($B91=1,0,1))</f>
        <v/>
      </c>
      <c r="Q91" s="38">
        <f>IF($A91=0,$Q90,$Q90+IF($C91=1,0,1))</f>
        <v/>
      </c>
      <c r="R91" s="38">
        <f>IF($A91=0,$R90,$R90+IF($D91=1,0,1))</f>
        <v/>
      </c>
      <c r="S91" s="38">
        <f>IF($A91=0,$S90,$S90+IF($E91=1,0,1))</f>
        <v/>
      </c>
      <c r="T91" s="38">
        <f>IF($A91=0,$T90,$T90+IF($F91=1,0,1))</f>
        <v/>
      </c>
      <c r="U91" s="38">
        <f>IF($A91=0,$U90,$U90+IF($G91=1,0,1))</f>
        <v/>
      </c>
      <c r="V91" s="38">
        <f>IF($A91=0,$V90,$V90+IF($H91=1,0,1))</f>
        <v/>
      </c>
      <c r="W91" s="38">
        <f>SUM($B91:$H91)</f>
        <v/>
      </c>
      <c r="X91" s="38">
        <f>IF(AND($A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91=1),1,0)+IF(AND($G$1=7,$C91=1),1,0)+IF(AND($H$1=7,$D91=1),1,0)+IF(AND($I$1=7,$E91=1),1,0)+IF(AND($J$1=7,$F91=1),1,0)+IF(AND($K$1=7,$G91=1),1,0)+IF(AND($L$1=7,$H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1" s="38">
        <f>IF($B91=1,IF($F$1&lt;7,10,IF(AND($F$1=7,$I90=0,$P90&gt;1),15,IF($I90&gt;=20,15,IF($I90&gt;=6,13,10)))),0)+IF($C91=1,IF($G$1&lt;7,10,IF(AND($G$1=7,$J90=0,$Q90&gt;1),15,IF($J90&gt;=20,15,IF($J90&gt;=6,13,10)))),0)+IF($D91=1,IF($H$1&lt;7,10,IF(AND($H$1=7,$K90=0,$R90&gt;1),15,IF($K90&gt;=20,15,IF($K90&gt;=6,13,10)))),0)+IF($E91=1,IF($I$1&lt;7,10,IF(AND($I$1=7,$L90=0,$S90&gt;1),15,IF($L90&gt;=20,15,IF($L90&gt;=6,13,10)))),0)+IF($F91=1,IF($J$1&lt;7,10,IF(AND($J$1=7,$M90=0,$T90&gt;1),15,IF($M90&gt;=20,15,IF($M90&gt;=6,13,10)))),0)+IF($G91=1,IF($K$1&lt;7,10,IF(AND($K$1=7,$N90=0,$U90&gt;1),15,IF($N90&gt;=20,15,IF($N90&gt;=6,13,10)))),0)+IF($H91=1,IF($L$1&lt;7,10,IF(AND($L$1=7,$O90=0,$V90&gt;1),15,IF($O90&gt;=20,15,IF($O90&gt;=6,13,10)))),0)</f>
        <v/>
      </c>
      <c r="Z91" s="38">
        <f>$Z90+$Y91</f>
        <v/>
      </c>
      <c r="AA91" s="38">
        <f>IF(AND($B91=1,AND($F$1=7,$I90=0,$P90&gt;1)),1,0)+IF(AND($C91=1,AND($G$1=7,$J90=0,$Q90&gt;1)),1,0)+IF(AND($D91=1,AND($H$1=7,$K90=0,$R90&gt;1)),1,0)+IF(AND($E91=1,AND($I$1=7,$L90=0,$S90&gt;1)),1,0)+IF(AND($F91=1,AND($J$1=7,$M90=0,$T90&gt;1)),1,0)+IF(AND($G91=1,AND($K$1=7,$N90=0,$U90&gt;1)),1,0)+IF(AND($H91=1,AND($L$1=7,$O90=0,$V90&gt;1)),1,0)</f>
        <v/>
      </c>
      <c r="AB91" s="38">
        <f>IF(IFERROR('Мар'!$I27,"")="",0,$AB90+1)</f>
        <v/>
      </c>
    </row>
    <row r="92" spans="1:28">
      <c r="A92" s="38">
        <f>IF($B$1&gt;=DATE(2026,3,23),1,0)</f>
        <v/>
      </c>
      <c r="B92" s="38">
        <f>IFERROR(IF('Мар'!$B28=TRUE,1,0),0)</f>
        <v/>
      </c>
      <c r="C92" s="38">
        <f>IFERROR(IF('Мар'!$C28=TRUE,1,0),0)</f>
        <v/>
      </c>
      <c r="D92" s="38">
        <f>IFERROR(IF('Мар'!$D28=TRUE,1,0),0)</f>
        <v/>
      </c>
      <c r="E92" s="38">
        <f>IFERROR(IF('Мар'!$E28=TRUE,1,0),0)</f>
        <v/>
      </c>
      <c r="F92" s="38">
        <f>IFERROR(IF('Мар'!$F28=TRUE,1,0),0)</f>
        <v/>
      </c>
      <c r="G92" s="38">
        <f>IFERROR(IF('Мар'!$G28=TRUE,1,0),0)</f>
        <v/>
      </c>
      <c r="H92" s="38">
        <f>IFERROR(IF('Мар'!$H28=TRUE,1,0),0)</f>
        <v/>
      </c>
      <c r="I92" s="38">
        <f>IF($A92=0,$I91,IF($B92=1,$I91+1,IF($P92&lt;=1,$I91,0)))</f>
        <v/>
      </c>
      <c r="J92" s="38">
        <f>IF($A92=0,$J91,IF($C92=1,$J91+1,IF($Q92&lt;=1,$J91,0)))</f>
        <v/>
      </c>
      <c r="K92" s="38">
        <f>IF($A92=0,$K91,IF($D92=1,$K91+1,IF($R92&lt;=1,$K91,0)))</f>
        <v/>
      </c>
      <c r="L92" s="38">
        <f>IF($A92=0,$L91,IF($E92=1,$L91+1,IF($S92&lt;=1,$L91,0)))</f>
        <v/>
      </c>
      <c r="M92" s="38">
        <f>IF($A92=0,$M91,IF($F92=1,$M91+1,IF($T92&lt;=1,$M91,0)))</f>
        <v/>
      </c>
      <c r="N92" s="38">
        <f>IF($A92=0,$N91,IF($G92=1,$N91+1,IF($U92&lt;=1,$N91,0)))</f>
        <v/>
      </c>
      <c r="O92" s="38">
        <f>IF($A92=0,$O91,IF($H92=1,$O91+1,IF($V92&lt;=1,$O91,0)))</f>
        <v/>
      </c>
      <c r="P92" s="38">
        <f>IF($A92=0,$P91,$P91+IF($B92=1,0,1))</f>
        <v/>
      </c>
      <c r="Q92" s="38">
        <f>IF($A92=0,$Q91,$Q91+IF($C92=1,0,1))</f>
        <v/>
      </c>
      <c r="R92" s="38">
        <f>IF($A92=0,$R91,$R91+IF($D92=1,0,1))</f>
        <v/>
      </c>
      <c r="S92" s="38">
        <f>IF($A92=0,$S91,$S91+IF($E92=1,0,1))</f>
        <v/>
      </c>
      <c r="T92" s="38">
        <f>IF($A92=0,$T91,$T91+IF($F92=1,0,1))</f>
        <v/>
      </c>
      <c r="U92" s="38">
        <f>IF($A92=0,$U91,$U91+IF($G92=1,0,1))</f>
        <v/>
      </c>
      <c r="V92" s="38">
        <f>IF($A92=0,$V91,$V91+IF($H92=1,0,1))</f>
        <v/>
      </c>
      <c r="W92" s="38">
        <f>SUM($B92:$H92)</f>
        <v/>
      </c>
      <c r="X92" s="38">
        <f>IF(AND($A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92=1),1,0)+IF(AND($G$1=7,$C92=1),1,0)+IF(AND($H$1=7,$D92=1),1,0)+IF(AND($I$1=7,$E92=1),1,0)+IF(AND($J$1=7,$F92=1),1,0)+IF(AND($K$1=7,$G92=1),1,0)+IF(AND($L$1=7,$H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2" s="38">
        <f>IF($B92=1,IF($F$1&lt;7,10,IF(AND($F$1=7,$I91=0,$P91&gt;1),15,IF($I91&gt;=20,15,IF($I91&gt;=6,13,10)))),0)+IF($C92=1,IF($G$1&lt;7,10,IF(AND($G$1=7,$J91=0,$Q91&gt;1),15,IF($J91&gt;=20,15,IF($J91&gt;=6,13,10)))),0)+IF($D92=1,IF($H$1&lt;7,10,IF(AND($H$1=7,$K91=0,$R91&gt;1),15,IF($K91&gt;=20,15,IF($K91&gt;=6,13,10)))),0)+IF($E92=1,IF($I$1&lt;7,10,IF(AND($I$1=7,$L91=0,$S91&gt;1),15,IF($L91&gt;=20,15,IF($L91&gt;=6,13,10)))),0)+IF($F92=1,IF($J$1&lt;7,10,IF(AND($J$1=7,$M91=0,$T91&gt;1),15,IF($M91&gt;=20,15,IF($M91&gt;=6,13,10)))),0)+IF($G92=1,IF($K$1&lt;7,10,IF(AND($K$1=7,$N91=0,$U91&gt;1),15,IF($N91&gt;=20,15,IF($N91&gt;=6,13,10)))),0)+IF($H92=1,IF($L$1&lt;7,10,IF(AND($L$1=7,$O91=0,$V91&gt;1),15,IF($O91&gt;=20,15,IF($O91&gt;=6,13,10)))),0)</f>
        <v/>
      </c>
      <c r="Z92" s="38">
        <f>$Z91+$Y92</f>
        <v/>
      </c>
      <c r="AA92" s="38">
        <f>IF(AND($B92=1,AND($F$1=7,$I91=0,$P91&gt;1)),1,0)+IF(AND($C92=1,AND($G$1=7,$J91=0,$Q91&gt;1)),1,0)+IF(AND($D92=1,AND($H$1=7,$K91=0,$R91&gt;1)),1,0)+IF(AND($E92=1,AND($I$1=7,$L91=0,$S91&gt;1)),1,0)+IF(AND($F92=1,AND($J$1=7,$M91=0,$T91&gt;1)),1,0)+IF(AND($G92=1,AND($K$1=7,$N91=0,$U91&gt;1)),1,0)+IF(AND($H92=1,AND($L$1=7,$O91=0,$V91&gt;1)),1,0)</f>
        <v/>
      </c>
      <c r="AB92" s="38">
        <f>IF(IFERROR('Мар'!$I28,"")="",0,$AB91+1)</f>
        <v/>
      </c>
    </row>
    <row r="93" spans="1:28">
      <c r="A93" s="38">
        <f>IF($B$1&gt;=DATE(2026,3,24),1,0)</f>
        <v/>
      </c>
      <c r="B93" s="38">
        <f>IFERROR(IF('Мар'!$B29=TRUE,1,0),0)</f>
        <v/>
      </c>
      <c r="C93" s="38">
        <f>IFERROR(IF('Мар'!$C29=TRUE,1,0),0)</f>
        <v/>
      </c>
      <c r="D93" s="38">
        <f>IFERROR(IF('Мар'!$D29=TRUE,1,0),0)</f>
        <v/>
      </c>
      <c r="E93" s="38">
        <f>IFERROR(IF('Мар'!$E29=TRUE,1,0),0)</f>
        <v/>
      </c>
      <c r="F93" s="38">
        <f>IFERROR(IF('Мар'!$F29=TRUE,1,0),0)</f>
        <v/>
      </c>
      <c r="G93" s="38">
        <f>IFERROR(IF('Мар'!$G29=TRUE,1,0),0)</f>
        <v/>
      </c>
      <c r="H93" s="38">
        <f>IFERROR(IF('Мар'!$H29=TRUE,1,0),0)</f>
        <v/>
      </c>
      <c r="I93" s="38">
        <f>IF($A93=0,$I92,IF($B93=1,$I92+1,IF($P93&lt;=1,$I92,0)))</f>
        <v/>
      </c>
      <c r="J93" s="38">
        <f>IF($A93=0,$J92,IF($C93=1,$J92+1,IF($Q93&lt;=1,$J92,0)))</f>
        <v/>
      </c>
      <c r="K93" s="38">
        <f>IF($A93=0,$K92,IF($D93=1,$K92+1,IF($R93&lt;=1,$K92,0)))</f>
        <v/>
      </c>
      <c r="L93" s="38">
        <f>IF($A93=0,$L92,IF($E93=1,$L92+1,IF($S93&lt;=1,$L92,0)))</f>
        <v/>
      </c>
      <c r="M93" s="38">
        <f>IF($A93=0,$M92,IF($F93=1,$M92+1,IF($T93&lt;=1,$M92,0)))</f>
        <v/>
      </c>
      <c r="N93" s="38">
        <f>IF($A93=0,$N92,IF($G93=1,$N92+1,IF($U93&lt;=1,$N92,0)))</f>
        <v/>
      </c>
      <c r="O93" s="38">
        <f>IF($A93=0,$O92,IF($H93=1,$O92+1,IF($V93&lt;=1,$O92,0)))</f>
        <v/>
      </c>
      <c r="P93" s="38">
        <f>IF($A93=0,$P92,$P92+IF($B93=1,0,1))</f>
        <v/>
      </c>
      <c r="Q93" s="38">
        <f>IF($A93=0,$Q92,$Q92+IF($C93=1,0,1))</f>
        <v/>
      </c>
      <c r="R93" s="38">
        <f>IF($A93=0,$R92,$R92+IF($D93=1,0,1))</f>
        <v/>
      </c>
      <c r="S93" s="38">
        <f>IF($A93=0,$S92,$S92+IF($E93=1,0,1))</f>
        <v/>
      </c>
      <c r="T93" s="38">
        <f>IF($A93=0,$T92,$T92+IF($F93=1,0,1))</f>
        <v/>
      </c>
      <c r="U93" s="38">
        <f>IF($A93=0,$U92,$U92+IF($G93=1,0,1))</f>
        <v/>
      </c>
      <c r="V93" s="38">
        <f>IF($A93=0,$V92,$V92+IF($H93=1,0,1))</f>
        <v/>
      </c>
      <c r="W93" s="38">
        <f>SUM($B93:$H93)</f>
        <v/>
      </c>
      <c r="X93" s="38">
        <f>IF(AND($A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93=1),1,0)+IF(AND($G$1=7,$C93=1),1,0)+IF(AND($H$1=7,$D93=1),1,0)+IF(AND($I$1=7,$E93=1),1,0)+IF(AND($J$1=7,$F93=1),1,0)+IF(AND($K$1=7,$G93=1),1,0)+IF(AND($L$1=7,$H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3" s="38">
        <f>IF($B93=1,IF($F$1&lt;7,10,IF(AND($F$1=7,$I92=0,$P92&gt;1),15,IF($I92&gt;=20,15,IF($I92&gt;=6,13,10)))),0)+IF($C93=1,IF($G$1&lt;7,10,IF(AND($G$1=7,$J92=0,$Q92&gt;1),15,IF($J92&gt;=20,15,IF($J92&gt;=6,13,10)))),0)+IF($D93=1,IF($H$1&lt;7,10,IF(AND($H$1=7,$K92=0,$R92&gt;1),15,IF($K92&gt;=20,15,IF($K92&gt;=6,13,10)))),0)+IF($E93=1,IF($I$1&lt;7,10,IF(AND($I$1=7,$L92=0,$S92&gt;1),15,IF($L92&gt;=20,15,IF($L92&gt;=6,13,10)))),0)+IF($F93=1,IF($J$1&lt;7,10,IF(AND($J$1=7,$M92=0,$T92&gt;1),15,IF($M92&gt;=20,15,IF($M92&gt;=6,13,10)))),0)+IF($G93=1,IF($K$1&lt;7,10,IF(AND($K$1=7,$N92=0,$U92&gt;1),15,IF($N92&gt;=20,15,IF($N92&gt;=6,13,10)))),0)+IF($H93=1,IF($L$1&lt;7,10,IF(AND($L$1=7,$O92=0,$V92&gt;1),15,IF($O92&gt;=20,15,IF($O92&gt;=6,13,10)))),0)</f>
        <v/>
      </c>
      <c r="Z93" s="38">
        <f>$Z92+$Y93</f>
        <v/>
      </c>
      <c r="AA93" s="38">
        <f>IF(AND($B93=1,AND($F$1=7,$I92=0,$P92&gt;1)),1,0)+IF(AND($C93=1,AND($G$1=7,$J92=0,$Q92&gt;1)),1,0)+IF(AND($D93=1,AND($H$1=7,$K92=0,$R92&gt;1)),1,0)+IF(AND($E93=1,AND($I$1=7,$L92=0,$S92&gt;1)),1,0)+IF(AND($F93=1,AND($J$1=7,$M92=0,$T92&gt;1)),1,0)+IF(AND($G93=1,AND($K$1=7,$N92=0,$U92&gt;1)),1,0)+IF(AND($H93=1,AND($L$1=7,$O92=0,$V92&gt;1)),1,0)</f>
        <v/>
      </c>
      <c r="AB93" s="38">
        <f>IF(IFERROR('Мар'!$I29,"")="",0,$AB92+1)</f>
        <v/>
      </c>
    </row>
    <row r="94" spans="1:28">
      <c r="A94" s="38">
        <f>IF($B$1&gt;=DATE(2026,3,25),1,0)</f>
        <v/>
      </c>
      <c r="B94" s="38">
        <f>IFERROR(IF('Мар'!$B30=TRUE,1,0),0)</f>
        <v/>
      </c>
      <c r="C94" s="38">
        <f>IFERROR(IF('Мар'!$C30=TRUE,1,0),0)</f>
        <v/>
      </c>
      <c r="D94" s="38">
        <f>IFERROR(IF('Мар'!$D30=TRUE,1,0),0)</f>
        <v/>
      </c>
      <c r="E94" s="38">
        <f>IFERROR(IF('Мар'!$E30=TRUE,1,0),0)</f>
        <v/>
      </c>
      <c r="F94" s="38">
        <f>IFERROR(IF('Мар'!$F30=TRUE,1,0),0)</f>
        <v/>
      </c>
      <c r="G94" s="38">
        <f>IFERROR(IF('Мар'!$G30=TRUE,1,0),0)</f>
        <v/>
      </c>
      <c r="H94" s="38">
        <f>IFERROR(IF('Мар'!$H30=TRUE,1,0),0)</f>
        <v/>
      </c>
      <c r="I94" s="38">
        <f>IF($A94=0,$I93,IF($B94=1,$I93+1,IF($P94&lt;=1,$I93,0)))</f>
        <v/>
      </c>
      <c r="J94" s="38">
        <f>IF($A94=0,$J93,IF($C94=1,$J93+1,IF($Q94&lt;=1,$J93,0)))</f>
        <v/>
      </c>
      <c r="K94" s="38">
        <f>IF($A94=0,$K93,IF($D94=1,$K93+1,IF($R94&lt;=1,$K93,0)))</f>
        <v/>
      </c>
      <c r="L94" s="38">
        <f>IF($A94=0,$L93,IF($E94=1,$L93+1,IF($S94&lt;=1,$L93,0)))</f>
        <v/>
      </c>
      <c r="M94" s="38">
        <f>IF($A94=0,$M93,IF($F94=1,$M93+1,IF($T94&lt;=1,$M93,0)))</f>
        <v/>
      </c>
      <c r="N94" s="38">
        <f>IF($A94=0,$N93,IF($G94=1,$N93+1,IF($U94&lt;=1,$N93,0)))</f>
        <v/>
      </c>
      <c r="O94" s="38">
        <f>IF($A94=0,$O93,IF($H94=1,$O93+1,IF($V94&lt;=1,$O93,0)))</f>
        <v/>
      </c>
      <c r="P94" s="38">
        <f>IF($A94=0,$P93,$P93+IF($B94=1,0,1))</f>
        <v/>
      </c>
      <c r="Q94" s="38">
        <f>IF($A94=0,$Q93,$Q93+IF($C94=1,0,1))</f>
        <v/>
      </c>
      <c r="R94" s="38">
        <f>IF($A94=0,$R93,$R93+IF($D94=1,0,1))</f>
        <v/>
      </c>
      <c r="S94" s="38">
        <f>IF($A94=0,$S93,$S93+IF($E94=1,0,1))</f>
        <v/>
      </c>
      <c r="T94" s="38">
        <f>IF($A94=0,$T93,$T93+IF($F94=1,0,1))</f>
        <v/>
      </c>
      <c r="U94" s="38">
        <f>IF($A94=0,$U93,$U93+IF($G94=1,0,1))</f>
        <v/>
      </c>
      <c r="V94" s="38">
        <f>IF($A94=0,$V93,$V93+IF($H94=1,0,1))</f>
        <v/>
      </c>
      <c r="W94" s="38">
        <f>SUM($B94:$H94)</f>
        <v/>
      </c>
      <c r="X94" s="38">
        <f>IF(AND($A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94=1),1,0)+IF(AND($G$1=7,$C94=1),1,0)+IF(AND($H$1=7,$D94=1),1,0)+IF(AND($I$1=7,$E94=1),1,0)+IF(AND($J$1=7,$F94=1),1,0)+IF(AND($K$1=7,$G94=1),1,0)+IF(AND($L$1=7,$H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4" s="38">
        <f>IF($B94=1,IF($F$1&lt;7,10,IF(AND($F$1=7,$I93=0,$P93&gt;1),15,IF($I93&gt;=20,15,IF($I93&gt;=6,13,10)))),0)+IF($C94=1,IF($G$1&lt;7,10,IF(AND($G$1=7,$J93=0,$Q93&gt;1),15,IF($J93&gt;=20,15,IF($J93&gt;=6,13,10)))),0)+IF($D94=1,IF($H$1&lt;7,10,IF(AND($H$1=7,$K93=0,$R93&gt;1),15,IF($K93&gt;=20,15,IF($K93&gt;=6,13,10)))),0)+IF($E94=1,IF($I$1&lt;7,10,IF(AND($I$1=7,$L93=0,$S93&gt;1),15,IF($L93&gt;=20,15,IF($L93&gt;=6,13,10)))),0)+IF($F94=1,IF($J$1&lt;7,10,IF(AND($J$1=7,$M93=0,$T93&gt;1),15,IF($M93&gt;=20,15,IF($M93&gt;=6,13,10)))),0)+IF($G94=1,IF($K$1&lt;7,10,IF(AND($K$1=7,$N93=0,$U93&gt;1),15,IF($N93&gt;=20,15,IF($N93&gt;=6,13,10)))),0)+IF($H94=1,IF($L$1&lt;7,10,IF(AND($L$1=7,$O93=0,$V93&gt;1),15,IF($O93&gt;=20,15,IF($O93&gt;=6,13,10)))),0)</f>
        <v/>
      </c>
      <c r="Z94" s="38">
        <f>$Z93+$Y94</f>
        <v/>
      </c>
      <c r="AA94" s="38">
        <f>IF(AND($B94=1,AND($F$1=7,$I93=0,$P93&gt;1)),1,0)+IF(AND($C94=1,AND($G$1=7,$J93=0,$Q93&gt;1)),1,0)+IF(AND($D94=1,AND($H$1=7,$K93=0,$R93&gt;1)),1,0)+IF(AND($E94=1,AND($I$1=7,$L93=0,$S93&gt;1)),1,0)+IF(AND($F94=1,AND($J$1=7,$M93=0,$T93&gt;1)),1,0)+IF(AND($G94=1,AND($K$1=7,$N93=0,$U93&gt;1)),1,0)+IF(AND($H94=1,AND($L$1=7,$O93=0,$V93&gt;1)),1,0)</f>
        <v/>
      </c>
      <c r="AB94" s="38">
        <f>IF(IFERROR('Мар'!$I30,"")="",0,$AB93+1)</f>
        <v/>
      </c>
    </row>
    <row r="95" spans="1:28">
      <c r="A95" s="38">
        <f>IF($B$1&gt;=DATE(2026,3,26),1,0)</f>
        <v/>
      </c>
      <c r="B95" s="38">
        <f>IFERROR(IF('Мар'!$B31=TRUE,1,0),0)</f>
        <v/>
      </c>
      <c r="C95" s="38">
        <f>IFERROR(IF('Мар'!$C31=TRUE,1,0),0)</f>
        <v/>
      </c>
      <c r="D95" s="38">
        <f>IFERROR(IF('Мар'!$D31=TRUE,1,0),0)</f>
        <v/>
      </c>
      <c r="E95" s="38">
        <f>IFERROR(IF('Мар'!$E31=TRUE,1,0),0)</f>
        <v/>
      </c>
      <c r="F95" s="38">
        <f>IFERROR(IF('Мар'!$F31=TRUE,1,0),0)</f>
        <v/>
      </c>
      <c r="G95" s="38">
        <f>IFERROR(IF('Мар'!$G31=TRUE,1,0),0)</f>
        <v/>
      </c>
      <c r="H95" s="38">
        <f>IFERROR(IF('Мар'!$H31=TRUE,1,0),0)</f>
        <v/>
      </c>
      <c r="I95" s="38">
        <f>IF($A95=0,$I94,IF($B95=1,$I94+1,IF($P95&lt;=1,$I94,0)))</f>
        <v/>
      </c>
      <c r="J95" s="38">
        <f>IF($A95=0,$J94,IF($C95=1,$J94+1,IF($Q95&lt;=1,$J94,0)))</f>
        <v/>
      </c>
      <c r="K95" s="38">
        <f>IF($A95=0,$K94,IF($D95=1,$K94+1,IF($R95&lt;=1,$K94,0)))</f>
        <v/>
      </c>
      <c r="L95" s="38">
        <f>IF($A95=0,$L94,IF($E95=1,$L94+1,IF($S95&lt;=1,$L94,0)))</f>
        <v/>
      </c>
      <c r="M95" s="38">
        <f>IF($A95=0,$M94,IF($F95=1,$M94+1,IF($T95&lt;=1,$M94,0)))</f>
        <v/>
      </c>
      <c r="N95" s="38">
        <f>IF($A95=0,$N94,IF($G95=1,$N94+1,IF($U95&lt;=1,$N94,0)))</f>
        <v/>
      </c>
      <c r="O95" s="38">
        <f>IF($A95=0,$O94,IF($H95=1,$O94+1,IF($V95&lt;=1,$O94,0)))</f>
        <v/>
      </c>
      <c r="P95" s="38">
        <f>IF($A95=0,$P94,$P94+IF($B95=1,0,1))</f>
        <v/>
      </c>
      <c r="Q95" s="38">
        <f>IF($A95=0,$Q94,$Q94+IF($C95=1,0,1))</f>
        <v/>
      </c>
      <c r="R95" s="38">
        <f>IF($A95=0,$R94,$R94+IF($D95=1,0,1))</f>
        <v/>
      </c>
      <c r="S95" s="38">
        <f>IF($A95=0,$S94,$S94+IF($E95=1,0,1))</f>
        <v/>
      </c>
      <c r="T95" s="38">
        <f>IF($A95=0,$T94,$T94+IF($F95=1,0,1))</f>
        <v/>
      </c>
      <c r="U95" s="38">
        <f>IF($A95=0,$U94,$U94+IF($G95=1,0,1))</f>
        <v/>
      </c>
      <c r="V95" s="38">
        <f>IF($A95=0,$V94,$V94+IF($H95=1,0,1))</f>
        <v/>
      </c>
      <c r="W95" s="38">
        <f>SUM($B95:$H95)</f>
        <v/>
      </c>
      <c r="X95" s="38">
        <f>IF(AND($A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95=1),1,0)+IF(AND($G$1=7,$C95=1),1,0)+IF(AND($H$1=7,$D95=1),1,0)+IF(AND($I$1=7,$E95=1),1,0)+IF(AND($J$1=7,$F95=1),1,0)+IF(AND($K$1=7,$G95=1),1,0)+IF(AND($L$1=7,$H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5" s="38">
        <f>IF($B95=1,IF($F$1&lt;7,10,IF(AND($F$1=7,$I94=0,$P94&gt;1),15,IF($I94&gt;=20,15,IF($I94&gt;=6,13,10)))),0)+IF($C95=1,IF($G$1&lt;7,10,IF(AND($G$1=7,$J94=0,$Q94&gt;1),15,IF($J94&gt;=20,15,IF($J94&gt;=6,13,10)))),0)+IF($D95=1,IF($H$1&lt;7,10,IF(AND($H$1=7,$K94=0,$R94&gt;1),15,IF($K94&gt;=20,15,IF($K94&gt;=6,13,10)))),0)+IF($E95=1,IF($I$1&lt;7,10,IF(AND($I$1=7,$L94=0,$S94&gt;1),15,IF($L94&gt;=20,15,IF($L94&gt;=6,13,10)))),0)+IF($F95=1,IF($J$1&lt;7,10,IF(AND($J$1=7,$M94=0,$T94&gt;1),15,IF($M94&gt;=20,15,IF($M94&gt;=6,13,10)))),0)+IF($G95=1,IF($K$1&lt;7,10,IF(AND($K$1=7,$N94=0,$U94&gt;1),15,IF($N94&gt;=20,15,IF($N94&gt;=6,13,10)))),0)+IF($H95=1,IF($L$1&lt;7,10,IF(AND($L$1=7,$O94=0,$V94&gt;1),15,IF($O94&gt;=20,15,IF($O94&gt;=6,13,10)))),0)</f>
        <v/>
      </c>
      <c r="Z95" s="38">
        <f>$Z94+$Y95</f>
        <v/>
      </c>
      <c r="AA95" s="38">
        <f>IF(AND($B95=1,AND($F$1=7,$I94=0,$P94&gt;1)),1,0)+IF(AND($C95=1,AND($G$1=7,$J94=0,$Q94&gt;1)),1,0)+IF(AND($D95=1,AND($H$1=7,$K94=0,$R94&gt;1)),1,0)+IF(AND($E95=1,AND($I$1=7,$L94=0,$S94&gt;1)),1,0)+IF(AND($F95=1,AND($J$1=7,$M94=0,$T94&gt;1)),1,0)+IF(AND($G95=1,AND($K$1=7,$N94=0,$U94&gt;1)),1,0)+IF(AND($H95=1,AND($L$1=7,$O94=0,$V94&gt;1)),1,0)</f>
        <v/>
      </c>
      <c r="AB95" s="38">
        <f>IF(IFERROR('Мар'!$I31,"")="",0,$AB94+1)</f>
        <v/>
      </c>
    </row>
    <row r="96" spans="1:28">
      <c r="A96" s="38">
        <f>IF($B$1&gt;=DATE(2026,3,27),1,0)</f>
        <v/>
      </c>
      <c r="B96" s="38">
        <f>IFERROR(IF('Мар'!$B32=TRUE,1,0),0)</f>
        <v/>
      </c>
      <c r="C96" s="38">
        <f>IFERROR(IF('Мар'!$C32=TRUE,1,0),0)</f>
        <v/>
      </c>
      <c r="D96" s="38">
        <f>IFERROR(IF('Мар'!$D32=TRUE,1,0),0)</f>
        <v/>
      </c>
      <c r="E96" s="38">
        <f>IFERROR(IF('Мар'!$E32=TRUE,1,0),0)</f>
        <v/>
      </c>
      <c r="F96" s="38">
        <f>IFERROR(IF('Мар'!$F32=TRUE,1,0),0)</f>
        <v/>
      </c>
      <c r="G96" s="38">
        <f>IFERROR(IF('Мар'!$G32=TRUE,1,0),0)</f>
        <v/>
      </c>
      <c r="H96" s="38">
        <f>IFERROR(IF('Мар'!$H32=TRUE,1,0),0)</f>
        <v/>
      </c>
      <c r="I96" s="38">
        <f>IF($A96=0,$I95,IF($B96=1,$I95+1,IF($P96&lt;=1,$I95,0)))</f>
        <v/>
      </c>
      <c r="J96" s="38">
        <f>IF($A96=0,$J95,IF($C96=1,$J95+1,IF($Q96&lt;=1,$J95,0)))</f>
        <v/>
      </c>
      <c r="K96" s="38">
        <f>IF($A96=0,$K95,IF($D96=1,$K95+1,IF($R96&lt;=1,$K95,0)))</f>
        <v/>
      </c>
      <c r="L96" s="38">
        <f>IF($A96=0,$L95,IF($E96=1,$L95+1,IF($S96&lt;=1,$L95,0)))</f>
        <v/>
      </c>
      <c r="M96" s="38">
        <f>IF($A96=0,$M95,IF($F96=1,$M95+1,IF($T96&lt;=1,$M95,0)))</f>
        <v/>
      </c>
      <c r="N96" s="38">
        <f>IF($A96=0,$N95,IF($G96=1,$N95+1,IF($U96&lt;=1,$N95,0)))</f>
        <v/>
      </c>
      <c r="O96" s="38">
        <f>IF($A96=0,$O95,IF($H96=1,$O95+1,IF($V96&lt;=1,$O95,0)))</f>
        <v/>
      </c>
      <c r="P96" s="38">
        <f>IF($A96=0,$P95,$P95+IF($B96=1,0,1))</f>
        <v/>
      </c>
      <c r="Q96" s="38">
        <f>IF($A96=0,$Q95,$Q95+IF($C96=1,0,1))</f>
        <v/>
      </c>
      <c r="R96" s="38">
        <f>IF($A96=0,$R95,$R95+IF($D96=1,0,1))</f>
        <v/>
      </c>
      <c r="S96" s="38">
        <f>IF($A96=0,$S95,$S95+IF($E96=1,0,1))</f>
        <v/>
      </c>
      <c r="T96" s="38">
        <f>IF($A96=0,$T95,$T95+IF($F96=1,0,1))</f>
        <v/>
      </c>
      <c r="U96" s="38">
        <f>IF($A96=0,$U95,$U95+IF($G96=1,0,1))</f>
        <v/>
      </c>
      <c r="V96" s="38">
        <f>IF($A96=0,$V95,$V95+IF($H96=1,0,1))</f>
        <v/>
      </c>
      <c r="W96" s="38">
        <f>SUM($B96:$H96)</f>
        <v/>
      </c>
      <c r="X96" s="38">
        <f>IF(AND($A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96=1),1,0)+IF(AND($G$1=7,$C96=1),1,0)+IF(AND($H$1=7,$D96=1),1,0)+IF(AND($I$1=7,$E96=1),1,0)+IF(AND($J$1=7,$F96=1),1,0)+IF(AND($K$1=7,$G96=1),1,0)+IF(AND($L$1=7,$H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6" s="38">
        <f>IF($B96=1,IF($F$1&lt;7,10,IF(AND($F$1=7,$I95=0,$P95&gt;1),15,IF($I95&gt;=20,15,IF($I95&gt;=6,13,10)))),0)+IF($C96=1,IF($G$1&lt;7,10,IF(AND($G$1=7,$J95=0,$Q95&gt;1),15,IF($J95&gt;=20,15,IF($J95&gt;=6,13,10)))),0)+IF($D96=1,IF($H$1&lt;7,10,IF(AND($H$1=7,$K95=0,$R95&gt;1),15,IF($K95&gt;=20,15,IF($K95&gt;=6,13,10)))),0)+IF($E96=1,IF($I$1&lt;7,10,IF(AND($I$1=7,$L95=0,$S95&gt;1),15,IF($L95&gt;=20,15,IF($L95&gt;=6,13,10)))),0)+IF($F96=1,IF($J$1&lt;7,10,IF(AND($J$1=7,$M95=0,$T95&gt;1),15,IF($M95&gt;=20,15,IF($M95&gt;=6,13,10)))),0)+IF($G96=1,IF($K$1&lt;7,10,IF(AND($K$1=7,$N95=0,$U95&gt;1),15,IF($N95&gt;=20,15,IF($N95&gt;=6,13,10)))),0)+IF($H96=1,IF($L$1&lt;7,10,IF(AND($L$1=7,$O95=0,$V95&gt;1),15,IF($O95&gt;=20,15,IF($O95&gt;=6,13,10)))),0)</f>
        <v/>
      </c>
      <c r="Z96" s="38">
        <f>$Z95+$Y96</f>
        <v/>
      </c>
      <c r="AA96" s="38">
        <f>IF(AND($B96=1,AND($F$1=7,$I95=0,$P95&gt;1)),1,0)+IF(AND($C96=1,AND($G$1=7,$J95=0,$Q95&gt;1)),1,0)+IF(AND($D96=1,AND($H$1=7,$K95=0,$R95&gt;1)),1,0)+IF(AND($E96=1,AND($I$1=7,$L95=0,$S95&gt;1)),1,0)+IF(AND($F96=1,AND($J$1=7,$M95=0,$T95&gt;1)),1,0)+IF(AND($G96=1,AND($K$1=7,$N95=0,$U95&gt;1)),1,0)+IF(AND($H96=1,AND($L$1=7,$O95=0,$V95&gt;1)),1,0)</f>
        <v/>
      </c>
      <c r="AB96" s="38">
        <f>IF(IFERROR('Мар'!$I32,"")="",0,$AB95+1)</f>
        <v/>
      </c>
    </row>
    <row r="97" spans="1:28">
      <c r="A97" s="38">
        <f>IF($B$1&gt;=DATE(2026,3,28),1,0)</f>
        <v/>
      </c>
      <c r="B97" s="38">
        <f>IFERROR(IF('Мар'!$B33=TRUE,1,0),0)</f>
        <v/>
      </c>
      <c r="C97" s="38">
        <f>IFERROR(IF('Мар'!$C33=TRUE,1,0),0)</f>
        <v/>
      </c>
      <c r="D97" s="38">
        <f>IFERROR(IF('Мар'!$D33=TRUE,1,0),0)</f>
        <v/>
      </c>
      <c r="E97" s="38">
        <f>IFERROR(IF('Мар'!$E33=TRUE,1,0),0)</f>
        <v/>
      </c>
      <c r="F97" s="38">
        <f>IFERROR(IF('Мар'!$F33=TRUE,1,0),0)</f>
        <v/>
      </c>
      <c r="G97" s="38">
        <f>IFERROR(IF('Мар'!$G33=TRUE,1,0),0)</f>
        <v/>
      </c>
      <c r="H97" s="38">
        <f>IFERROR(IF('Мар'!$H33=TRUE,1,0),0)</f>
        <v/>
      </c>
      <c r="I97" s="38">
        <f>IF($A97=0,$I96,IF($B97=1,$I96+1,IF($P97&lt;=1,$I96,0)))</f>
        <v/>
      </c>
      <c r="J97" s="38">
        <f>IF($A97=0,$J96,IF($C97=1,$J96+1,IF($Q97&lt;=1,$J96,0)))</f>
        <v/>
      </c>
      <c r="K97" s="38">
        <f>IF($A97=0,$K96,IF($D97=1,$K96+1,IF($R97&lt;=1,$K96,0)))</f>
        <v/>
      </c>
      <c r="L97" s="38">
        <f>IF($A97=0,$L96,IF($E97=1,$L96+1,IF($S97&lt;=1,$L96,0)))</f>
        <v/>
      </c>
      <c r="M97" s="38">
        <f>IF($A97=0,$M96,IF($F97=1,$M96+1,IF($T97&lt;=1,$M96,0)))</f>
        <v/>
      </c>
      <c r="N97" s="38">
        <f>IF($A97=0,$N96,IF($G97=1,$N96+1,IF($U97&lt;=1,$N96,0)))</f>
        <v/>
      </c>
      <c r="O97" s="38">
        <f>IF($A97=0,$O96,IF($H97=1,$O96+1,IF($V97&lt;=1,$O96,0)))</f>
        <v/>
      </c>
      <c r="P97" s="38">
        <f>IF($A97=0,$P96,$P96+IF($B97=1,0,1))</f>
        <v/>
      </c>
      <c r="Q97" s="38">
        <f>IF($A97=0,$Q96,$Q96+IF($C97=1,0,1))</f>
        <v/>
      </c>
      <c r="R97" s="38">
        <f>IF($A97=0,$R96,$R96+IF($D97=1,0,1))</f>
        <v/>
      </c>
      <c r="S97" s="38">
        <f>IF($A97=0,$S96,$S96+IF($E97=1,0,1))</f>
        <v/>
      </c>
      <c r="T97" s="38">
        <f>IF($A97=0,$T96,$T96+IF($F97=1,0,1))</f>
        <v/>
      </c>
      <c r="U97" s="38">
        <f>IF($A97=0,$U96,$U96+IF($G97=1,0,1))</f>
        <v/>
      </c>
      <c r="V97" s="38">
        <f>IF($A97=0,$V96,$V96+IF($H97=1,0,1))</f>
        <v/>
      </c>
      <c r="W97" s="38">
        <f>SUM($B97:$H97)</f>
        <v/>
      </c>
      <c r="X97" s="38">
        <f>IF(AND($A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97=1),1,0)+IF(AND($G$1=7,$C97=1),1,0)+IF(AND($H$1=7,$D97=1),1,0)+IF(AND($I$1=7,$E97=1),1,0)+IF(AND($J$1=7,$F97=1),1,0)+IF(AND($K$1=7,$G97=1),1,0)+IF(AND($L$1=7,$H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7" s="38">
        <f>IF($B97=1,IF($F$1&lt;7,10,IF(AND($F$1=7,$I96=0,$P96&gt;1),15,IF($I96&gt;=20,15,IF($I96&gt;=6,13,10)))),0)+IF($C97=1,IF($G$1&lt;7,10,IF(AND($G$1=7,$J96=0,$Q96&gt;1),15,IF($J96&gt;=20,15,IF($J96&gt;=6,13,10)))),0)+IF($D97=1,IF($H$1&lt;7,10,IF(AND($H$1=7,$K96=0,$R96&gt;1),15,IF($K96&gt;=20,15,IF($K96&gt;=6,13,10)))),0)+IF($E97=1,IF($I$1&lt;7,10,IF(AND($I$1=7,$L96=0,$S96&gt;1),15,IF($L96&gt;=20,15,IF($L96&gt;=6,13,10)))),0)+IF($F97=1,IF($J$1&lt;7,10,IF(AND($J$1=7,$M96=0,$T96&gt;1),15,IF($M96&gt;=20,15,IF($M96&gt;=6,13,10)))),0)+IF($G97=1,IF($K$1&lt;7,10,IF(AND($K$1=7,$N96=0,$U96&gt;1),15,IF($N96&gt;=20,15,IF($N96&gt;=6,13,10)))),0)+IF($H97=1,IF($L$1&lt;7,10,IF(AND($L$1=7,$O96=0,$V96&gt;1),15,IF($O96&gt;=20,15,IF($O96&gt;=6,13,10)))),0)</f>
        <v/>
      </c>
      <c r="Z97" s="38">
        <f>$Z96+$Y97</f>
        <v/>
      </c>
      <c r="AA97" s="38">
        <f>IF(AND($B97=1,AND($F$1=7,$I96=0,$P96&gt;1)),1,0)+IF(AND($C97=1,AND($G$1=7,$J96=0,$Q96&gt;1)),1,0)+IF(AND($D97=1,AND($H$1=7,$K96=0,$R96&gt;1)),1,0)+IF(AND($E97=1,AND($I$1=7,$L96=0,$S96&gt;1)),1,0)+IF(AND($F97=1,AND($J$1=7,$M96=0,$T96&gt;1)),1,0)+IF(AND($G97=1,AND($K$1=7,$N96=0,$U96&gt;1)),1,0)+IF(AND($H97=1,AND($L$1=7,$O96=0,$V96&gt;1)),1,0)</f>
        <v/>
      </c>
      <c r="AB97" s="38">
        <f>IF(IFERROR('Мар'!$I33,"")="",0,$AB96+1)</f>
        <v/>
      </c>
    </row>
    <row r="98" spans="1:28">
      <c r="A98" s="38">
        <f>IF($B$1&gt;=DATE(2026,3,29),1,0)</f>
        <v/>
      </c>
      <c r="B98" s="38">
        <f>IFERROR(IF('Мар'!$B34=TRUE,1,0),0)</f>
        <v/>
      </c>
      <c r="C98" s="38">
        <f>IFERROR(IF('Мар'!$C34=TRUE,1,0),0)</f>
        <v/>
      </c>
      <c r="D98" s="38">
        <f>IFERROR(IF('Мар'!$D34=TRUE,1,0),0)</f>
        <v/>
      </c>
      <c r="E98" s="38">
        <f>IFERROR(IF('Мар'!$E34=TRUE,1,0),0)</f>
        <v/>
      </c>
      <c r="F98" s="38">
        <f>IFERROR(IF('Мар'!$F34=TRUE,1,0),0)</f>
        <v/>
      </c>
      <c r="G98" s="38">
        <f>IFERROR(IF('Мар'!$G34=TRUE,1,0),0)</f>
        <v/>
      </c>
      <c r="H98" s="38">
        <f>IFERROR(IF('Мар'!$H34=TRUE,1,0),0)</f>
        <v/>
      </c>
      <c r="I98" s="38">
        <f>IF($A98=0,$I97,IF($B98=1,$I97+1,IF($P98&lt;=1,$I97,0)))</f>
        <v/>
      </c>
      <c r="J98" s="38">
        <f>IF($A98=0,$J97,IF($C98=1,$J97+1,IF($Q98&lt;=1,$J97,0)))</f>
        <v/>
      </c>
      <c r="K98" s="38">
        <f>IF($A98=0,$K97,IF($D98=1,$K97+1,IF($R98&lt;=1,$K97,0)))</f>
        <v/>
      </c>
      <c r="L98" s="38">
        <f>IF($A98=0,$L97,IF($E98=1,$L97+1,IF($S98&lt;=1,$L97,0)))</f>
        <v/>
      </c>
      <c r="M98" s="38">
        <f>IF($A98=0,$M97,IF($F98=1,$M97+1,IF($T98&lt;=1,$M97,0)))</f>
        <v/>
      </c>
      <c r="N98" s="38">
        <f>IF($A98=0,$N97,IF($G98=1,$N97+1,IF($U98&lt;=1,$N97,0)))</f>
        <v/>
      </c>
      <c r="O98" s="38">
        <f>IF($A98=0,$O97,IF($H98=1,$O97+1,IF($V98&lt;=1,$O97,0)))</f>
        <v/>
      </c>
      <c r="P98" s="38">
        <f>IF($A98=0,$P97,$P97+IF($B98=1,0,1))</f>
        <v/>
      </c>
      <c r="Q98" s="38">
        <f>IF($A98=0,$Q97,$Q97+IF($C98=1,0,1))</f>
        <v/>
      </c>
      <c r="R98" s="38">
        <f>IF($A98=0,$R97,$R97+IF($D98=1,0,1))</f>
        <v/>
      </c>
      <c r="S98" s="38">
        <f>IF($A98=0,$S97,$S97+IF($E98=1,0,1))</f>
        <v/>
      </c>
      <c r="T98" s="38">
        <f>IF($A98=0,$T97,$T97+IF($F98=1,0,1))</f>
        <v/>
      </c>
      <c r="U98" s="38">
        <f>IF($A98=0,$U97,$U97+IF($G98=1,0,1))</f>
        <v/>
      </c>
      <c r="V98" s="38">
        <f>IF($A98=0,$V97,$V97+IF($H98=1,0,1))</f>
        <v/>
      </c>
      <c r="W98" s="38">
        <f>SUM($B98:$H98)</f>
        <v/>
      </c>
      <c r="X98" s="38">
        <f>IF(AND($A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98=1),1,0)+IF(AND($G$1=7,$C98=1),1,0)+IF(AND($H$1=7,$D98=1),1,0)+IF(AND($I$1=7,$E98=1),1,0)+IF(AND($J$1=7,$F98=1),1,0)+IF(AND($K$1=7,$G98=1),1,0)+IF(AND($L$1=7,$H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8" s="38">
        <f>IF($B98=1,IF($F$1&lt;7,10,IF(AND($F$1=7,$I97=0,$P97&gt;1),15,IF($I97&gt;=20,15,IF($I97&gt;=6,13,10)))),0)+IF($C98=1,IF($G$1&lt;7,10,IF(AND($G$1=7,$J97=0,$Q97&gt;1),15,IF($J97&gt;=20,15,IF($J97&gt;=6,13,10)))),0)+IF($D98=1,IF($H$1&lt;7,10,IF(AND($H$1=7,$K97=0,$R97&gt;1),15,IF($K97&gt;=20,15,IF($K97&gt;=6,13,10)))),0)+IF($E98=1,IF($I$1&lt;7,10,IF(AND($I$1=7,$L97=0,$S97&gt;1),15,IF($L97&gt;=20,15,IF($L97&gt;=6,13,10)))),0)+IF($F98=1,IF($J$1&lt;7,10,IF(AND($J$1=7,$M97=0,$T97&gt;1),15,IF($M97&gt;=20,15,IF($M97&gt;=6,13,10)))),0)+IF($G98=1,IF($K$1&lt;7,10,IF(AND($K$1=7,$N97=0,$U97&gt;1),15,IF($N97&gt;=20,15,IF($N97&gt;=6,13,10)))),0)+IF($H98=1,IF($L$1&lt;7,10,IF(AND($L$1=7,$O97=0,$V97&gt;1),15,IF($O97&gt;=20,15,IF($O97&gt;=6,13,10)))),0)</f>
        <v/>
      </c>
      <c r="Z98" s="38">
        <f>$Z97+$Y98</f>
        <v/>
      </c>
      <c r="AA98" s="38">
        <f>IF(AND($B98=1,AND($F$1=7,$I97=0,$P97&gt;1)),1,0)+IF(AND($C98=1,AND($G$1=7,$J97=0,$Q97&gt;1)),1,0)+IF(AND($D98=1,AND($H$1=7,$K97=0,$R97&gt;1)),1,0)+IF(AND($E98=1,AND($I$1=7,$L97=0,$S97&gt;1)),1,0)+IF(AND($F98=1,AND($J$1=7,$M97=0,$T97&gt;1)),1,0)+IF(AND($G98=1,AND($K$1=7,$N97=0,$U97&gt;1)),1,0)+IF(AND($H98=1,AND($L$1=7,$O97=0,$V97&gt;1)),1,0)</f>
        <v/>
      </c>
      <c r="AB98" s="38">
        <f>IF(IFERROR('Мар'!$I34,"")="",0,$AB97+1)</f>
        <v/>
      </c>
    </row>
    <row r="99" spans="1:28">
      <c r="A99" s="38">
        <f>IF($B$1&gt;=DATE(2026,3,30),1,0)</f>
        <v/>
      </c>
      <c r="B99" s="38">
        <f>IFERROR(IF('Мар'!$B35=TRUE,1,0),0)</f>
        <v/>
      </c>
      <c r="C99" s="38">
        <f>IFERROR(IF('Мар'!$C35=TRUE,1,0),0)</f>
        <v/>
      </c>
      <c r="D99" s="38">
        <f>IFERROR(IF('Мар'!$D35=TRUE,1,0),0)</f>
        <v/>
      </c>
      <c r="E99" s="38">
        <f>IFERROR(IF('Мар'!$E35=TRUE,1,0),0)</f>
        <v/>
      </c>
      <c r="F99" s="38">
        <f>IFERROR(IF('Мар'!$F35=TRUE,1,0),0)</f>
        <v/>
      </c>
      <c r="G99" s="38">
        <f>IFERROR(IF('Мар'!$G35=TRUE,1,0),0)</f>
        <v/>
      </c>
      <c r="H99" s="38">
        <f>IFERROR(IF('Мар'!$H35=TRUE,1,0),0)</f>
        <v/>
      </c>
      <c r="I99" s="38">
        <f>IF($A99=0,$I98,IF($B99=1,$I98+1,IF($P99&lt;=1,$I98,0)))</f>
        <v/>
      </c>
      <c r="J99" s="38">
        <f>IF($A99=0,$J98,IF($C99=1,$J98+1,IF($Q99&lt;=1,$J98,0)))</f>
        <v/>
      </c>
      <c r="K99" s="38">
        <f>IF($A99=0,$K98,IF($D99=1,$K98+1,IF($R99&lt;=1,$K98,0)))</f>
        <v/>
      </c>
      <c r="L99" s="38">
        <f>IF($A99=0,$L98,IF($E99=1,$L98+1,IF($S99&lt;=1,$L98,0)))</f>
        <v/>
      </c>
      <c r="M99" s="38">
        <f>IF($A99=0,$M98,IF($F99=1,$M98+1,IF($T99&lt;=1,$M98,0)))</f>
        <v/>
      </c>
      <c r="N99" s="38">
        <f>IF($A99=0,$N98,IF($G99=1,$N98+1,IF($U99&lt;=1,$N98,0)))</f>
        <v/>
      </c>
      <c r="O99" s="38">
        <f>IF($A99=0,$O98,IF($H99=1,$O98+1,IF($V99&lt;=1,$O98,0)))</f>
        <v/>
      </c>
      <c r="P99" s="38">
        <f>IF($A99=0,$P98,$P98+IF($B99=1,0,1))</f>
        <v/>
      </c>
      <c r="Q99" s="38">
        <f>IF($A99=0,$Q98,$Q98+IF($C99=1,0,1))</f>
        <v/>
      </c>
      <c r="R99" s="38">
        <f>IF($A99=0,$R98,$R98+IF($D99=1,0,1))</f>
        <v/>
      </c>
      <c r="S99" s="38">
        <f>IF($A99=0,$S98,$S98+IF($E99=1,0,1))</f>
        <v/>
      </c>
      <c r="T99" s="38">
        <f>IF($A99=0,$T98,$T98+IF($F99=1,0,1))</f>
        <v/>
      </c>
      <c r="U99" s="38">
        <f>IF($A99=0,$U98,$U98+IF($G99=1,0,1))</f>
        <v/>
      </c>
      <c r="V99" s="38">
        <f>IF($A99=0,$V98,$V98+IF($H99=1,0,1))</f>
        <v/>
      </c>
      <c r="W99" s="38">
        <f>SUM($B99:$H99)</f>
        <v/>
      </c>
      <c r="X99" s="38">
        <f>IF(AND($A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99=1),1,0)+IF(AND($G$1=7,$C99=1),1,0)+IF(AND($H$1=7,$D99=1),1,0)+IF(AND($I$1=7,$E99=1),1,0)+IF(AND($J$1=7,$F99=1),1,0)+IF(AND($K$1=7,$G99=1),1,0)+IF(AND($L$1=7,$H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9" s="38">
        <f>IF($B99=1,IF($F$1&lt;7,10,IF(AND($F$1=7,$I98=0,$P98&gt;1),15,IF($I98&gt;=20,15,IF($I98&gt;=6,13,10)))),0)+IF($C99=1,IF($G$1&lt;7,10,IF(AND($G$1=7,$J98=0,$Q98&gt;1),15,IF($J98&gt;=20,15,IF($J98&gt;=6,13,10)))),0)+IF($D99=1,IF($H$1&lt;7,10,IF(AND($H$1=7,$K98=0,$R98&gt;1),15,IF($K98&gt;=20,15,IF($K98&gt;=6,13,10)))),0)+IF($E99=1,IF($I$1&lt;7,10,IF(AND($I$1=7,$L98=0,$S98&gt;1),15,IF($L98&gt;=20,15,IF($L98&gt;=6,13,10)))),0)+IF($F99=1,IF($J$1&lt;7,10,IF(AND($J$1=7,$M98=0,$T98&gt;1),15,IF($M98&gt;=20,15,IF($M98&gt;=6,13,10)))),0)+IF($G99=1,IF($K$1&lt;7,10,IF(AND($K$1=7,$N98=0,$U98&gt;1),15,IF($N98&gt;=20,15,IF($N98&gt;=6,13,10)))),0)+IF($H99=1,IF($L$1&lt;7,10,IF(AND($L$1=7,$O98=0,$V98&gt;1),15,IF($O98&gt;=20,15,IF($O98&gt;=6,13,10)))),0)</f>
        <v/>
      </c>
      <c r="Z99" s="38">
        <f>$Z98+$Y99</f>
        <v/>
      </c>
      <c r="AA99" s="38">
        <f>IF(AND($B99=1,AND($F$1=7,$I98=0,$P98&gt;1)),1,0)+IF(AND($C99=1,AND($G$1=7,$J98=0,$Q98&gt;1)),1,0)+IF(AND($D99=1,AND($H$1=7,$K98=0,$R98&gt;1)),1,0)+IF(AND($E99=1,AND($I$1=7,$L98=0,$S98&gt;1)),1,0)+IF(AND($F99=1,AND($J$1=7,$M98=0,$T98&gt;1)),1,0)+IF(AND($G99=1,AND($K$1=7,$N98=0,$U98&gt;1)),1,0)+IF(AND($H99=1,AND($L$1=7,$O98=0,$V98&gt;1)),1,0)</f>
        <v/>
      </c>
      <c r="AB99" s="38">
        <f>IF(IFERROR('Мар'!$I35,"")="",0,$AB98+1)</f>
        <v/>
      </c>
    </row>
    <row r="100" spans="1:28">
      <c r="A100" s="38">
        <f>IF($B$1&gt;=DATE(2026,3,31),1,0)</f>
        <v/>
      </c>
      <c r="B100" s="38">
        <f>IFERROR(IF('Мар'!$B36=TRUE,1,0),0)</f>
        <v/>
      </c>
      <c r="C100" s="38">
        <f>IFERROR(IF('Мар'!$C36=TRUE,1,0),0)</f>
        <v/>
      </c>
      <c r="D100" s="38">
        <f>IFERROR(IF('Мар'!$D36=TRUE,1,0),0)</f>
        <v/>
      </c>
      <c r="E100" s="38">
        <f>IFERROR(IF('Мар'!$E36=TRUE,1,0),0)</f>
        <v/>
      </c>
      <c r="F100" s="38">
        <f>IFERROR(IF('Мар'!$F36=TRUE,1,0),0)</f>
        <v/>
      </c>
      <c r="G100" s="38">
        <f>IFERROR(IF('Мар'!$G36=TRUE,1,0),0)</f>
        <v/>
      </c>
      <c r="H100" s="38">
        <f>IFERROR(IF('Мар'!$H36=TRUE,1,0),0)</f>
        <v/>
      </c>
      <c r="I100" s="38">
        <f>IF($A100=0,$I99,IF($B100=1,$I99+1,IF($P100&lt;=1,$I99,0)))</f>
        <v/>
      </c>
      <c r="J100" s="38">
        <f>IF($A100=0,$J99,IF($C100=1,$J99+1,IF($Q100&lt;=1,$J99,0)))</f>
        <v/>
      </c>
      <c r="K100" s="38">
        <f>IF($A100=0,$K99,IF($D100=1,$K99+1,IF($R100&lt;=1,$K99,0)))</f>
        <v/>
      </c>
      <c r="L100" s="38">
        <f>IF($A100=0,$L99,IF($E100=1,$L99+1,IF($S100&lt;=1,$L99,0)))</f>
        <v/>
      </c>
      <c r="M100" s="38">
        <f>IF($A100=0,$M99,IF($F100=1,$M99+1,IF($T100&lt;=1,$M99,0)))</f>
        <v/>
      </c>
      <c r="N100" s="38">
        <f>IF($A100=0,$N99,IF($G100=1,$N99+1,IF($U100&lt;=1,$N99,0)))</f>
        <v/>
      </c>
      <c r="O100" s="38">
        <f>IF($A100=0,$O99,IF($H100=1,$O99+1,IF($V100&lt;=1,$O99,0)))</f>
        <v/>
      </c>
      <c r="P100" s="38">
        <f>IF($A100=0,$P99,$P99+IF($B100=1,0,1))</f>
        <v/>
      </c>
      <c r="Q100" s="38">
        <f>IF($A100=0,$Q99,$Q99+IF($C100=1,0,1))</f>
        <v/>
      </c>
      <c r="R100" s="38">
        <f>IF($A100=0,$R99,$R99+IF($D100=1,0,1))</f>
        <v/>
      </c>
      <c r="S100" s="38">
        <f>IF($A100=0,$S99,$S99+IF($E100=1,0,1))</f>
        <v/>
      </c>
      <c r="T100" s="38">
        <f>IF($A100=0,$T99,$T99+IF($F100=1,0,1))</f>
        <v/>
      </c>
      <c r="U100" s="38">
        <f>IF($A100=0,$U99,$U99+IF($G100=1,0,1))</f>
        <v/>
      </c>
      <c r="V100" s="38">
        <f>IF($A100=0,$V99,$V99+IF($H100=1,0,1))</f>
        <v/>
      </c>
      <c r="W100" s="38">
        <f>SUM($B100:$H100)</f>
        <v/>
      </c>
      <c r="X100" s="38">
        <f>IF(AND($A100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100=1),1,0)+IF(AND($G$1=7,$C100=1),1,0)+IF(AND($H$1=7,$D100=1),1,0)+IF(AND($I$1=7,$E100=1),1,0)+IF(AND($J$1=7,$F100=1),1,0)+IF(AND($K$1=7,$G100=1),1,0)+IF(AND($L$1=7,$H100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0" s="38">
        <f>IF($B100=1,IF($F$1&lt;7,10,IF(AND($F$1=7,$I99=0,$P99&gt;1),15,IF($I99&gt;=20,15,IF($I99&gt;=6,13,10)))),0)+IF($C100=1,IF($G$1&lt;7,10,IF(AND($G$1=7,$J99=0,$Q99&gt;1),15,IF($J99&gt;=20,15,IF($J99&gt;=6,13,10)))),0)+IF($D100=1,IF($H$1&lt;7,10,IF(AND($H$1=7,$K99=0,$R99&gt;1),15,IF($K99&gt;=20,15,IF($K99&gt;=6,13,10)))),0)+IF($E100=1,IF($I$1&lt;7,10,IF(AND($I$1=7,$L99=0,$S99&gt;1),15,IF($L99&gt;=20,15,IF($L99&gt;=6,13,10)))),0)+IF($F100=1,IF($J$1&lt;7,10,IF(AND($J$1=7,$M99=0,$T99&gt;1),15,IF($M99&gt;=20,15,IF($M99&gt;=6,13,10)))),0)+IF($G100=1,IF($K$1&lt;7,10,IF(AND($K$1=7,$N99=0,$U99&gt;1),15,IF($N99&gt;=20,15,IF($N99&gt;=6,13,10)))),0)+IF($H100=1,IF($L$1&lt;7,10,IF(AND($L$1=7,$O99=0,$V99&gt;1),15,IF($O99&gt;=20,15,IF($O99&gt;=6,13,10)))),0)</f>
        <v/>
      </c>
      <c r="Z100" s="38">
        <f>$Z99+$Y100</f>
        <v/>
      </c>
      <c r="AA100" s="38">
        <f>IF(AND($B100=1,AND($F$1=7,$I99=0,$P99&gt;1)),1,0)+IF(AND($C100=1,AND($G$1=7,$J99=0,$Q99&gt;1)),1,0)+IF(AND($D100=1,AND($H$1=7,$K99=0,$R99&gt;1)),1,0)+IF(AND($E100=1,AND($I$1=7,$L99=0,$S99&gt;1)),1,0)+IF(AND($F100=1,AND($J$1=7,$M99=0,$T99&gt;1)),1,0)+IF(AND($G100=1,AND($K$1=7,$N99=0,$U99&gt;1)),1,0)+IF(AND($H100=1,AND($L$1=7,$O99=0,$V99&gt;1)),1,0)</f>
        <v/>
      </c>
      <c r="AB100" s="38">
        <f>IF(IFERROR('Мар'!$I36,"")="",0,$AB99+1)</f>
        <v/>
      </c>
    </row>
    <row r="101" spans="1:28">
      <c r="A101" s="38">
        <f>IF($B$1&gt;=DATE(2026,4,1),1,0)</f>
        <v/>
      </c>
      <c r="B101" s="38">
        <f>IFERROR(IF('Апр'!$B6=TRUE,1,0),0)</f>
        <v/>
      </c>
      <c r="C101" s="38">
        <f>IFERROR(IF('Апр'!$C6=TRUE,1,0),0)</f>
        <v/>
      </c>
      <c r="D101" s="38">
        <f>IFERROR(IF('Апр'!$D6=TRUE,1,0),0)</f>
        <v/>
      </c>
      <c r="E101" s="38">
        <f>IFERROR(IF('Апр'!$E6=TRUE,1,0),0)</f>
        <v/>
      </c>
      <c r="F101" s="38">
        <f>IFERROR(IF('Апр'!$F6=TRUE,1,0),0)</f>
        <v/>
      </c>
      <c r="G101" s="38">
        <f>IFERROR(IF('Апр'!$G6=TRUE,1,0),0)</f>
        <v/>
      </c>
      <c r="H101" s="38">
        <f>IFERROR(IF('Апр'!$H6=TRUE,1,0),0)</f>
        <v/>
      </c>
      <c r="I101" s="38">
        <f>IF($A101=0,$I100,IF($B101=1,$I100+1,IF($P101&lt;=1,$I100,0)))</f>
        <v/>
      </c>
      <c r="J101" s="38">
        <f>IF($A101=0,$J100,IF($C101=1,$J100+1,IF($Q101&lt;=1,$J100,0)))</f>
        <v/>
      </c>
      <c r="K101" s="38">
        <f>IF($A101=0,$K100,IF($D101=1,$K100+1,IF($R101&lt;=1,$K100,0)))</f>
        <v/>
      </c>
      <c r="L101" s="38">
        <f>IF($A101=0,$L100,IF($E101=1,$L100+1,IF($S101&lt;=1,$L100,0)))</f>
        <v/>
      </c>
      <c r="M101" s="38">
        <f>IF($A101=0,$M100,IF($F101=1,$M100+1,IF($T101&lt;=1,$M100,0)))</f>
        <v/>
      </c>
      <c r="N101" s="38">
        <f>IF($A101=0,$N100,IF($G101=1,$N100+1,IF($U101&lt;=1,$N100,0)))</f>
        <v/>
      </c>
      <c r="O101" s="38">
        <f>IF($A101=0,$O100,IF($H101=1,$O100+1,IF($V101&lt;=1,$O100,0)))</f>
        <v/>
      </c>
      <c r="P101" s="38">
        <f>IF($A101=0,0,0+IF($B101=1,0,1))</f>
        <v/>
      </c>
      <c r="Q101" s="38">
        <f>IF($A101=0,0,0+IF($C101=1,0,1))</f>
        <v/>
      </c>
      <c r="R101" s="38">
        <f>IF($A101=0,0,0+IF($D101=1,0,1))</f>
        <v/>
      </c>
      <c r="S101" s="38">
        <f>IF($A101=0,0,0+IF($E101=1,0,1))</f>
        <v/>
      </c>
      <c r="T101" s="38">
        <f>IF($A101=0,0,0+IF($F101=1,0,1))</f>
        <v/>
      </c>
      <c r="U101" s="38">
        <f>IF($A101=0,0,0+IF($G101=1,0,1))</f>
        <v/>
      </c>
      <c r="V101" s="38">
        <f>IF($A101=0,0,0+IF($H101=1,0,1))</f>
        <v/>
      </c>
      <c r="W101" s="38">
        <f>SUM($B101:$H101)</f>
        <v/>
      </c>
      <c r="X101" s="38">
        <f>IF(AND($A101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101=1),1,0)+IF(AND($G$1=7,$C101=1),1,0)+IF(AND($H$1=7,$D101=1),1,0)+IF(AND($I$1=7,$E101=1),1,0)+IF(AND($J$1=7,$F101=1),1,0)+IF(AND($K$1=7,$G101=1),1,0)+IF(AND($L$1=7,$H101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1" s="38">
        <f>IF($B101=1,IF($F$1&lt;7,10,IF(AND($F$1=7,$I100=0,0&gt;1),15,IF($I100&gt;=20,15,IF($I100&gt;=6,13,10)))),0)+IF($C101=1,IF($G$1&lt;7,10,IF(AND($G$1=7,$J100=0,0&gt;1),15,IF($J100&gt;=20,15,IF($J100&gt;=6,13,10)))),0)+IF($D101=1,IF($H$1&lt;7,10,IF(AND($H$1=7,$K100=0,0&gt;1),15,IF($K100&gt;=20,15,IF($K100&gt;=6,13,10)))),0)+IF($E101=1,IF($I$1&lt;7,10,IF(AND($I$1=7,$L100=0,0&gt;1),15,IF($L100&gt;=20,15,IF($L100&gt;=6,13,10)))),0)+IF($F101=1,IF($J$1&lt;7,10,IF(AND($J$1=7,$M100=0,0&gt;1),15,IF($M100&gt;=20,15,IF($M100&gt;=6,13,10)))),0)+IF($G101=1,IF($K$1&lt;7,10,IF(AND($K$1=7,$N100=0,0&gt;1),15,IF($N100&gt;=20,15,IF($N100&gt;=6,13,10)))),0)+IF($H101=1,IF($L$1&lt;7,10,IF(AND($L$1=7,$O100=0,0&gt;1),15,IF($O100&gt;=20,15,IF($O100&gt;=6,13,10)))),0)</f>
        <v/>
      </c>
      <c r="Z101" s="38">
        <f>$Z100+$Y101</f>
        <v/>
      </c>
      <c r="AA101" s="38">
        <f>IF(AND($B101=1,AND($F$1=7,$I100=0,0&gt;1)),1,0)+IF(AND($C101=1,AND($G$1=7,$J100=0,0&gt;1)),1,0)+IF(AND($D101=1,AND($H$1=7,$K100=0,0&gt;1)),1,0)+IF(AND($E101=1,AND($I$1=7,$L100=0,0&gt;1)),1,0)+IF(AND($F101=1,AND($J$1=7,$M100=0,0&gt;1)),1,0)+IF(AND($G101=1,AND($K$1=7,$N100=0,0&gt;1)),1,0)+IF(AND($H101=1,AND($L$1=7,$O100=0,0&gt;1)),1,0)</f>
        <v/>
      </c>
      <c r="AB101" s="38">
        <f>IF(IFERROR('Апр'!$I6,"")="",0,$AB100+1)</f>
        <v/>
      </c>
    </row>
    <row r="102" spans="1:28">
      <c r="A102" s="38">
        <f>IF($B$1&gt;=DATE(2026,4,2),1,0)</f>
        <v/>
      </c>
      <c r="B102" s="38">
        <f>IFERROR(IF('Апр'!$B7=TRUE,1,0),0)</f>
        <v/>
      </c>
      <c r="C102" s="38">
        <f>IFERROR(IF('Апр'!$C7=TRUE,1,0),0)</f>
        <v/>
      </c>
      <c r="D102" s="38">
        <f>IFERROR(IF('Апр'!$D7=TRUE,1,0),0)</f>
        <v/>
      </c>
      <c r="E102" s="38">
        <f>IFERROR(IF('Апр'!$E7=TRUE,1,0),0)</f>
        <v/>
      </c>
      <c r="F102" s="38">
        <f>IFERROR(IF('Апр'!$F7=TRUE,1,0),0)</f>
        <v/>
      </c>
      <c r="G102" s="38">
        <f>IFERROR(IF('Апр'!$G7=TRUE,1,0),0)</f>
        <v/>
      </c>
      <c r="H102" s="38">
        <f>IFERROR(IF('Апр'!$H7=TRUE,1,0),0)</f>
        <v/>
      </c>
      <c r="I102" s="38">
        <f>IF($A102=0,$I101,IF($B102=1,$I101+1,IF($P102&lt;=1,$I101,0)))</f>
        <v/>
      </c>
      <c r="J102" s="38">
        <f>IF($A102=0,$J101,IF($C102=1,$J101+1,IF($Q102&lt;=1,$J101,0)))</f>
        <v/>
      </c>
      <c r="K102" s="38">
        <f>IF($A102=0,$K101,IF($D102=1,$K101+1,IF($R102&lt;=1,$K101,0)))</f>
        <v/>
      </c>
      <c r="L102" s="38">
        <f>IF($A102=0,$L101,IF($E102=1,$L101+1,IF($S102&lt;=1,$L101,0)))</f>
        <v/>
      </c>
      <c r="M102" s="38">
        <f>IF($A102=0,$M101,IF($F102=1,$M101+1,IF($T102&lt;=1,$M101,0)))</f>
        <v/>
      </c>
      <c r="N102" s="38">
        <f>IF($A102=0,$N101,IF($G102=1,$N101+1,IF($U102&lt;=1,$N101,0)))</f>
        <v/>
      </c>
      <c r="O102" s="38">
        <f>IF($A102=0,$O101,IF($H102=1,$O101+1,IF($V102&lt;=1,$O101,0)))</f>
        <v/>
      </c>
      <c r="P102" s="38">
        <f>IF($A102=0,$P101,$P101+IF($B102=1,0,1))</f>
        <v/>
      </c>
      <c r="Q102" s="38">
        <f>IF($A102=0,$Q101,$Q101+IF($C102=1,0,1))</f>
        <v/>
      </c>
      <c r="R102" s="38">
        <f>IF($A102=0,$R101,$R101+IF($D102=1,0,1))</f>
        <v/>
      </c>
      <c r="S102" s="38">
        <f>IF($A102=0,$S101,$S101+IF($E102=1,0,1))</f>
        <v/>
      </c>
      <c r="T102" s="38">
        <f>IF($A102=0,$T101,$T101+IF($F102=1,0,1))</f>
        <v/>
      </c>
      <c r="U102" s="38">
        <f>IF($A102=0,$U101,$U101+IF($G102=1,0,1))</f>
        <v/>
      </c>
      <c r="V102" s="38">
        <f>IF($A102=0,$V101,$V101+IF($H102=1,0,1))</f>
        <v/>
      </c>
      <c r="W102" s="38">
        <f>SUM($B102:$H102)</f>
        <v/>
      </c>
      <c r="X102" s="38">
        <f>IF(AND($A102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102=1),1,0)+IF(AND($G$1=7,$C102=1),1,0)+IF(AND($H$1=7,$D102=1),1,0)+IF(AND($I$1=7,$E102=1),1,0)+IF(AND($J$1=7,$F102=1),1,0)+IF(AND($K$1=7,$G102=1),1,0)+IF(AND($L$1=7,$H102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2" s="38">
        <f>IF($B102=1,IF($F$1&lt;7,10,IF(AND($F$1=7,$I101=0,$P101&gt;1),15,IF($I101&gt;=20,15,IF($I101&gt;=6,13,10)))),0)+IF($C102=1,IF($G$1&lt;7,10,IF(AND($G$1=7,$J101=0,$Q101&gt;1),15,IF($J101&gt;=20,15,IF($J101&gt;=6,13,10)))),0)+IF($D102=1,IF($H$1&lt;7,10,IF(AND($H$1=7,$K101=0,$R101&gt;1),15,IF($K101&gt;=20,15,IF($K101&gt;=6,13,10)))),0)+IF($E102=1,IF($I$1&lt;7,10,IF(AND($I$1=7,$L101=0,$S101&gt;1),15,IF($L101&gt;=20,15,IF($L101&gt;=6,13,10)))),0)+IF($F102=1,IF($J$1&lt;7,10,IF(AND($J$1=7,$M101=0,$T101&gt;1),15,IF($M101&gt;=20,15,IF($M101&gt;=6,13,10)))),0)+IF($G102=1,IF($K$1&lt;7,10,IF(AND($K$1=7,$N101=0,$U101&gt;1),15,IF($N101&gt;=20,15,IF($N101&gt;=6,13,10)))),0)+IF($H102=1,IF($L$1&lt;7,10,IF(AND($L$1=7,$O101=0,$V101&gt;1),15,IF($O101&gt;=20,15,IF($O101&gt;=6,13,10)))),0)</f>
        <v/>
      </c>
      <c r="Z102" s="38">
        <f>$Z101+$Y102</f>
        <v/>
      </c>
      <c r="AA102" s="38">
        <f>IF(AND($B102=1,AND($F$1=7,$I101=0,$P101&gt;1)),1,0)+IF(AND($C102=1,AND($G$1=7,$J101=0,$Q101&gt;1)),1,0)+IF(AND($D102=1,AND($H$1=7,$K101=0,$R101&gt;1)),1,0)+IF(AND($E102=1,AND($I$1=7,$L101=0,$S101&gt;1)),1,0)+IF(AND($F102=1,AND($J$1=7,$M101=0,$T101&gt;1)),1,0)+IF(AND($G102=1,AND($K$1=7,$N101=0,$U101&gt;1)),1,0)+IF(AND($H102=1,AND($L$1=7,$O101=0,$V101&gt;1)),1,0)</f>
        <v/>
      </c>
      <c r="AB102" s="38">
        <f>IF(IFERROR('Апр'!$I7,"")="",0,$AB101+1)</f>
        <v/>
      </c>
    </row>
    <row r="103" spans="1:28">
      <c r="A103" s="38">
        <f>IF($B$1&gt;=DATE(2026,4,3),1,0)</f>
        <v/>
      </c>
      <c r="B103" s="38">
        <f>IFERROR(IF('Апр'!$B8=TRUE,1,0),0)</f>
        <v/>
      </c>
      <c r="C103" s="38">
        <f>IFERROR(IF('Апр'!$C8=TRUE,1,0),0)</f>
        <v/>
      </c>
      <c r="D103" s="38">
        <f>IFERROR(IF('Апр'!$D8=TRUE,1,0),0)</f>
        <v/>
      </c>
      <c r="E103" s="38">
        <f>IFERROR(IF('Апр'!$E8=TRUE,1,0),0)</f>
        <v/>
      </c>
      <c r="F103" s="38">
        <f>IFERROR(IF('Апр'!$F8=TRUE,1,0),0)</f>
        <v/>
      </c>
      <c r="G103" s="38">
        <f>IFERROR(IF('Апр'!$G8=TRUE,1,0),0)</f>
        <v/>
      </c>
      <c r="H103" s="38">
        <f>IFERROR(IF('Апр'!$H8=TRUE,1,0),0)</f>
        <v/>
      </c>
      <c r="I103" s="38">
        <f>IF($A103=0,$I102,IF($B103=1,$I102+1,IF($P103&lt;=1,$I102,0)))</f>
        <v/>
      </c>
      <c r="J103" s="38">
        <f>IF($A103=0,$J102,IF($C103=1,$J102+1,IF($Q103&lt;=1,$J102,0)))</f>
        <v/>
      </c>
      <c r="K103" s="38">
        <f>IF($A103=0,$K102,IF($D103=1,$K102+1,IF($R103&lt;=1,$K102,0)))</f>
        <v/>
      </c>
      <c r="L103" s="38">
        <f>IF($A103=0,$L102,IF($E103=1,$L102+1,IF($S103&lt;=1,$L102,0)))</f>
        <v/>
      </c>
      <c r="M103" s="38">
        <f>IF($A103=0,$M102,IF($F103=1,$M102+1,IF($T103&lt;=1,$M102,0)))</f>
        <v/>
      </c>
      <c r="N103" s="38">
        <f>IF($A103=0,$N102,IF($G103=1,$N102+1,IF($U103&lt;=1,$N102,0)))</f>
        <v/>
      </c>
      <c r="O103" s="38">
        <f>IF($A103=0,$O102,IF($H103=1,$O102+1,IF($V103&lt;=1,$O102,0)))</f>
        <v/>
      </c>
      <c r="P103" s="38">
        <f>IF($A103=0,$P102,$P102+IF($B103=1,0,1))</f>
        <v/>
      </c>
      <c r="Q103" s="38">
        <f>IF($A103=0,$Q102,$Q102+IF($C103=1,0,1))</f>
        <v/>
      </c>
      <c r="R103" s="38">
        <f>IF($A103=0,$R102,$R102+IF($D103=1,0,1))</f>
        <v/>
      </c>
      <c r="S103" s="38">
        <f>IF($A103=0,$S102,$S102+IF($E103=1,0,1))</f>
        <v/>
      </c>
      <c r="T103" s="38">
        <f>IF($A103=0,$T102,$T102+IF($F103=1,0,1))</f>
        <v/>
      </c>
      <c r="U103" s="38">
        <f>IF($A103=0,$U102,$U102+IF($G103=1,0,1))</f>
        <v/>
      </c>
      <c r="V103" s="38">
        <f>IF($A103=0,$V102,$V102+IF($H103=1,0,1))</f>
        <v/>
      </c>
      <c r="W103" s="38">
        <f>SUM($B103:$H103)</f>
        <v/>
      </c>
      <c r="X103" s="38">
        <f>IF(AND($A103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103=1),1,0)+IF(AND($G$1=7,$C103=1),1,0)+IF(AND($H$1=7,$D103=1),1,0)+IF(AND($I$1=7,$E103=1),1,0)+IF(AND($J$1=7,$F103=1),1,0)+IF(AND($K$1=7,$G103=1),1,0)+IF(AND($L$1=7,$H103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3" s="38">
        <f>IF($B103=1,IF($F$1&lt;7,10,IF(AND($F$1=7,$I102=0,$P102&gt;1),15,IF($I102&gt;=20,15,IF($I102&gt;=6,13,10)))),0)+IF($C103=1,IF($G$1&lt;7,10,IF(AND($G$1=7,$J102=0,$Q102&gt;1),15,IF($J102&gt;=20,15,IF($J102&gt;=6,13,10)))),0)+IF($D103=1,IF($H$1&lt;7,10,IF(AND($H$1=7,$K102=0,$R102&gt;1),15,IF($K102&gt;=20,15,IF($K102&gt;=6,13,10)))),0)+IF($E103=1,IF($I$1&lt;7,10,IF(AND($I$1=7,$L102=0,$S102&gt;1),15,IF($L102&gt;=20,15,IF($L102&gt;=6,13,10)))),0)+IF($F103=1,IF($J$1&lt;7,10,IF(AND($J$1=7,$M102=0,$T102&gt;1),15,IF($M102&gt;=20,15,IF($M102&gt;=6,13,10)))),0)+IF($G103=1,IF($K$1&lt;7,10,IF(AND($K$1=7,$N102=0,$U102&gt;1),15,IF($N102&gt;=20,15,IF($N102&gt;=6,13,10)))),0)+IF($H103=1,IF($L$1&lt;7,10,IF(AND($L$1=7,$O102=0,$V102&gt;1),15,IF($O102&gt;=20,15,IF($O102&gt;=6,13,10)))),0)</f>
        <v/>
      </c>
      <c r="Z103" s="38">
        <f>$Z102+$Y103</f>
        <v/>
      </c>
      <c r="AA103" s="38">
        <f>IF(AND($B103=1,AND($F$1=7,$I102=0,$P102&gt;1)),1,0)+IF(AND($C103=1,AND($G$1=7,$J102=0,$Q102&gt;1)),1,0)+IF(AND($D103=1,AND($H$1=7,$K102=0,$R102&gt;1)),1,0)+IF(AND($E103=1,AND($I$1=7,$L102=0,$S102&gt;1)),1,0)+IF(AND($F103=1,AND($J$1=7,$M102=0,$T102&gt;1)),1,0)+IF(AND($G103=1,AND($K$1=7,$N102=0,$U102&gt;1)),1,0)+IF(AND($H103=1,AND($L$1=7,$O102=0,$V102&gt;1)),1,0)</f>
        <v/>
      </c>
      <c r="AB103" s="38">
        <f>IF(IFERROR('Апр'!$I8,"")="",0,$AB102+1)</f>
        <v/>
      </c>
    </row>
    <row r="104" spans="1:28">
      <c r="A104" s="38">
        <f>IF($B$1&gt;=DATE(2026,4,4),1,0)</f>
        <v/>
      </c>
      <c r="B104" s="38">
        <f>IFERROR(IF('Апр'!$B9=TRUE,1,0),0)</f>
        <v/>
      </c>
      <c r="C104" s="38">
        <f>IFERROR(IF('Апр'!$C9=TRUE,1,0),0)</f>
        <v/>
      </c>
      <c r="D104" s="38">
        <f>IFERROR(IF('Апр'!$D9=TRUE,1,0),0)</f>
        <v/>
      </c>
      <c r="E104" s="38">
        <f>IFERROR(IF('Апр'!$E9=TRUE,1,0),0)</f>
        <v/>
      </c>
      <c r="F104" s="38">
        <f>IFERROR(IF('Апр'!$F9=TRUE,1,0),0)</f>
        <v/>
      </c>
      <c r="G104" s="38">
        <f>IFERROR(IF('Апр'!$G9=TRUE,1,0),0)</f>
        <v/>
      </c>
      <c r="H104" s="38">
        <f>IFERROR(IF('Апр'!$H9=TRUE,1,0),0)</f>
        <v/>
      </c>
      <c r="I104" s="38">
        <f>IF($A104=0,$I103,IF($B104=1,$I103+1,IF($P104&lt;=1,$I103,0)))</f>
        <v/>
      </c>
      <c r="J104" s="38">
        <f>IF($A104=0,$J103,IF($C104=1,$J103+1,IF($Q104&lt;=1,$J103,0)))</f>
        <v/>
      </c>
      <c r="K104" s="38">
        <f>IF($A104=0,$K103,IF($D104=1,$K103+1,IF($R104&lt;=1,$K103,0)))</f>
        <v/>
      </c>
      <c r="L104" s="38">
        <f>IF($A104=0,$L103,IF($E104=1,$L103+1,IF($S104&lt;=1,$L103,0)))</f>
        <v/>
      </c>
      <c r="M104" s="38">
        <f>IF($A104=0,$M103,IF($F104=1,$M103+1,IF($T104&lt;=1,$M103,0)))</f>
        <v/>
      </c>
      <c r="N104" s="38">
        <f>IF($A104=0,$N103,IF($G104=1,$N103+1,IF($U104&lt;=1,$N103,0)))</f>
        <v/>
      </c>
      <c r="O104" s="38">
        <f>IF($A104=0,$O103,IF($H104=1,$O103+1,IF($V104&lt;=1,$O103,0)))</f>
        <v/>
      </c>
      <c r="P104" s="38">
        <f>IF($A104=0,$P103,$P103+IF($B104=1,0,1))</f>
        <v/>
      </c>
      <c r="Q104" s="38">
        <f>IF($A104=0,$Q103,$Q103+IF($C104=1,0,1))</f>
        <v/>
      </c>
      <c r="R104" s="38">
        <f>IF($A104=0,$R103,$R103+IF($D104=1,0,1))</f>
        <v/>
      </c>
      <c r="S104" s="38">
        <f>IF($A104=0,$S103,$S103+IF($E104=1,0,1))</f>
        <v/>
      </c>
      <c r="T104" s="38">
        <f>IF($A104=0,$T103,$T103+IF($F104=1,0,1))</f>
        <v/>
      </c>
      <c r="U104" s="38">
        <f>IF($A104=0,$U103,$U103+IF($G104=1,0,1))</f>
        <v/>
      </c>
      <c r="V104" s="38">
        <f>IF($A104=0,$V103,$V103+IF($H104=1,0,1))</f>
        <v/>
      </c>
      <c r="W104" s="38">
        <f>SUM($B104:$H104)</f>
        <v/>
      </c>
      <c r="X104" s="38">
        <f>IF(AND($A104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104=1),1,0)+IF(AND($G$1=7,$C104=1),1,0)+IF(AND($H$1=7,$D104=1),1,0)+IF(AND($I$1=7,$E104=1),1,0)+IF(AND($J$1=7,$F104=1),1,0)+IF(AND($K$1=7,$G104=1),1,0)+IF(AND($L$1=7,$H104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4" s="38">
        <f>IF($B104=1,IF($F$1&lt;7,10,IF(AND($F$1=7,$I103=0,$P103&gt;1),15,IF($I103&gt;=20,15,IF($I103&gt;=6,13,10)))),0)+IF($C104=1,IF($G$1&lt;7,10,IF(AND($G$1=7,$J103=0,$Q103&gt;1),15,IF($J103&gt;=20,15,IF($J103&gt;=6,13,10)))),0)+IF($D104=1,IF($H$1&lt;7,10,IF(AND($H$1=7,$K103=0,$R103&gt;1),15,IF($K103&gt;=20,15,IF($K103&gt;=6,13,10)))),0)+IF($E104=1,IF($I$1&lt;7,10,IF(AND($I$1=7,$L103=0,$S103&gt;1),15,IF($L103&gt;=20,15,IF($L103&gt;=6,13,10)))),0)+IF($F104=1,IF($J$1&lt;7,10,IF(AND($J$1=7,$M103=0,$T103&gt;1),15,IF($M103&gt;=20,15,IF($M103&gt;=6,13,10)))),0)+IF($G104=1,IF($K$1&lt;7,10,IF(AND($K$1=7,$N103=0,$U103&gt;1),15,IF($N103&gt;=20,15,IF($N103&gt;=6,13,10)))),0)+IF($H104=1,IF($L$1&lt;7,10,IF(AND($L$1=7,$O103=0,$V103&gt;1),15,IF($O103&gt;=20,15,IF($O103&gt;=6,13,10)))),0)</f>
        <v/>
      </c>
      <c r="Z104" s="38">
        <f>$Z103+$Y104</f>
        <v/>
      </c>
      <c r="AA104" s="38">
        <f>IF(AND($B104=1,AND($F$1=7,$I103=0,$P103&gt;1)),1,0)+IF(AND($C104=1,AND($G$1=7,$J103=0,$Q103&gt;1)),1,0)+IF(AND($D104=1,AND($H$1=7,$K103=0,$R103&gt;1)),1,0)+IF(AND($E104=1,AND($I$1=7,$L103=0,$S103&gt;1)),1,0)+IF(AND($F104=1,AND($J$1=7,$M103=0,$T103&gt;1)),1,0)+IF(AND($G104=1,AND($K$1=7,$N103=0,$U103&gt;1)),1,0)+IF(AND($H104=1,AND($L$1=7,$O103=0,$V103&gt;1)),1,0)</f>
        <v/>
      </c>
      <c r="AB104" s="38">
        <f>IF(IFERROR('Апр'!$I9,"")="",0,$AB103+1)</f>
        <v/>
      </c>
    </row>
    <row r="105" spans="1:28">
      <c r="A105" s="38">
        <f>IF($B$1&gt;=DATE(2026,4,5),1,0)</f>
        <v/>
      </c>
      <c r="B105" s="38">
        <f>IFERROR(IF('Апр'!$B10=TRUE,1,0),0)</f>
        <v/>
      </c>
      <c r="C105" s="38">
        <f>IFERROR(IF('Апр'!$C10=TRUE,1,0),0)</f>
        <v/>
      </c>
      <c r="D105" s="38">
        <f>IFERROR(IF('Апр'!$D10=TRUE,1,0),0)</f>
        <v/>
      </c>
      <c r="E105" s="38">
        <f>IFERROR(IF('Апр'!$E10=TRUE,1,0),0)</f>
        <v/>
      </c>
      <c r="F105" s="38">
        <f>IFERROR(IF('Апр'!$F10=TRUE,1,0),0)</f>
        <v/>
      </c>
      <c r="G105" s="38">
        <f>IFERROR(IF('Апр'!$G10=TRUE,1,0),0)</f>
        <v/>
      </c>
      <c r="H105" s="38">
        <f>IFERROR(IF('Апр'!$H10=TRUE,1,0),0)</f>
        <v/>
      </c>
      <c r="I105" s="38">
        <f>IF($A105=0,$I104,IF($B105=1,$I104+1,IF($P105&lt;=1,$I104,0)))</f>
        <v/>
      </c>
      <c r="J105" s="38">
        <f>IF($A105=0,$J104,IF($C105=1,$J104+1,IF($Q105&lt;=1,$J104,0)))</f>
        <v/>
      </c>
      <c r="K105" s="38">
        <f>IF($A105=0,$K104,IF($D105=1,$K104+1,IF($R105&lt;=1,$K104,0)))</f>
        <v/>
      </c>
      <c r="L105" s="38">
        <f>IF($A105=0,$L104,IF($E105=1,$L104+1,IF($S105&lt;=1,$L104,0)))</f>
        <v/>
      </c>
      <c r="M105" s="38">
        <f>IF($A105=0,$M104,IF($F105=1,$M104+1,IF($T105&lt;=1,$M104,0)))</f>
        <v/>
      </c>
      <c r="N105" s="38">
        <f>IF($A105=0,$N104,IF($G105=1,$N104+1,IF($U105&lt;=1,$N104,0)))</f>
        <v/>
      </c>
      <c r="O105" s="38">
        <f>IF($A105=0,$O104,IF($H105=1,$O104+1,IF($V105&lt;=1,$O104,0)))</f>
        <v/>
      </c>
      <c r="P105" s="38">
        <f>IF($A105=0,$P104,$P104+IF($B105=1,0,1))</f>
        <v/>
      </c>
      <c r="Q105" s="38">
        <f>IF($A105=0,$Q104,$Q104+IF($C105=1,0,1))</f>
        <v/>
      </c>
      <c r="R105" s="38">
        <f>IF($A105=0,$R104,$R104+IF($D105=1,0,1))</f>
        <v/>
      </c>
      <c r="S105" s="38">
        <f>IF($A105=0,$S104,$S104+IF($E105=1,0,1))</f>
        <v/>
      </c>
      <c r="T105" s="38">
        <f>IF($A105=0,$T104,$T104+IF($F105=1,0,1))</f>
        <v/>
      </c>
      <c r="U105" s="38">
        <f>IF($A105=0,$U104,$U104+IF($G105=1,0,1))</f>
        <v/>
      </c>
      <c r="V105" s="38">
        <f>IF($A105=0,$V104,$V104+IF($H105=1,0,1))</f>
        <v/>
      </c>
      <c r="W105" s="38">
        <f>SUM($B105:$H105)</f>
        <v/>
      </c>
      <c r="X105" s="38">
        <f>IF(AND($A105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105=1),1,0)+IF(AND($G$1=7,$C105=1),1,0)+IF(AND($H$1=7,$D105=1),1,0)+IF(AND($I$1=7,$E105=1),1,0)+IF(AND($J$1=7,$F105=1),1,0)+IF(AND($K$1=7,$G105=1),1,0)+IF(AND($L$1=7,$H105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5" s="38">
        <f>IF($B105=1,IF($F$1&lt;7,10,IF(AND($F$1=7,$I104=0,$P104&gt;1),15,IF($I104&gt;=20,15,IF($I104&gt;=6,13,10)))),0)+IF($C105=1,IF($G$1&lt;7,10,IF(AND($G$1=7,$J104=0,$Q104&gt;1),15,IF($J104&gt;=20,15,IF($J104&gt;=6,13,10)))),0)+IF($D105=1,IF($H$1&lt;7,10,IF(AND($H$1=7,$K104=0,$R104&gt;1),15,IF($K104&gt;=20,15,IF($K104&gt;=6,13,10)))),0)+IF($E105=1,IF($I$1&lt;7,10,IF(AND($I$1=7,$L104=0,$S104&gt;1),15,IF($L104&gt;=20,15,IF($L104&gt;=6,13,10)))),0)+IF($F105=1,IF($J$1&lt;7,10,IF(AND($J$1=7,$M104=0,$T104&gt;1),15,IF($M104&gt;=20,15,IF($M104&gt;=6,13,10)))),0)+IF($G105=1,IF($K$1&lt;7,10,IF(AND($K$1=7,$N104=0,$U104&gt;1),15,IF($N104&gt;=20,15,IF($N104&gt;=6,13,10)))),0)+IF($H105=1,IF($L$1&lt;7,10,IF(AND($L$1=7,$O104=0,$V104&gt;1),15,IF($O104&gt;=20,15,IF($O104&gt;=6,13,10)))),0)</f>
        <v/>
      </c>
      <c r="Z105" s="38">
        <f>$Z104+$Y105</f>
        <v/>
      </c>
      <c r="AA105" s="38">
        <f>IF(AND($B105=1,AND($F$1=7,$I104=0,$P104&gt;1)),1,0)+IF(AND($C105=1,AND($G$1=7,$J104=0,$Q104&gt;1)),1,0)+IF(AND($D105=1,AND($H$1=7,$K104=0,$R104&gt;1)),1,0)+IF(AND($E105=1,AND($I$1=7,$L104=0,$S104&gt;1)),1,0)+IF(AND($F105=1,AND($J$1=7,$M104=0,$T104&gt;1)),1,0)+IF(AND($G105=1,AND($K$1=7,$N104=0,$U104&gt;1)),1,0)+IF(AND($H105=1,AND($L$1=7,$O104=0,$V104&gt;1)),1,0)</f>
        <v/>
      </c>
      <c r="AB105" s="38">
        <f>IF(IFERROR('Апр'!$I10,"")="",0,$AB104+1)</f>
        <v/>
      </c>
    </row>
    <row r="106" spans="1:28">
      <c r="A106" s="38">
        <f>IF($B$1&gt;=DATE(2026,4,6),1,0)</f>
        <v/>
      </c>
      <c r="B106" s="38">
        <f>IFERROR(IF('Апр'!$B11=TRUE,1,0),0)</f>
        <v/>
      </c>
      <c r="C106" s="38">
        <f>IFERROR(IF('Апр'!$C11=TRUE,1,0),0)</f>
        <v/>
      </c>
      <c r="D106" s="38">
        <f>IFERROR(IF('Апр'!$D11=TRUE,1,0),0)</f>
        <v/>
      </c>
      <c r="E106" s="38">
        <f>IFERROR(IF('Апр'!$E11=TRUE,1,0),0)</f>
        <v/>
      </c>
      <c r="F106" s="38">
        <f>IFERROR(IF('Апр'!$F11=TRUE,1,0),0)</f>
        <v/>
      </c>
      <c r="G106" s="38">
        <f>IFERROR(IF('Апр'!$G11=TRUE,1,0),0)</f>
        <v/>
      </c>
      <c r="H106" s="38">
        <f>IFERROR(IF('Апр'!$H11=TRUE,1,0),0)</f>
        <v/>
      </c>
      <c r="I106" s="38">
        <f>IF($A106=0,$I105,IF($B106=1,$I105+1,IF($P106&lt;=1,$I105,0)))</f>
        <v/>
      </c>
      <c r="J106" s="38">
        <f>IF($A106=0,$J105,IF($C106=1,$J105+1,IF($Q106&lt;=1,$J105,0)))</f>
        <v/>
      </c>
      <c r="K106" s="38">
        <f>IF($A106=0,$K105,IF($D106=1,$K105+1,IF($R106&lt;=1,$K105,0)))</f>
        <v/>
      </c>
      <c r="L106" s="38">
        <f>IF($A106=0,$L105,IF($E106=1,$L105+1,IF($S106&lt;=1,$L105,0)))</f>
        <v/>
      </c>
      <c r="M106" s="38">
        <f>IF($A106=0,$M105,IF($F106=1,$M105+1,IF($T106&lt;=1,$M105,0)))</f>
        <v/>
      </c>
      <c r="N106" s="38">
        <f>IF($A106=0,$N105,IF($G106=1,$N105+1,IF($U106&lt;=1,$N105,0)))</f>
        <v/>
      </c>
      <c r="O106" s="38">
        <f>IF($A106=0,$O105,IF($H106=1,$O105+1,IF($V106&lt;=1,$O105,0)))</f>
        <v/>
      </c>
      <c r="P106" s="38">
        <f>IF($A106=0,$P105,$P105+IF($B106=1,0,1))</f>
        <v/>
      </c>
      <c r="Q106" s="38">
        <f>IF($A106=0,$Q105,$Q105+IF($C106=1,0,1))</f>
        <v/>
      </c>
      <c r="R106" s="38">
        <f>IF($A106=0,$R105,$R105+IF($D106=1,0,1))</f>
        <v/>
      </c>
      <c r="S106" s="38">
        <f>IF($A106=0,$S105,$S105+IF($E106=1,0,1))</f>
        <v/>
      </c>
      <c r="T106" s="38">
        <f>IF($A106=0,$T105,$T105+IF($F106=1,0,1))</f>
        <v/>
      </c>
      <c r="U106" s="38">
        <f>IF($A106=0,$U105,$U105+IF($G106=1,0,1))</f>
        <v/>
      </c>
      <c r="V106" s="38">
        <f>IF($A106=0,$V105,$V105+IF($H106=1,0,1))</f>
        <v/>
      </c>
      <c r="W106" s="38">
        <f>SUM($B106:$H106)</f>
        <v/>
      </c>
      <c r="X106" s="38">
        <f>IF(AND($A106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106=1),1,0)+IF(AND($G$1=7,$C106=1),1,0)+IF(AND($H$1=7,$D106=1),1,0)+IF(AND($I$1=7,$E106=1),1,0)+IF(AND($J$1=7,$F106=1),1,0)+IF(AND($K$1=7,$G106=1),1,0)+IF(AND($L$1=7,$H106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6" s="38">
        <f>IF($B106=1,IF($F$1&lt;7,10,IF(AND($F$1=7,$I105=0,$P105&gt;1),15,IF($I105&gt;=20,15,IF($I105&gt;=6,13,10)))),0)+IF($C106=1,IF($G$1&lt;7,10,IF(AND($G$1=7,$J105=0,$Q105&gt;1),15,IF($J105&gt;=20,15,IF($J105&gt;=6,13,10)))),0)+IF($D106=1,IF($H$1&lt;7,10,IF(AND($H$1=7,$K105=0,$R105&gt;1),15,IF($K105&gt;=20,15,IF($K105&gt;=6,13,10)))),0)+IF($E106=1,IF($I$1&lt;7,10,IF(AND($I$1=7,$L105=0,$S105&gt;1),15,IF($L105&gt;=20,15,IF($L105&gt;=6,13,10)))),0)+IF($F106=1,IF($J$1&lt;7,10,IF(AND($J$1=7,$M105=0,$T105&gt;1),15,IF($M105&gt;=20,15,IF($M105&gt;=6,13,10)))),0)+IF($G106=1,IF($K$1&lt;7,10,IF(AND($K$1=7,$N105=0,$U105&gt;1),15,IF($N105&gt;=20,15,IF($N105&gt;=6,13,10)))),0)+IF($H106=1,IF($L$1&lt;7,10,IF(AND($L$1=7,$O105=0,$V105&gt;1),15,IF($O105&gt;=20,15,IF($O105&gt;=6,13,10)))),0)</f>
        <v/>
      </c>
      <c r="Z106" s="38">
        <f>$Z105+$Y106</f>
        <v/>
      </c>
      <c r="AA106" s="38">
        <f>IF(AND($B106=1,AND($F$1=7,$I105=0,$P105&gt;1)),1,0)+IF(AND($C106=1,AND($G$1=7,$J105=0,$Q105&gt;1)),1,0)+IF(AND($D106=1,AND($H$1=7,$K105=0,$R105&gt;1)),1,0)+IF(AND($E106=1,AND($I$1=7,$L105=0,$S105&gt;1)),1,0)+IF(AND($F106=1,AND($J$1=7,$M105=0,$T105&gt;1)),1,0)+IF(AND($G106=1,AND($K$1=7,$N105=0,$U105&gt;1)),1,0)+IF(AND($H106=1,AND($L$1=7,$O105=0,$V105&gt;1)),1,0)</f>
        <v/>
      </c>
      <c r="AB106" s="38">
        <f>IF(IFERROR('Апр'!$I11,"")="",0,$AB105+1)</f>
        <v/>
      </c>
    </row>
    <row r="107" spans="1:28">
      <c r="A107" s="38">
        <f>IF($B$1&gt;=DATE(2026,4,7),1,0)</f>
        <v/>
      </c>
      <c r="B107" s="38">
        <f>IFERROR(IF('Апр'!$B12=TRUE,1,0),0)</f>
        <v/>
      </c>
      <c r="C107" s="38">
        <f>IFERROR(IF('Апр'!$C12=TRUE,1,0),0)</f>
        <v/>
      </c>
      <c r="D107" s="38">
        <f>IFERROR(IF('Апр'!$D12=TRUE,1,0),0)</f>
        <v/>
      </c>
      <c r="E107" s="38">
        <f>IFERROR(IF('Апр'!$E12=TRUE,1,0),0)</f>
        <v/>
      </c>
      <c r="F107" s="38">
        <f>IFERROR(IF('Апр'!$F12=TRUE,1,0),0)</f>
        <v/>
      </c>
      <c r="G107" s="38">
        <f>IFERROR(IF('Апр'!$G12=TRUE,1,0),0)</f>
        <v/>
      </c>
      <c r="H107" s="38">
        <f>IFERROR(IF('Апр'!$H12=TRUE,1,0),0)</f>
        <v/>
      </c>
      <c r="I107" s="38">
        <f>IF($A107=0,$I106,IF($B107=1,$I106+1,IF($P107&lt;=1,$I106,0)))</f>
        <v/>
      </c>
      <c r="J107" s="38">
        <f>IF($A107=0,$J106,IF($C107=1,$J106+1,IF($Q107&lt;=1,$J106,0)))</f>
        <v/>
      </c>
      <c r="K107" s="38">
        <f>IF($A107=0,$K106,IF($D107=1,$K106+1,IF($R107&lt;=1,$K106,0)))</f>
        <v/>
      </c>
      <c r="L107" s="38">
        <f>IF($A107=0,$L106,IF($E107=1,$L106+1,IF($S107&lt;=1,$L106,0)))</f>
        <v/>
      </c>
      <c r="M107" s="38">
        <f>IF($A107=0,$M106,IF($F107=1,$M106+1,IF($T107&lt;=1,$M106,0)))</f>
        <v/>
      </c>
      <c r="N107" s="38">
        <f>IF($A107=0,$N106,IF($G107=1,$N106+1,IF($U107&lt;=1,$N106,0)))</f>
        <v/>
      </c>
      <c r="O107" s="38">
        <f>IF($A107=0,$O106,IF($H107=1,$O106+1,IF($V107&lt;=1,$O106,0)))</f>
        <v/>
      </c>
      <c r="P107" s="38">
        <f>IF($A107=0,$P106,$P106+IF($B107=1,0,1))</f>
        <v/>
      </c>
      <c r="Q107" s="38">
        <f>IF($A107=0,$Q106,$Q106+IF($C107=1,0,1))</f>
        <v/>
      </c>
      <c r="R107" s="38">
        <f>IF($A107=0,$R106,$R106+IF($D107=1,0,1))</f>
        <v/>
      </c>
      <c r="S107" s="38">
        <f>IF($A107=0,$S106,$S106+IF($E107=1,0,1))</f>
        <v/>
      </c>
      <c r="T107" s="38">
        <f>IF($A107=0,$T106,$T106+IF($F107=1,0,1))</f>
        <v/>
      </c>
      <c r="U107" s="38">
        <f>IF($A107=0,$U106,$U106+IF($G107=1,0,1))</f>
        <v/>
      </c>
      <c r="V107" s="38">
        <f>IF($A107=0,$V106,$V106+IF($H107=1,0,1))</f>
        <v/>
      </c>
      <c r="W107" s="38">
        <f>SUM($B107:$H107)</f>
        <v/>
      </c>
      <c r="X107" s="38">
        <f>IF(AND($A107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107=1),1,0)+IF(AND($G$1=7,$C107=1),1,0)+IF(AND($H$1=7,$D107=1),1,0)+IF(AND($I$1=7,$E107=1),1,0)+IF(AND($J$1=7,$F107=1),1,0)+IF(AND($K$1=7,$G107=1),1,0)+IF(AND($L$1=7,$H107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7" s="38">
        <f>IF($B107=1,IF($F$1&lt;7,10,IF(AND($F$1=7,$I106=0,$P106&gt;1),15,IF($I106&gt;=20,15,IF($I106&gt;=6,13,10)))),0)+IF($C107=1,IF($G$1&lt;7,10,IF(AND($G$1=7,$J106=0,$Q106&gt;1),15,IF($J106&gt;=20,15,IF($J106&gt;=6,13,10)))),0)+IF($D107=1,IF($H$1&lt;7,10,IF(AND($H$1=7,$K106=0,$R106&gt;1),15,IF($K106&gt;=20,15,IF($K106&gt;=6,13,10)))),0)+IF($E107=1,IF($I$1&lt;7,10,IF(AND($I$1=7,$L106=0,$S106&gt;1),15,IF($L106&gt;=20,15,IF($L106&gt;=6,13,10)))),0)+IF($F107=1,IF($J$1&lt;7,10,IF(AND($J$1=7,$M106=0,$T106&gt;1),15,IF($M106&gt;=20,15,IF($M106&gt;=6,13,10)))),0)+IF($G107=1,IF($K$1&lt;7,10,IF(AND($K$1=7,$N106=0,$U106&gt;1),15,IF($N106&gt;=20,15,IF($N106&gt;=6,13,10)))),0)+IF($H107=1,IF($L$1&lt;7,10,IF(AND($L$1=7,$O106=0,$V106&gt;1),15,IF($O106&gt;=20,15,IF($O106&gt;=6,13,10)))),0)</f>
        <v/>
      </c>
      <c r="Z107" s="38">
        <f>$Z106+$Y107</f>
        <v/>
      </c>
      <c r="AA107" s="38">
        <f>IF(AND($B107=1,AND($F$1=7,$I106=0,$P106&gt;1)),1,0)+IF(AND($C107=1,AND($G$1=7,$J106=0,$Q106&gt;1)),1,0)+IF(AND($D107=1,AND($H$1=7,$K106=0,$R106&gt;1)),1,0)+IF(AND($E107=1,AND($I$1=7,$L106=0,$S106&gt;1)),1,0)+IF(AND($F107=1,AND($J$1=7,$M106=0,$T106&gt;1)),1,0)+IF(AND($G107=1,AND($K$1=7,$N106=0,$U106&gt;1)),1,0)+IF(AND($H107=1,AND($L$1=7,$O106=0,$V106&gt;1)),1,0)</f>
        <v/>
      </c>
      <c r="AB107" s="38">
        <f>IF(IFERROR('Апр'!$I12,"")="",0,$AB106+1)</f>
        <v/>
      </c>
    </row>
    <row r="108" spans="1:28">
      <c r="A108" s="38">
        <f>IF($B$1&gt;=DATE(2026,4,8),1,0)</f>
        <v/>
      </c>
      <c r="B108" s="38">
        <f>IFERROR(IF('Апр'!$B13=TRUE,1,0),0)</f>
        <v/>
      </c>
      <c r="C108" s="38">
        <f>IFERROR(IF('Апр'!$C13=TRUE,1,0),0)</f>
        <v/>
      </c>
      <c r="D108" s="38">
        <f>IFERROR(IF('Апр'!$D13=TRUE,1,0),0)</f>
        <v/>
      </c>
      <c r="E108" s="38">
        <f>IFERROR(IF('Апр'!$E13=TRUE,1,0),0)</f>
        <v/>
      </c>
      <c r="F108" s="38">
        <f>IFERROR(IF('Апр'!$F13=TRUE,1,0),0)</f>
        <v/>
      </c>
      <c r="G108" s="38">
        <f>IFERROR(IF('Апр'!$G13=TRUE,1,0),0)</f>
        <v/>
      </c>
      <c r="H108" s="38">
        <f>IFERROR(IF('Апр'!$H13=TRUE,1,0),0)</f>
        <v/>
      </c>
      <c r="I108" s="38">
        <f>IF($A108=0,$I107,IF($B108=1,$I107+1,IF($P108&lt;=1,$I107,0)))</f>
        <v/>
      </c>
      <c r="J108" s="38">
        <f>IF($A108=0,$J107,IF($C108=1,$J107+1,IF($Q108&lt;=1,$J107,0)))</f>
        <v/>
      </c>
      <c r="K108" s="38">
        <f>IF($A108=0,$K107,IF($D108=1,$K107+1,IF($R108&lt;=1,$K107,0)))</f>
        <v/>
      </c>
      <c r="L108" s="38">
        <f>IF($A108=0,$L107,IF($E108=1,$L107+1,IF($S108&lt;=1,$L107,0)))</f>
        <v/>
      </c>
      <c r="M108" s="38">
        <f>IF($A108=0,$M107,IF($F108=1,$M107+1,IF($T108&lt;=1,$M107,0)))</f>
        <v/>
      </c>
      <c r="N108" s="38">
        <f>IF($A108=0,$N107,IF($G108=1,$N107+1,IF($U108&lt;=1,$N107,0)))</f>
        <v/>
      </c>
      <c r="O108" s="38">
        <f>IF($A108=0,$O107,IF($H108=1,$O107+1,IF($V108&lt;=1,$O107,0)))</f>
        <v/>
      </c>
      <c r="P108" s="38">
        <f>IF($A108=0,$P107,$P107+IF($B108=1,0,1))</f>
        <v/>
      </c>
      <c r="Q108" s="38">
        <f>IF($A108=0,$Q107,$Q107+IF($C108=1,0,1))</f>
        <v/>
      </c>
      <c r="R108" s="38">
        <f>IF($A108=0,$R107,$R107+IF($D108=1,0,1))</f>
        <v/>
      </c>
      <c r="S108" s="38">
        <f>IF($A108=0,$S107,$S107+IF($E108=1,0,1))</f>
        <v/>
      </c>
      <c r="T108" s="38">
        <f>IF($A108=0,$T107,$T107+IF($F108=1,0,1))</f>
        <v/>
      </c>
      <c r="U108" s="38">
        <f>IF($A108=0,$U107,$U107+IF($G108=1,0,1))</f>
        <v/>
      </c>
      <c r="V108" s="38">
        <f>IF($A108=0,$V107,$V107+IF($H108=1,0,1))</f>
        <v/>
      </c>
      <c r="W108" s="38">
        <f>SUM($B108:$H108)</f>
        <v/>
      </c>
      <c r="X108" s="38">
        <f>IF(AND($A108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108=1),1,0)+IF(AND($G$1=7,$C108=1),1,0)+IF(AND($H$1=7,$D108=1),1,0)+IF(AND($I$1=7,$E108=1),1,0)+IF(AND($J$1=7,$F108=1),1,0)+IF(AND($K$1=7,$G108=1),1,0)+IF(AND($L$1=7,$H108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8" s="38">
        <f>IF($B108=1,IF($F$1&lt;7,10,IF(AND($F$1=7,$I107=0,$P107&gt;1),15,IF($I107&gt;=20,15,IF($I107&gt;=6,13,10)))),0)+IF($C108=1,IF($G$1&lt;7,10,IF(AND($G$1=7,$J107=0,$Q107&gt;1),15,IF($J107&gt;=20,15,IF($J107&gt;=6,13,10)))),0)+IF($D108=1,IF($H$1&lt;7,10,IF(AND($H$1=7,$K107=0,$R107&gt;1),15,IF($K107&gt;=20,15,IF($K107&gt;=6,13,10)))),0)+IF($E108=1,IF($I$1&lt;7,10,IF(AND($I$1=7,$L107=0,$S107&gt;1),15,IF($L107&gt;=20,15,IF($L107&gt;=6,13,10)))),0)+IF($F108=1,IF($J$1&lt;7,10,IF(AND($J$1=7,$M107=0,$T107&gt;1),15,IF($M107&gt;=20,15,IF($M107&gt;=6,13,10)))),0)+IF($G108=1,IF($K$1&lt;7,10,IF(AND($K$1=7,$N107=0,$U107&gt;1),15,IF($N107&gt;=20,15,IF($N107&gt;=6,13,10)))),0)+IF($H108=1,IF($L$1&lt;7,10,IF(AND($L$1=7,$O107=0,$V107&gt;1),15,IF($O107&gt;=20,15,IF($O107&gt;=6,13,10)))),0)</f>
        <v/>
      </c>
      <c r="Z108" s="38">
        <f>$Z107+$Y108</f>
        <v/>
      </c>
      <c r="AA108" s="38">
        <f>IF(AND($B108=1,AND($F$1=7,$I107=0,$P107&gt;1)),1,0)+IF(AND($C108=1,AND($G$1=7,$J107=0,$Q107&gt;1)),1,0)+IF(AND($D108=1,AND($H$1=7,$K107=0,$R107&gt;1)),1,0)+IF(AND($E108=1,AND($I$1=7,$L107=0,$S107&gt;1)),1,0)+IF(AND($F108=1,AND($J$1=7,$M107=0,$T107&gt;1)),1,0)+IF(AND($G108=1,AND($K$1=7,$N107=0,$U107&gt;1)),1,0)+IF(AND($H108=1,AND($L$1=7,$O107=0,$V107&gt;1)),1,0)</f>
        <v/>
      </c>
      <c r="AB108" s="38">
        <f>IF(IFERROR('Апр'!$I13,"")="",0,$AB107+1)</f>
        <v/>
      </c>
    </row>
    <row r="109" spans="1:28">
      <c r="A109" s="38">
        <f>IF($B$1&gt;=DATE(2026,4,9),1,0)</f>
        <v/>
      </c>
      <c r="B109" s="38">
        <f>IFERROR(IF('Апр'!$B14=TRUE,1,0),0)</f>
        <v/>
      </c>
      <c r="C109" s="38">
        <f>IFERROR(IF('Апр'!$C14=TRUE,1,0),0)</f>
        <v/>
      </c>
      <c r="D109" s="38">
        <f>IFERROR(IF('Апр'!$D14=TRUE,1,0),0)</f>
        <v/>
      </c>
      <c r="E109" s="38">
        <f>IFERROR(IF('Апр'!$E14=TRUE,1,0),0)</f>
        <v/>
      </c>
      <c r="F109" s="38">
        <f>IFERROR(IF('Апр'!$F14=TRUE,1,0),0)</f>
        <v/>
      </c>
      <c r="G109" s="38">
        <f>IFERROR(IF('Апр'!$G14=TRUE,1,0),0)</f>
        <v/>
      </c>
      <c r="H109" s="38">
        <f>IFERROR(IF('Апр'!$H14=TRUE,1,0),0)</f>
        <v/>
      </c>
      <c r="I109" s="38">
        <f>IF($A109=0,$I108,IF($B109=1,$I108+1,IF($P109&lt;=1,$I108,0)))</f>
        <v/>
      </c>
      <c r="J109" s="38">
        <f>IF($A109=0,$J108,IF($C109=1,$J108+1,IF($Q109&lt;=1,$J108,0)))</f>
        <v/>
      </c>
      <c r="K109" s="38">
        <f>IF($A109=0,$K108,IF($D109=1,$K108+1,IF($R109&lt;=1,$K108,0)))</f>
        <v/>
      </c>
      <c r="L109" s="38">
        <f>IF($A109=0,$L108,IF($E109=1,$L108+1,IF($S109&lt;=1,$L108,0)))</f>
        <v/>
      </c>
      <c r="M109" s="38">
        <f>IF($A109=0,$M108,IF($F109=1,$M108+1,IF($T109&lt;=1,$M108,0)))</f>
        <v/>
      </c>
      <c r="N109" s="38">
        <f>IF($A109=0,$N108,IF($G109=1,$N108+1,IF($U109&lt;=1,$N108,0)))</f>
        <v/>
      </c>
      <c r="O109" s="38">
        <f>IF($A109=0,$O108,IF($H109=1,$O108+1,IF($V109&lt;=1,$O108,0)))</f>
        <v/>
      </c>
      <c r="P109" s="38">
        <f>IF($A109=0,$P108,$P108+IF($B109=1,0,1))</f>
        <v/>
      </c>
      <c r="Q109" s="38">
        <f>IF($A109=0,$Q108,$Q108+IF($C109=1,0,1))</f>
        <v/>
      </c>
      <c r="R109" s="38">
        <f>IF($A109=0,$R108,$R108+IF($D109=1,0,1))</f>
        <v/>
      </c>
      <c r="S109" s="38">
        <f>IF($A109=0,$S108,$S108+IF($E109=1,0,1))</f>
        <v/>
      </c>
      <c r="T109" s="38">
        <f>IF($A109=0,$T108,$T108+IF($F109=1,0,1))</f>
        <v/>
      </c>
      <c r="U109" s="38">
        <f>IF($A109=0,$U108,$U108+IF($G109=1,0,1))</f>
        <v/>
      </c>
      <c r="V109" s="38">
        <f>IF($A109=0,$V108,$V108+IF($H109=1,0,1))</f>
        <v/>
      </c>
      <c r="W109" s="38">
        <f>SUM($B109:$H109)</f>
        <v/>
      </c>
      <c r="X109" s="38">
        <f>IF(AND($A109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109=1),1,0)+IF(AND($G$1=7,$C109=1),1,0)+IF(AND($H$1=7,$D109=1),1,0)+IF(AND($I$1=7,$E109=1),1,0)+IF(AND($J$1=7,$F109=1),1,0)+IF(AND($K$1=7,$G109=1),1,0)+IF(AND($L$1=7,$H109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9" s="38">
        <f>IF($B109=1,IF($F$1&lt;7,10,IF(AND($F$1=7,$I108=0,$P108&gt;1),15,IF($I108&gt;=20,15,IF($I108&gt;=6,13,10)))),0)+IF($C109=1,IF($G$1&lt;7,10,IF(AND($G$1=7,$J108=0,$Q108&gt;1),15,IF($J108&gt;=20,15,IF($J108&gt;=6,13,10)))),0)+IF($D109=1,IF($H$1&lt;7,10,IF(AND($H$1=7,$K108=0,$R108&gt;1),15,IF($K108&gt;=20,15,IF($K108&gt;=6,13,10)))),0)+IF($E109=1,IF($I$1&lt;7,10,IF(AND($I$1=7,$L108=0,$S108&gt;1),15,IF($L108&gt;=20,15,IF($L108&gt;=6,13,10)))),0)+IF($F109=1,IF($J$1&lt;7,10,IF(AND($J$1=7,$M108=0,$T108&gt;1),15,IF($M108&gt;=20,15,IF($M108&gt;=6,13,10)))),0)+IF($G109=1,IF($K$1&lt;7,10,IF(AND($K$1=7,$N108=0,$U108&gt;1),15,IF($N108&gt;=20,15,IF($N108&gt;=6,13,10)))),0)+IF($H109=1,IF($L$1&lt;7,10,IF(AND($L$1=7,$O108=0,$V108&gt;1),15,IF($O108&gt;=20,15,IF($O108&gt;=6,13,10)))),0)</f>
        <v/>
      </c>
      <c r="Z109" s="38">
        <f>$Z108+$Y109</f>
        <v/>
      </c>
      <c r="AA109" s="38">
        <f>IF(AND($B109=1,AND($F$1=7,$I108=0,$P108&gt;1)),1,0)+IF(AND($C109=1,AND($G$1=7,$J108=0,$Q108&gt;1)),1,0)+IF(AND($D109=1,AND($H$1=7,$K108=0,$R108&gt;1)),1,0)+IF(AND($E109=1,AND($I$1=7,$L108=0,$S108&gt;1)),1,0)+IF(AND($F109=1,AND($J$1=7,$M108=0,$T108&gt;1)),1,0)+IF(AND($G109=1,AND($K$1=7,$N108=0,$U108&gt;1)),1,0)+IF(AND($H109=1,AND($L$1=7,$O108=0,$V108&gt;1)),1,0)</f>
        <v/>
      </c>
      <c r="AB109" s="38">
        <f>IF(IFERROR('Апр'!$I14,"")="",0,$AB108+1)</f>
        <v/>
      </c>
    </row>
    <row r="110" spans="1:28">
      <c r="A110" s="38">
        <f>IF($B$1&gt;=DATE(2026,4,10),1,0)</f>
        <v/>
      </c>
      <c r="B110" s="38">
        <f>IFERROR(IF('Апр'!$B15=TRUE,1,0),0)</f>
        <v/>
      </c>
      <c r="C110" s="38">
        <f>IFERROR(IF('Апр'!$C15=TRUE,1,0),0)</f>
        <v/>
      </c>
      <c r="D110" s="38">
        <f>IFERROR(IF('Апр'!$D15=TRUE,1,0),0)</f>
        <v/>
      </c>
      <c r="E110" s="38">
        <f>IFERROR(IF('Апр'!$E15=TRUE,1,0),0)</f>
        <v/>
      </c>
      <c r="F110" s="38">
        <f>IFERROR(IF('Апр'!$F15=TRUE,1,0),0)</f>
        <v/>
      </c>
      <c r="G110" s="38">
        <f>IFERROR(IF('Апр'!$G15=TRUE,1,0),0)</f>
        <v/>
      </c>
      <c r="H110" s="38">
        <f>IFERROR(IF('Апр'!$H15=TRUE,1,0),0)</f>
        <v/>
      </c>
      <c r="I110" s="38">
        <f>IF($A110=0,$I109,IF($B110=1,$I109+1,IF($P110&lt;=1,$I109,0)))</f>
        <v/>
      </c>
      <c r="J110" s="38">
        <f>IF($A110=0,$J109,IF($C110=1,$J109+1,IF($Q110&lt;=1,$J109,0)))</f>
        <v/>
      </c>
      <c r="K110" s="38">
        <f>IF($A110=0,$K109,IF($D110=1,$K109+1,IF($R110&lt;=1,$K109,0)))</f>
        <v/>
      </c>
      <c r="L110" s="38">
        <f>IF($A110=0,$L109,IF($E110=1,$L109+1,IF($S110&lt;=1,$L109,0)))</f>
        <v/>
      </c>
      <c r="M110" s="38">
        <f>IF($A110=0,$M109,IF($F110=1,$M109+1,IF($T110&lt;=1,$M109,0)))</f>
        <v/>
      </c>
      <c r="N110" s="38">
        <f>IF($A110=0,$N109,IF($G110=1,$N109+1,IF($U110&lt;=1,$N109,0)))</f>
        <v/>
      </c>
      <c r="O110" s="38">
        <f>IF($A110=0,$O109,IF($H110=1,$O109+1,IF($V110&lt;=1,$O109,0)))</f>
        <v/>
      </c>
      <c r="P110" s="38">
        <f>IF($A110=0,$P109,$P109+IF($B110=1,0,1))</f>
        <v/>
      </c>
      <c r="Q110" s="38">
        <f>IF($A110=0,$Q109,$Q109+IF($C110=1,0,1))</f>
        <v/>
      </c>
      <c r="R110" s="38">
        <f>IF($A110=0,$R109,$R109+IF($D110=1,0,1))</f>
        <v/>
      </c>
      <c r="S110" s="38">
        <f>IF($A110=0,$S109,$S109+IF($E110=1,0,1))</f>
        <v/>
      </c>
      <c r="T110" s="38">
        <f>IF($A110=0,$T109,$T109+IF($F110=1,0,1))</f>
        <v/>
      </c>
      <c r="U110" s="38">
        <f>IF($A110=0,$U109,$U109+IF($G110=1,0,1))</f>
        <v/>
      </c>
      <c r="V110" s="38">
        <f>IF($A110=0,$V109,$V109+IF($H110=1,0,1))</f>
        <v/>
      </c>
      <c r="W110" s="38">
        <f>SUM($B110:$H110)</f>
        <v/>
      </c>
      <c r="X110" s="38">
        <f>IF(AND($A110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110=1),1,0)+IF(AND($G$1=7,$C110=1),1,0)+IF(AND($H$1=7,$D110=1),1,0)+IF(AND($I$1=7,$E110=1),1,0)+IF(AND($J$1=7,$F110=1),1,0)+IF(AND($K$1=7,$G110=1),1,0)+IF(AND($L$1=7,$H110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0" s="38">
        <f>IF($B110=1,IF($F$1&lt;7,10,IF(AND($F$1=7,$I109=0,$P109&gt;1),15,IF($I109&gt;=20,15,IF($I109&gt;=6,13,10)))),0)+IF($C110=1,IF($G$1&lt;7,10,IF(AND($G$1=7,$J109=0,$Q109&gt;1),15,IF($J109&gt;=20,15,IF($J109&gt;=6,13,10)))),0)+IF($D110=1,IF($H$1&lt;7,10,IF(AND($H$1=7,$K109=0,$R109&gt;1),15,IF($K109&gt;=20,15,IF($K109&gt;=6,13,10)))),0)+IF($E110=1,IF($I$1&lt;7,10,IF(AND($I$1=7,$L109=0,$S109&gt;1),15,IF($L109&gt;=20,15,IF($L109&gt;=6,13,10)))),0)+IF($F110=1,IF($J$1&lt;7,10,IF(AND($J$1=7,$M109=0,$T109&gt;1),15,IF($M109&gt;=20,15,IF($M109&gt;=6,13,10)))),0)+IF($G110=1,IF($K$1&lt;7,10,IF(AND($K$1=7,$N109=0,$U109&gt;1),15,IF($N109&gt;=20,15,IF($N109&gt;=6,13,10)))),0)+IF($H110=1,IF($L$1&lt;7,10,IF(AND($L$1=7,$O109=0,$V109&gt;1),15,IF($O109&gt;=20,15,IF($O109&gt;=6,13,10)))),0)</f>
        <v/>
      </c>
      <c r="Z110" s="38">
        <f>$Z109+$Y110</f>
        <v/>
      </c>
      <c r="AA110" s="38">
        <f>IF(AND($B110=1,AND($F$1=7,$I109=0,$P109&gt;1)),1,0)+IF(AND($C110=1,AND($G$1=7,$J109=0,$Q109&gt;1)),1,0)+IF(AND($D110=1,AND($H$1=7,$K109=0,$R109&gt;1)),1,0)+IF(AND($E110=1,AND($I$1=7,$L109=0,$S109&gt;1)),1,0)+IF(AND($F110=1,AND($J$1=7,$M109=0,$T109&gt;1)),1,0)+IF(AND($G110=1,AND($K$1=7,$N109=0,$U109&gt;1)),1,0)+IF(AND($H110=1,AND($L$1=7,$O109=0,$V109&gt;1)),1,0)</f>
        <v/>
      </c>
      <c r="AB110" s="38">
        <f>IF(IFERROR('Апр'!$I15,"")="",0,$AB109+1)</f>
        <v/>
      </c>
    </row>
    <row r="111" spans="1:28">
      <c r="A111" s="38">
        <f>IF($B$1&gt;=DATE(2026,4,11),1,0)</f>
        <v/>
      </c>
      <c r="B111" s="38">
        <f>IFERROR(IF('Апр'!$B16=TRUE,1,0),0)</f>
        <v/>
      </c>
      <c r="C111" s="38">
        <f>IFERROR(IF('Апр'!$C16=TRUE,1,0),0)</f>
        <v/>
      </c>
      <c r="D111" s="38">
        <f>IFERROR(IF('Апр'!$D16=TRUE,1,0),0)</f>
        <v/>
      </c>
      <c r="E111" s="38">
        <f>IFERROR(IF('Апр'!$E16=TRUE,1,0),0)</f>
        <v/>
      </c>
      <c r="F111" s="38">
        <f>IFERROR(IF('Апр'!$F16=TRUE,1,0),0)</f>
        <v/>
      </c>
      <c r="G111" s="38">
        <f>IFERROR(IF('Апр'!$G16=TRUE,1,0),0)</f>
        <v/>
      </c>
      <c r="H111" s="38">
        <f>IFERROR(IF('Апр'!$H16=TRUE,1,0),0)</f>
        <v/>
      </c>
      <c r="I111" s="38">
        <f>IF($A111=0,$I110,IF($B111=1,$I110+1,IF($P111&lt;=1,$I110,0)))</f>
        <v/>
      </c>
      <c r="J111" s="38">
        <f>IF($A111=0,$J110,IF($C111=1,$J110+1,IF($Q111&lt;=1,$J110,0)))</f>
        <v/>
      </c>
      <c r="K111" s="38">
        <f>IF($A111=0,$K110,IF($D111=1,$K110+1,IF($R111&lt;=1,$K110,0)))</f>
        <v/>
      </c>
      <c r="L111" s="38">
        <f>IF($A111=0,$L110,IF($E111=1,$L110+1,IF($S111&lt;=1,$L110,0)))</f>
        <v/>
      </c>
      <c r="M111" s="38">
        <f>IF($A111=0,$M110,IF($F111=1,$M110+1,IF($T111&lt;=1,$M110,0)))</f>
        <v/>
      </c>
      <c r="N111" s="38">
        <f>IF($A111=0,$N110,IF($G111=1,$N110+1,IF($U111&lt;=1,$N110,0)))</f>
        <v/>
      </c>
      <c r="O111" s="38">
        <f>IF($A111=0,$O110,IF($H111=1,$O110+1,IF($V111&lt;=1,$O110,0)))</f>
        <v/>
      </c>
      <c r="P111" s="38">
        <f>IF($A111=0,$P110,$P110+IF($B111=1,0,1))</f>
        <v/>
      </c>
      <c r="Q111" s="38">
        <f>IF($A111=0,$Q110,$Q110+IF($C111=1,0,1))</f>
        <v/>
      </c>
      <c r="R111" s="38">
        <f>IF($A111=0,$R110,$R110+IF($D111=1,0,1))</f>
        <v/>
      </c>
      <c r="S111" s="38">
        <f>IF($A111=0,$S110,$S110+IF($E111=1,0,1))</f>
        <v/>
      </c>
      <c r="T111" s="38">
        <f>IF($A111=0,$T110,$T110+IF($F111=1,0,1))</f>
        <v/>
      </c>
      <c r="U111" s="38">
        <f>IF($A111=0,$U110,$U110+IF($G111=1,0,1))</f>
        <v/>
      </c>
      <c r="V111" s="38">
        <f>IF($A111=0,$V110,$V110+IF($H111=1,0,1))</f>
        <v/>
      </c>
      <c r="W111" s="38">
        <f>SUM($B111:$H111)</f>
        <v/>
      </c>
      <c r="X111" s="38">
        <f>IF(AND($A111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111=1),1,0)+IF(AND($G$1=7,$C111=1),1,0)+IF(AND($H$1=7,$D111=1),1,0)+IF(AND($I$1=7,$E111=1),1,0)+IF(AND($J$1=7,$F111=1),1,0)+IF(AND($K$1=7,$G111=1),1,0)+IF(AND($L$1=7,$H111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1" s="38">
        <f>IF($B111=1,IF($F$1&lt;7,10,IF(AND($F$1=7,$I110=0,$P110&gt;1),15,IF($I110&gt;=20,15,IF($I110&gt;=6,13,10)))),0)+IF($C111=1,IF($G$1&lt;7,10,IF(AND($G$1=7,$J110=0,$Q110&gt;1),15,IF($J110&gt;=20,15,IF($J110&gt;=6,13,10)))),0)+IF($D111=1,IF($H$1&lt;7,10,IF(AND($H$1=7,$K110=0,$R110&gt;1),15,IF($K110&gt;=20,15,IF($K110&gt;=6,13,10)))),0)+IF($E111=1,IF($I$1&lt;7,10,IF(AND($I$1=7,$L110=0,$S110&gt;1),15,IF($L110&gt;=20,15,IF($L110&gt;=6,13,10)))),0)+IF($F111=1,IF($J$1&lt;7,10,IF(AND($J$1=7,$M110=0,$T110&gt;1),15,IF($M110&gt;=20,15,IF($M110&gt;=6,13,10)))),0)+IF($G111=1,IF($K$1&lt;7,10,IF(AND($K$1=7,$N110=0,$U110&gt;1),15,IF($N110&gt;=20,15,IF($N110&gt;=6,13,10)))),0)+IF($H111=1,IF($L$1&lt;7,10,IF(AND($L$1=7,$O110=0,$V110&gt;1),15,IF($O110&gt;=20,15,IF($O110&gt;=6,13,10)))),0)</f>
        <v/>
      </c>
      <c r="Z111" s="38">
        <f>$Z110+$Y111</f>
        <v/>
      </c>
      <c r="AA111" s="38">
        <f>IF(AND($B111=1,AND($F$1=7,$I110=0,$P110&gt;1)),1,0)+IF(AND($C111=1,AND($G$1=7,$J110=0,$Q110&gt;1)),1,0)+IF(AND($D111=1,AND($H$1=7,$K110=0,$R110&gt;1)),1,0)+IF(AND($E111=1,AND($I$1=7,$L110=0,$S110&gt;1)),1,0)+IF(AND($F111=1,AND($J$1=7,$M110=0,$T110&gt;1)),1,0)+IF(AND($G111=1,AND($K$1=7,$N110=0,$U110&gt;1)),1,0)+IF(AND($H111=1,AND($L$1=7,$O110=0,$V110&gt;1)),1,0)</f>
        <v/>
      </c>
      <c r="AB111" s="38">
        <f>IF(IFERROR('Апр'!$I16,"")="",0,$AB110+1)</f>
        <v/>
      </c>
    </row>
    <row r="112" spans="1:28">
      <c r="A112" s="38">
        <f>IF($B$1&gt;=DATE(2026,4,12),1,0)</f>
        <v/>
      </c>
      <c r="B112" s="38">
        <f>IFERROR(IF('Апр'!$B17=TRUE,1,0),0)</f>
        <v/>
      </c>
      <c r="C112" s="38">
        <f>IFERROR(IF('Апр'!$C17=TRUE,1,0),0)</f>
        <v/>
      </c>
      <c r="D112" s="38">
        <f>IFERROR(IF('Апр'!$D17=TRUE,1,0),0)</f>
        <v/>
      </c>
      <c r="E112" s="38">
        <f>IFERROR(IF('Апр'!$E17=TRUE,1,0),0)</f>
        <v/>
      </c>
      <c r="F112" s="38">
        <f>IFERROR(IF('Апр'!$F17=TRUE,1,0),0)</f>
        <v/>
      </c>
      <c r="G112" s="38">
        <f>IFERROR(IF('Апр'!$G17=TRUE,1,0),0)</f>
        <v/>
      </c>
      <c r="H112" s="38">
        <f>IFERROR(IF('Апр'!$H17=TRUE,1,0),0)</f>
        <v/>
      </c>
      <c r="I112" s="38">
        <f>IF($A112=0,$I111,IF($B112=1,$I111+1,IF($P112&lt;=1,$I111,0)))</f>
        <v/>
      </c>
      <c r="J112" s="38">
        <f>IF($A112=0,$J111,IF($C112=1,$J111+1,IF($Q112&lt;=1,$J111,0)))</f>
        <v/>
      </c>
      <c r="K112" s="38">
        <f>IF($A112=0,$K111,IF($D112=1,$K111+1,IF($R112&lt;=1,$K111,0)))</f>
        <v/>
      </c>
      <c r="L112" s="38">
        <f>IF($A112=0,$L111,IF($E112=1,$L111+1,IF($S112&lt;=1,$L111,0)))</f>
        <v/>
      </c>
      <c r="M112" s="38">
        <f>IF($A112=0,$M111,IF($F112=1,$M111+1,IF($T112&lt;=1,$M111,0)))</f>
        <v/>
      </c>
      <c r="N112" s="38">
        <f>IF($A112=0,$N111,IF($G112=1,$N111+1,IF($U112&lt;=1,$N111,0)))</f>
        <v/>
      </c>
      <c r="O112" s="38">
        <f>IF($A112=0,$O111,IF($H112=1,$O111+1,IF($V112&lt;=1,$O111,0)))</f>
        <v/>
      </c>
      <c r="P112" s="38">
        <f>IF($A112=0,$P111,$P111+IF($B112=1,0,1))</f>
        <v/>
      </c>
      <c r="Q112" s="38">
        <f>IF($A112=0,$Q111,$Q111+IF($C112=1,0,1))</f>
        <v/>
      </c>
      <c r="R112" s="38">
        <f>IF($A112=0,$R111,$R111+IF($D112=1,0,1))</f>
        <v/>
      </c>
      <c r="S112" s="38">
        <f>IF($A112=0,$S111,$S111+IF($E112=1,0,1))</f>
        <v/>
      </c>
      <c r="T112" s="38">
        <f>IF($A112=0,$T111,$T111+IF($F112=1,0,1))</f>
        <v/>
      </c>
      <c r="U112" s="38">
        <f>IF($A112=0,$U111,$U111+IF($G112=1,0,1))</f>
        <v/>
      </c>
      <c r="V112" s="38">
        <f>IF($A112=0,$V111,$V111+IF($H112=1,0,1))</f>
        <v/>
      </c>
      <c r="W112" s="38">
        <f>SUM($B112:$H112)</f>
        <v/>
      </c>
      <c r="X112" s="38">
        <f>IF(AND($A112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112=1),1,0)+IF(AND($G$1=7,$C112=1),1,0)+IF(AND($H$1=7,$D112=1),1,0)+IF(AND($I$1=7,$E112=1),1,0)+IF(AND($J$1=7,$F112=1),1,0)+IF(AND($K$1=7,$G112=1),1,0)+IF(AND($L$1=7,$H112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2" s="38">
        <f>IF($B112=1,IF($F$1&lt;7,10,IF(AND($F$1=7,$I111=0,$P111&gt;1),15,IF($I111&gt;=20,15,IF($I111&gt;=6,13,10)))),0)+IF($C112=1,IF($G$1&lt;7,10,IF(AND($G$1=7,$J111=0,$Q111&gt;1),15,IF($J111&gt;=20,15,IF($J111&gt;=6,13,10)))),0)+IF($D112=1,IF($H$1&lt;7,10,IF(AND($H$1=7,$K111=0,$R111&gt;1),15,IF($K111&gt;=20,15,IF($K111&gt;=6,13,10)))),0)+IF($E112=1,IF($I$1&lt;7,10,IF(AND($I$1=7,$L111=0,$S111&gt;1),15,IF($L111&gt;=20,15,IF($L111&gt;=6,13,10)))),0)+IF($F112=1,IF($J$1&lt;7,10,IF(AND($J$1=7,$M111=0,$T111&gt;1),15,IF($M111&gt;=20,15,IF($M111&gt;=6,13,10)))),0)+IF($G112=1,IF($K$1&lt;7,10,IF(AND($K$1=7,$N111=0,$U111&gt;1),15,IF($N111&gt;=20,15,IF($N111&gt;=6,13,10)))),0)+IF($H112=1,IF($L$1&lt;7,10,IF(AND($L$1=7,$O111=0,$V111&gt;1),15,IF($O111&gt;=20,15,IF($O111&gt;=6,13,10)))),0)</f>
        <v/>
      </c>
      <c r="Z112" s="38">
        <f>$Z111+$Y112</f>
        <v/>
      </c>
      <c r="AA112" s="38">
        <f>IF(AND($B112=1,AND($F$1=7,$I111=0,$P111&gt;1)),1,0)+IF(AND($C112=1,AND($G$1=7,$J111=0,$Q111&gt;1)),1,0)+IF(AND($D112=1,AND($H$1=7,$K111=0,$R111&gt;1)),1,0)+IF(AND($E112=1,AND($I$1=7,$L111=0,$S111&gt;1)),1,0)+IF(AND($F112=1,AND($J$1=7,$M111=0,$T111&gt;1)),1,0)+IF(AND($G112=1,AND($K$1=7,$N111=0,$U111&gt;1)),1,0)+IF(AND($H112=1,AND($L$1=7,$O111=0,$V111&gt;1)),1,0)</f>
        <v/>
      </c>
      <c r="AB112" s="38">
        <f>IF(IFERROR('Апр'!$I17,"")="",0,$AB111+1)</f>
        <v/>
      </c>
    </row>
    <row r="113" spans="1:28">
      <c r="A113" s="38">
        <f>IF($B$1&gt;=DATE(2026,4,13),1,0)</f>
        <v/>
      </c>
      <c r="B113" s="38">
        <f>IFERROR(IF('Апр'!$B18=TRUE,1,0),0)</f>
        <v/>
      </c>
      <c r="C113" s="38">
        <f>IFERROR(IF('Апр'!$C18=TRUE,1,0),0)</f>
        <v/>
      </c>
      <c r="D113" s="38">
        <f>IFERROR(IF('Апр'!$D18=TRUE,1,0),0)</f>
        <v/>
      </c>
      <c r="E113" s="38">
        <f>IFERROR(IF('Апр'!$E18=TRUE,1,0),0)</f>
        <v/>
      </c>
      <c r="F113" s="38">
        <f>IFERROR(IF('Апр'!$F18=TRUE,1,0),0)</f>
        <v/>
      </c>
      <c r="G113" s="38">
        <f>IFERROR(IF('Апр'!$G18=TRUE,1,0),0)</f>
        <v/>
      </c>
      <c r="H113" s="38">
        <f>IFERROR(IF('Апр'!$H18=TRUE,1,0),0)</f>
        <v/>
      </c>
      <c r="I113" s="38">
        <f>IF($A113=0,$I112,IF($B113=1,$I112+1,IF($P113&lt;=1,$I112,0)))</f>
        <v/>
      </c>
      <c r="J113" s="38">
        <f>IF($A113=0,$J112,IF($C113=1,$J112+1,IF($Q113&lt;=1,$J112,0)))</f>
        <v/>
      </c>
      <c r="K113" s="38">
        <f>IF($A113=0,$K112,IF($D113=1,$K112+1,IF($R113&lt;=1,$K112,0)))</f>
        <v/>
      </c>
      <c r="L113" s="38">
        <f>IF($A113=0,$L112,IF($E113=1,$L112+1,IF($S113&lt;=1,$L112,0)))</f>
        <v/>
      </c>
      <c r="M113" s="38">
        <f>IF($A113=0,$M112,IF($F113=1,$M112+1,IF($T113&lt;=1,$M112,0)))</f>
        <v/>
      </c>
      <c r="N113" s="38">
        <f>IF($A113=0,$N112,IF($G113=1,$N112+1,IF($U113&lt;=1,$N112,0)))</f>
        <v/>
      </c>
      <c r="O113" s="38">
        <f>IF($A113=0,$O112,IF($H113=1,$O112+1,IF($V113&lt;=1,$O112,0)))</f>
        <v/>
      </c>
      <c r="P113" s="38">
        <f>IF($A113=0,$P112,$P112+IF($B113=1,0,1))</f>
        <v/>
      </c>
      <c r="Q113" s="38">
        <f>IF($A113=0,$Q112,$Q112+IF($C113=1,0,1))</f>
        <v/>
      </c>
      <c r="R113" s="38">
        <f>IF($A113=0,$R112,$R112+IF($D113=1,0,1))</f>
        <v/>
      </c>
      <c r="S113" s="38">
        <f>IF($A113=0,$S112,$S112+IF($E113=1,0,1))</f>
        <v/>
      </c>
      <c r="T113" s="38">
        <f>IF($A113=0,$T112,$T112+IF($F113=1,0,1))</f>
        <v/>
      </c>
      <c r="U113" s="38">
        <f>IF($A113=0,$U112,$U112+IF($G113=1,0,1))</f>
        <v/>
      </c>
      <c r="V113" s="38">
        <f>IF($A113=0,$V112,$V112+IF($H113=1,0,1))</f>
        <v/>
      </c>
      <c r="W113" s="38">
        <f>SUM($B113:$H113)</f>
        <v/>
      </c>
      <c r="X113" s="38">
        <f>IF(AND($A113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113=1),1,0)+IF(AND($G$1=7,$C113=1),1,0)+IF(AND($H$1=7,$D113=1),1,0)+IF(AND($I$1=7,$E113=1),1,0)+IF(AND($J$1=7,$F113=1),1,0)+IF(AND($K$1=7,$G113=1),1,0)+IF(AND($L$1=7,$H113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3" s="38">
        <f>IF($B113=1,IF($F$1&lt;7,10,IF(AND($F$1=7,$I112=0,$P112&gt;1),15,IF($I112&gt;=20,15,IF($I112&gt;=6,13,10)))),0)+IF($C113=1,IF($G$1&lt;7,10,IF(AND($G$1=7,$J112=0,$Q112&gt;1),15,IF($J112&gt;=20,15,IF($J112&gt;=6,13,10)))),0)+IF($D113=1,IF($H$1&lt;7,10,IF(AND($H$1=7,$K112=0,$R112&gt;1),15,IF($K112&gt;=20,15,IF($K112&gt;=6,13,10)))),0)+IF($E113=1,IF($I$1&lt;7,10,IF(AND($I$1=7,$L112=0,$S112&gt;1),15,IF($L112&gt;=20,15,IF($L112&gt;=6,13,10)))),0)+IF($F113=1,IF($J$1&lt;7,10,IF(AND($J$1=7,$M112=0,$T112&gt;1),15,IF($M112&gt;=20,15,IF($M112&gt;=6,13,10)))),0)+IF($G113=1,IF($K$1&lt;7,10,IF(AND($K$1=7,$N112=0,$U112&gt;1),15,IF($N112&gt;=20,15,IF($N112&gt;=6,13,10)))),0)+IF($H113=1,IF($L$1&lt;7,10,IF(AND($L$1=7,$O112=0,$V112&gt;1),15,IF($O112&gt;=20,15,IF($O112&gt;=6,13,10)))),0)</f>
        <v/>
      </c>
      <c r="Z113" s="38">
        <f>$Z112+$Y113</f>
        <v/>
      </c>
      <c r="AA113" s="38">
        <f>IF(AND($B113=1,AND($F$1=7,$I112=0,$P112&gt;1)),1,0)+IF(AND($C113=1,AND($G$1=7,$J112=0,$Q112&gt;1)),1,0)+IF(AND($D113=1,AND($H$1=7,$K112=0,$R112&gt;1)),1,0)+IF(AND($E113=1,AND($I$1=7,$L112=0,$S112&gt;1)),1,0)+IF(AND($F113=1,AND($J$1=7,$M112=0,$T112&gt;1)),1,0)+IF(AND($G113=1,AND($K$1=7,$N112=0,$U112&gt;1)),1,0)+IF(AND($H113=1,AND($L$1=7,$O112=0,$V112&gt;1)),1,0)</f>
        <v/>
      </c>
      <c r="AB113" s="38">
        <f>IF(IFERROR('Апр'!$I18,"")="",0,$AB112+1)</f>
        <v/>
      </c>
    </row>
    <row r="114" spans="1:28">
      <c r="A114" s="38">
        <f>IF($B$1&gt;=DATE(2026,4,14),1,0)</f>
        <v/>
      </c>
      <c r="B114" s="38">
        <f>IFERROR(IF('Апр'!$B19=TRUE,1,0),0)</f>
        <v/>
      </c>
      <c r="C114" s="38">
        <f>IFERROR(IF('Апр'!$C19=TRUE,1,0),0)</f>
        <v/>
      </c>
      <c r="D114" s="38">
        <f>IFERROR(IF('Апр'!$D19=TRUE,1,0),0)</f>
        <v/>
      </c>
      <c r="E114" s="38">
        <f>IFERROR(IF('Апр'!$E19=TRUE,1,0),0)</f>
        <v/>
      </c>
      <c r="F114" s="38">
        <f>IFERROR(IF('Апр'!$F19=TRUE,1,0),0)</f>
        <v/>
      </c>
      <c r="G114" s="38">
        <f>IFERROR(IF('Апр'!$G19=TRUE,1,0),0)</f>
        <v/>
      </c>
      <c r="H114" s="38">
        <f>IFERROR(IF('Апр'!$H19=TRUE,1,0),0)</f>
        <v/>
      </c>
      <c r="I114" s="38">
        <f>IF($A114=0,$I113,IF($B114=1,$I113+1,IF($P114&lt;=1,$I113,0)))</f>
        <v/>
      </c>
      <c r="J114" s="38">
        <f>IF($A114=0,$J113,IF($C114=1,$J113+1,IF($Q114&lt;=1,$J113,0)))</f>
        <v/>
      </c>
      <c r="K114" s="38">
        <f>IF($A114=0,$K113,IF($D114=1,$K113+1,IF($R114&lt;=1,$K113,0)))</f>
        <v/>
      </c>
      <c r="L114" s="38">
        <f>IF($A114=0,$L113,IF($E114=1,$L113+1,IF($S114&lt;=1,$L113,0)))</f>
        <v/>
      </c>
      <c r="M114" s="38">
        <f>IF($A114=0,$M113,IF($F114=1,$M113+1,IF($T114&lt;=1,$M113,0)))</f>
        <v/>
      </c>
      <c r="N114" s="38">
        <f>IF($A114=0,$N113,IF($G114=1,$N113+1,IF($U114&lt;=1,$N113,0)))</f>
        <v/>
      </c>
      <c r="O114" s="38">
        <f>IF($A114=0,$O113,IF($H114=1,$O113+1,IF($V114&lt;=1,$O113,0)))</f>
        <v/>
      </c>
      <c r="P114" s="38">
        <f>IF($A114=0,$P113,$P113+IF($B114=1,0,1))</f>
        <v/>
      </c>
      <c r="Q114" s="38">
        <f>IF($A114=0,$Q113,$Q113+IF($C114=1,0,1))</f>
        <v/>
      </c>
      <c r="R114" s="38">
        <f>IF($A114=0,$R113,$R113+IF($D114=1,0,1))</f>
        <v/>
      </c>
      <c r="S114" s="38">
        <f>IF($A114=0,$S113,$S113+IF($E114=1,0,1))</f>
        <v/>
      </c>
      <c r="T114" s="38">
        <f>IF($A114=0,$T113,$T113+IF($F114=1,0,1))</f>
        <v/>
      </c>
      <c r="U114" s="38">
        <f>IF($A114=0,$U113,$U113+IF($G114=1,0,1))</f>
        <v/>
      </c>
      <c r="V114" s="38">
        <f>IF($A114=0,$V113,$V113+IF($H114=1,0,1))</f>
        <v/>
      </c>
      <c r="W114" s="38">
        <f>SUM($B114:$H114)</f>
        <v/>
      </c>
      <c r="X114" s="38">
        <f>IF(AND($A114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114=1),1,0)+IF(AND($G$1=7,$C114=1),1,0)+IF(AND($H$1=7,$D114=1),1,0)+IF(AND($I$1=7,$E114=1),1,0)+IF(AND($J$1=7,$F114=1),1,0)+IF(AND($K$1=7,$G114=1),1,0)+IF(AND($L$1=7,$H114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4" s="38">
        <f>IF($B114=1,IF($F$1&lt;7,10,IF(AND($F$1=7,$I113=0,$P113&gt;1),15,IF($I113&gt;=20,15,IF($I113&gt;=6,13,10)))),0)+IF($C114=1,IF($G$1&lt;7,10,IF(AND($G$1=7,$J113=0,$Q113&gt;1),15,IF($J113&gt;=20,15,IF($J113&gt;=6,13,10)))),0)+IF($D114=1,IF($H$1&lt;7,10,IF(AND($H$1=7,$K113=0,$R113&gt;1),15,IF($K113&gt;=20,15,IF($K113&gt;=6,13,10)))),0)+IF($E114=1,IF($I$1&lt;7,10,IF(AND($I$1=7,$L113=0,$S113&gt;1),15,IF($L113&gt;=20,15,IF($L113&gt;=6,13,10)))),0)+IF($F114=1,IF($J$1&lt;7,10,IF(AND($J$1=7,$M113=0,$T113&gt;1),15,IF($M113&gt;=20,15,IF($M113&gt;=6,13,10)))),0)+IF($G114=1,IF($K$1&lt;7,10,IF(AND($K$1=7,$N113=0,$U113&gt;1),15,IF($N113&gt;=20,15,IF($N113&gt;=6,13,10)))),0)+IF($H114=1,IF($L$1&lt;7,10,IF(AND($L$1=7,$O113=0,$V113&gt;1),15,IF($O113&gt;=20,15,IF($O113&gt;=6,13,10)))),0)</f>
        <v/>
      </c>
      <c r="Z114" s="38">
        <f>$Z113+$Y114</f>
        <v/>
      </c>
      <c r="AA114" s="38">
        <f>IF(AND($B114=1,AND($F$1=7,$I113=0,$P113&gt;1)),1,0)+IF(AND($C114=1,AND($G$1=7,$J113=0,$Q113&gt;1)),1,0)+IF(AND($D114=1,AND($H$1=7,$K113=0,$R113&gt;1)),1,0)+IF(AND($E114=1,AND($I$1=7,$L113=0,$S113&gt;1)),1,0)+IF(AND($F114=1,AND($J$1=7,$M113=0,$T113&gt;1)),1,0)+IF(AND($G114=1,AND($K$1=7,$N113=0,$U113&gt;1)),1,0)+IF(AND($H114=1,AND($L$1=7,$O113=0,$V113&gt;1)),1,0)</f>
        <v/>
      </c>
      <c r="AB114" s="38">
        <f>IF(IFERROR('Апр'!$I19,"")="",0,$AB113+1)</f>
        <v/>
      </c>
    </row>
    <row r="115" spans="1:28">
      <c r="A115" s="38">
        <f>IF($B$1&gt;=DATE(2026,4,15),1,0)</f>
        <v/>
      </c>
      <c r="B115" s="38">
        <f>IFERROR(IF('Апр'!$B20=TRUE,1,0),0)</f>
        <v/>
      </c>
      <c r="C115" s="38">
        <f>IFERROR(IF('Апр'!$C20=TRUE,1,0),0)</f>
        <v/>
      </c>
      <c r="D115" s="38">
        <f>IFERROR(IF('Апр'!$D20=TRUE,1,0),0)</f>
        <v/>
      </c>
      <c r="E115" s="38">
        <f>IFERROR(IF('Апр'!$E20=TRUE,1,0),0)</f>
        <v/>
      </c>
      <c r="F115" s="38">
        <f>IFERROR(IF('Апр'!$F20=TRUE,1,0),0)</f>
        <v/>
      </c>
      <c r="G115" s="38">
        <f>IFERROR(IF('Апр'!$G20=TRUE,1,0),0)</f>
        <v/>
      </c>
      <c r="H115" s="38">
        <f>IFERROR(IF('Апр'!$H20=TRUE,1,0),0)</f>
        <v/>
      </c>
      <c r="I115" s="38">
        <f>IF($A115=0,$I114,IF($B115=1,$I114+1,IF($P115&lt;=1,$I114,0)))</f>
        <v/>
      </c>
      <c r="J115" s="38">
        <f>IF($A115=0,$J114,IF($C115=1,$J114+1,IF($Q115&lt;=1,$J114,0)))</f>
        <v/>
      </c>
      <c r="K115" s="38">
        <f>IF($A115=0,$K114,IF($D115=1,$K114+1,IF($R115&lt;=1,$K114,0)))</f>
        <v/>
      </c>
      <c r="L115" s="38">
        <f>IF($A115=0,$L114,IF($E115=1,$L114+1,IF($S115&lt;=1,$L114,0)))</f>
        <v/>
      </c>
      <c r="M115" s="38">
        <f>IF($A115=0,$M114,IF($F115=1,$M114+1,IF($T115&lt;=1,$M114,0)))</f>
        <v/>
      </c>
      <c r="N115" s="38">
        <f>IF($A115=0,$N114,IF($G115=1,$N114+1,IF($U115&lt;=1,$N114,0)))</f>
        <v/>
      </c>
      <c r="O115" s="38">
        <f>IF($A115=0,$O114,IF($H115=1,$O114+1,IF($V115&lt;=1,$O114,0)))</f>
        <v/>
      </c>
      <c r="P115" s="38">
        <f>IF($A115=0,$P114,$P114+IF($B115=1,0,1))</f>
        <v/>
      </c>
      <c r="Q115" s="38">
        <f>IF($A115=0,$Q114,$Q114+IF($C115=1,0,1))</f>
        <v/>
      </c>
      <c r="R115" s="38">
        <f>IF($A115=0,$R114,$R114+IF($D115=1,0,1))</f>
        <v/>
      </c>
      <c r="S115" s="38">
        <f>IF($A115=0,$S114,$S114+IF($E115=1,0,1))</f>
        <v/>
      </c>
      <c r="T115" s="38">
        <f>IF($A115=0,$T114,$T114+IF($F115=1,0,1))</f>
        <v/>
      </c>
      <c r="U115" s="38">
        <f>IF($A115=0,$U114,$U114+IF($G115=1,0,1))</f>
        <v/>
      </c>
      <c r="V115" s="38">
        <f>IF($A115=0,$V114,$V114+IF($H115=1,0,1))</f>
        <v/>
      </c>
      <c r="W115" s="38">
        <f>SUM($B115:$H115)</f>
        <v/>
      </c>
      <c r="X115" s="38">
        <f>IF(AND($A115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115=1),1,0)+IF(AND($G$1=7,$C115=1),1,0)+IF(AND($H$1=7,$D115=1),1,0)+IF(AND($I$1=7,$E115=1),1,0)+IF(AND($J$1=7,$F115=1),1,0)+IF(AND($K$1=7,$G115=1),1,0)+IF(AND($L$1=7,$H115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5" s="38">
        <f>IF($B115=1,IF($F$1&lt;7,10,IF(AND($F$1=7,$I114=0,$P114&gt;1),15,IF($I114&gt;=20,15,IF($I114&gt;=6,13,10)))),0)+IF($C115=1,IF($G$1&lt;7,10,IF(AND($G$1=7,$J114=0,$Q114&gt;1),15,IF($J114&gt;=20,15,IF($J114&gt;=6,13,10)))),0)+IF($D115=1,IF($H$1&lt;7,10,IF(AND($H$1=7,$K114=0,$R114&gt;1),15,IF($K114&gt;=20,15,IF($K114&gt;=6,13,10)))),0)+IF($E115=1,IF($I$1&lt;7,10,IF(AND($I$1=7,$L114=0,$S114&gt;1),15,IF($L114&gt;=20,15,IF($L114&gt;=6,13,10)))),0)+IF($F115=1,IF($J$1&lt;7,10,IF(AND($J$1=7,$M114=0,$T114&gt;1),15,IF($M114&gt;=20,15,IF($M114&gt;=6,13,10)))),0)+IF($G115=1,IF($K$1&lt;7,10,IF(AND($K$1=7,$N114=0,$U114&gt;1),15,IF($N114&gt;=20,15,IF($N114&gt;=6,13,10)))),0)+IF($H115=1,IF($L$1&lt;7,10,IF(AND($L$1=7,$O114=0,$V114&gt;1),15,IF($O114&gt;=20,15,IF($O114&gt;=6,13,10)))),0)</f>
        <v/>
      </c>
      <c r="Z115" s="38">
        <f>$Z114+$Y115</f>
        <v/>
      </c>
      <c r="AA115" s="38">
        <f>IF(AND($B115=1,AND($F$1=7,$I114=0,$P114&gt;1)),1,0)+IF(AND($C115=1,AND($G$1=7,$J114=0,$Q114&gt;1)),1,0)+IF(AND($D115=1,AND($H$1=7,$K114=0,$R114&gt;1)),1,0)+IF(AND($E115=1,AND($I$1=7,$L114=0,$S114&gt;1)),1,0)+IF(AND($F115=1,AND($J$1=7,$M114=0,$T114&gt;1)),1,0)+IF(AND($G115=1,AND($K$1=7,$N114=0,$U114&gt;1)),1,0)+IF(AND($H115=1,AND($L$1=7,$O114=0,$V114&gt;1)),1,0)</f>
        <v/>
      </c>
      <c r="AB115" s="38">
        <f>IF(IFERROR('Апр'!$I20,"")="",0,$AB114+1)</f>
        <v/>
      </c>
    </row>
    <row r="116" spans="1:28">
      <c r="A116" s="38">
        <f>IF($B$1&gt;=DATE(2026,4,16),1,0)</f>
        <v/>
      </c>
      <c r="B116" s="38">
        <f>IFERROR(IF('Апр'!$B21=TRUE,1,0),0)</f>
        <v/>
      </c>
      <c r="C116" s="38">
        <f>IFERROR(IF('Апр'!$C21=TRUE,1,0),0)</f>
        <v/>
      </c>
      <c r="D116" s="38">
        <f>IFERROR(IF('Апр'!$D21=TRUE,1,0),0)</f>
        <v/>
      </c>
      <c r="E116" s="38">
        <f>IFERROR(IF('Апр'!$E21=TRUE,1,0),0)</f>
        <v/>
      </c>
      <c r="F116" s="38">
        <f>IFERROR(IF('Апр'!$F21=TRUE,1,0),0)</f>
        <v/>
      </c>
      <c r="G116" s="38">
        <f>IFERROR(IF('Апр'!$G21=TRUE,1,0),0)</f>
        <v/>
      </c>
      <c r="H116" s="38">
        <f>IFERROR(IF('Апр'!$H21=TRUE,1,0),0)</f>
        <v/>
      </c>
      <c r="I116" s="38">
        <f>IF($A116=0,$I115,IF($B116=1,$I115+1,IF($P116&lt;=1,$I115,0)))</f>
        <v/>
      </c>
      <c r="J116" s="38">
        <f>IF($A116=0,$J115,IF($C116=1,$J115+1,IF($Q116&lt;=1,$J115,0)))</f>
        <v/>
      </c>
      <c r="K116" s="38">
        <f>IF($A116=0,$K115,IF($D116=1,$K115+1,IF($R116&lt;=1,$K115,0)))</f>
        <v/>
      </c>
      <c r="L116" s="38">
        <f>IF($A116=0,$L115,IF($E116=1,$L115+1,IF($S116&lt;=1,$L115,0)))</f>
        <v/>
      </c>
      <c r="M116" s="38">
        <f>IF($A116=0,$M115,IF($F116=1,$M115+1,IF($T116&lt;=1,$M115,0)))</f>
        <v/>
      </c>
      <c r="N116" s="38">
        <f>IF($A116=0,$N115,IF($G116=1,$N115+1,IF($U116&lt;=1,$N115,0)))</f>
        <v/>
      </c>
      <c r="O116" s="38">
        <f>IF($A116=0,$O115,IF($H116=1,$O115+1,IF($V116&lt;=1,$O115,0)))</f>
        <v/>
      </c>
      <c r="P116" s="38">
        <f>IF($A116=0,$P115,$P115+IF($B116=1,0,1))</f>
        <v/>
      </c>
      <c r="Q116" s="38">
        <f>IF($A116=0,$Q115,$Q115+IF($C116=1,0,1))</f>
        <v/>
      </c>
      <c r="R116" s="38">
        <f>IF($A116=0,$R115,$R115+IF($D116=1,0,1))</f>
        <v/>
      </c>
      <c r="S116" s="38">
        <f>IF($A116=0,$S115,$S115+IF($E116=1,0,1))</f>
        <v/>
      </c>
      <c r="T116" s="38">
        <f>IF($A116=0,$T115,$T115+IF($F116=1,0,1))</f>
        <v/>
      </c>
      <c r="U116" s="38">
        <f>IF($A116=0,$U115,$U115+IF($G116=1,0,1))</f>
        <v/>
      </c>
      <c r="V116" s="38">
        <f>IF($A116=0,$V115,$V115+IF($H116=1,0,1))</f>
        <v/>
      </c>
      <c r="W116" s="38">
        <f>SUM($B116:$H116)</f>
        <v/>
      </c>
      <c r="X116" s="38">
        <f>IF(AND($A116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116=1),1,0)+IF(AND($G$1=7,$C116=1),1,0)+IF(AND($H$1=7,$D116=1),1,0)+IF(AND($I$1=7,$E116=1),1,0)+IF(AND($J$1=7,$F116=1),1,0)+IF(AND($K$1=7,$G116=1),1,0)+IF(AND($L$1=7,$H116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6" s="38">
        <f>IF($B116=1,IF($F$1&lt;7,10,IF(AND($F$1=7,$I115=0,$P115&gt;1),15,IF($I115&gt;=20,15,IF($I115&gt;=6,13,10)))),0)+IF($C116=1,IF($G$1&lt;7,10,IF(AND($G$1=7,$J115=0,$Q115&gt;1),15,IF($J115&gt;=20,15,IF($J115&gt;=6,13,10)))),0)+IF($D116=1,IF($H$1&lt;7,10,IF(AND($H$1=7,$K115=0,$R115&gt;1),15,IF($K115&gt;=20,15,IF($K115&gt;=6,13,10)))),0)+IF($E116=1,IF($I$1&lt;7,10,IF(AND($I$1=7,$L115=0,$S115&gt;1),15,IF($L115&gt;=20,15,IF($L115&gt;=6,13,10)))),0)+IF($F116=1,IF($J$1&lt;7,10,IF(AND($J$1=7,$M115=0,$T115&gt;1),15,IF($M115&gt;=20,15,IF($M115&gt;=6,13,10)))),0)+IF($G116=1,IF($K$1&lt;7,10,IF(AND($K$1=7,$N115=0,$U115&gt;1),15,IF($N115&gt;=20,15,IF($N115&gt;=6,13,10)))),0)+IF($H116=1,IF($L$1&lt;7,10,IF(AND($L$1=7,$O115=0,$V115&gt;1),15,IF($O115&gt;=20,15,IF($O115&gt;=6,13,10)))),0)</f>
        <v/>
      </c>
      <c r="Z116" s="38">
        <f>$Z115+$Y116</f>
        <v/>
      </c>
      <c r="AA116" s="38">
        <f>IF(AND($B116=1,AND($F$1=7,$I115=0,$P115&gt;1)),1,0)+IF(AND($C116=1,AND($G$1=7,$J115=0,$Q115&gt;1)),1,0)+IF(AND($D116=1,AND($H$1=7,$K115=0,$R115&gt;1)),1,0)+IF(AND($E116=1,AND($I$1=7,$L115=0,$S115&gt;1)),1,0)+IF(AND($F116=1,AND($J$1=7,$M115=0,$T115&gt;1)),1,0)+IF(AND($G116=1,AND($K$1=7,$N115=0,$U115&gt;1)),1,0)+IF(AND($H116=1,AND($L$1=7,$O115=0,$V115&gt;1)),1,0)</f>
        <v/>
      </c>
      <c r="AB116" s="38">
        <f>IF(IFERROR('Апр'!$I21,"")="",0,$AB115+1)</f>
        <v/>
      </c>
    </row>
    <row r="117" spans="1:28">
      <c r="A117" s="38">
        <f>IF($B$1&gt;=DATE(2026,4,17),1,0)</f>
        <v/>
      </c>
      <c r="B117" s="38">
        <f>IFERROR(IF('Апр'!$B22=TRUE,1,0),0)</f>
        <v/>
      </c>
      <c r="C117" s="38">
        <f>IFERROR(IF('Апр'!$C22=TRUE,1,0),0)</f>
        <v/>
      </c>
      <c r="D117" s="38">
        <f>IFERROR(IF('Апр'!$D22=TRUE,1,0),0)</f>
        <v/>
      </c>
      <c r="E117" s="38">
        <f>IFERROR(IF('Апр'!$E22=TRUE,1,0),0)</f>
        <v/>
      </c>
      <c r="F117" s="38">
        <f>IFERROR(IF('Апр'!$F22=TRUE,1,0),0)</f>
        <v/>
      </c>
      <c r="G117" s="38">
        <f>IFERROR(IF('Апр'!$G22=TRUE,1,0),0)</f>
        <v/>
      </c>
      <c r="H117" s="38">
        <f>IFERROR(IF('Апр'!$H22=TRUE,1,0),0)</f>
        <v/>
      </c>
      <c r="I117" s="38">
        <f>IF($A117=0,$I116,IF($B117=1,$I116+1,IF($P117&lt;=1,$I116,0)))</f>
        <v/>
      </c>
      <c r="J117" s="38">
        <f>IF($A117=0,$J116,IF($C117=1,$J116+1,IF($Q117&lt;=1,$J116,0)))</f>
        <v/>
      </c>
      <c r="K117" s="38">
        <f>IF($A117=0,$K116,IF($D117=1,$K116+1,IF($R117&lt;=1,$K116,0)))</f>
        <v/>
      </c>
      <c r="L117" s="38">
        <f>IF($A117=0,$L116,IF($E117=1,$L116+1,IF($S117&lt;=1,$L116,0)))</f>
        <v/>
      </c>
      <c r="M117" s="38">
        <f>IF($A117=0,$M116,IF($F117=1,$M116+1,IF($T117&lt;=1,$M116,0)))</f>
        <v/>
      </c>
      <c r="N117" s="38">
        <f>IF($A117=0,$N116,IF($G117=1,$N116+1,IF($U117&lt;=1,$N116,0)))</f>
        <v/>
      </c>
      <c r="O117" s="38">
        <f>IF($A117=0,$O116,IF($H117=1,$O116+1,IF($V117&lt;=1,$O116,0)))</f>
        <v/>
      </c>
      <c r="P117" s="38">
        <f>IF($A117=0,$P116,$P116+IF($B117=1,0,1))</f>
        <v/>
      </c>
      <c r="Q117" s="38">
        <f>IF($A117=0,$Q116,$Q116+IF($C117=1,0,1))</f>
        <v/>
      </c>
      <c r="R117" s="38">
        <f>IF($A117=0,$R116,$R116+IF($D117=1,0,1))</f>
        <v/>
      </c>
      <c r="S117" s="38">
        <f>IF($A117=0,$S116,$S116+IF($E117=1,0,1))</f>
        <v/>
      </c>
      <c r="T117" s="38">
        <f>IF($A117=0,$T116,$T116+IF($F117=1,0,1))</f>
        <v/>
      </c>
      <c r="U117" s="38">
        <f>IF($A117=0,$U116,$U116+IF($G117=1,0,1))</f>
        <v/>
      </c>
      <c r="V117" s="38">
        <f>IF($A117=0,$V116,$V116+IF($H117=1,0,1))</f>
        <v/>
      </c>
      <c r="W117" s="38">
        <f>SUM($B117:$H117)</f>
        <v/>
      </c>
      <c r="X117" s="38">
        <f>IF(AND($A117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117=1),1,0)+IF(AND($G$1=7,$C117=1),1,0)+IF(AND($H$1=7,$D117=1),1,0)+IF(AND($I$1=7,$E117=1),1,0)+IF(AND($J$1=7,$F117=1),1,0)+IF(AND($K$1=7,$G117=1),1,0)+IF(AND($L$1=7,$H117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7" s="38">
        <f>IF($B117=1,IF($F$1&lt;7,10,IF(AND($F$1=7,$I116=0,$P116&gt;1),15,IF($I116&gt;=20,15,IF($I116&gt;=6,13,10)))),0)+IF($C117=1,IF($G$1&lt;7,10,IF(AND($G$1=7,$J116=0,$Q116&gt;1),15,IF($J116&gt;=20,15,IF($J116&gt;=6,13,10)))),0)+IF($D117=1,IF($H$1&lt;7,10,IF(AND($H$1=7,$K116=0,$R116&gt;1),15,IF($K116&gt;=20,15,IF($K116&gt;=6,13,10)))),0)+IF($E117=1,IF($I$1&lt;7,10,IF(AND($I$1=7,$L116=0,$S116&gt;1),15,IF($L116&gt;=20,15,IF($L116&gt;=6,13,10)))),0)+IF($F117=1,IF($J$1&lt;7,10,IF(AND($J$1=7,$M116=0,$T116&gt;1),15,IF($M116&gt;=20,15,IF($M116&gt;=6,13,10)))),0)+IF($G117=1,IF($K$1&lt;7,10,IF(AND($K$1=7,$N116=0,$U116&gt;1),15,IF($N116&gt;=20,15,IF($N116&gt;=6,13,10)))),0)+IF($H117=1,IF($L$1&lt;7,10,IF(AND($L$1=7,$O116=0,$V116&gt;1),15,IF($O116&gt;=20,15,IF($O116&gt;=6,13,10)))),0)</f>
        <v/>
      </c>
      <c r="Z117" s="38">
        <f>$Z116+$Y117</f>
        <v/>
      </c>
      <c r="AA117" s="38">
        <f>IF(AND($B117=1,AND($F$1=7,$I116=0,$P116&gt;1)),1,0)+IF(AND($C117=1,AND($G$1=7,$J116=0,$Q116&gt;1)),1,0)+IF(AND($D117=1,AND($H$1=7,$K116=0,$R116&gt;1)),1,0)+IF(AND($E117=1,AND($I$1=7,$L116=0,$S116&gt;1)),1,0)+IF(AND($F117=1,AND($J$1=7,$M116=0,$T116&gt;1)),1,0)+IF(AND($G117=1,AND($K$1=7,$N116=0,$U116&gt;1)),1,0)+IF(AND($H117=1,AND($L$1=7,$O116=0,$V116&gt;1)),1,0)</f>
        <v/>
      </c>
      <c r="AB117" s="38">
        <f>IF(IFERROR('Апр'!$I22,"")="",0,$AB116+1)</f>
        <v/>
      </c>
    </row>
    <row r="118" spans="1:28">
      <c r="A118" s="38">
        <f>IF($B$1&gt;=DATE(2026,4,18),1,0)</f>
        <v/>
      </c>
      <c r="B118" s="38">
        <f>IFERROR(IF('Апр'!$B23=TRUE,1,0),0)</f>
        <v/>
      </c>
      <c r="C118" s="38">
        <f>IFERROR(IF('Апр'!$C23=TRUE,1,0),0)</f>
        <v/>
      </c>
      <c r="D118" s="38">
        <f>IFERROR(IF('Апр'!$D23=TRUE,1,0),0)</f>
        <v/>
      </c>
      <c r="E118" s="38">
        <f>IFERROR(IF('Апр'!$E23=TRUE,1,0),0)</f>
        <v/>
      </c>
      <c r="F118" s="38">
        <f>IFERROR(IF('Апр'!$F23=TRUE,1,0),0)</f>
        <v/>
      </c>
      <c r="G118" s="38">
        <f>IFERROR(IF('Апр'!$G23=TRUE,1,0),0)</f>
        <v/>
      </c>
      <c r="H118" s="38">
        <f>IFERROR(IF('Апр'!$H23=TRUE,1,0),0)</f>
        <v/>
      </c>
      <c r="I118" s="38">
        <f>IF($A118=0,$I117,IF($B118=1,$I117+1,IF($P118&lt;=1,$I117,0)))</f>
        <v/>
      </c>
      <c r="J118" s="38">
        <f>IF($A118=0,$J117,IF($C118=1,$J117+1,IF($Q118&lt;=1,$J117,0)))</f>
        <v/>
      </c>
      <c r="K118" s="38">
        <f>IF($A118=0,$K117,IF($D118=1,$K117+1,IF($R118&lt;=1,$K117,0)))</f>
        <v/>
      </c>
      <c r="L118" s="38">
        <f>IF($A118=0,$L117,IF($E118=1,$L117+1,IF($S118&lt;=1,$L117,0)))</f>
        <v/>
      </c>
      <c r="M118" s="38">
        <f>IF($A118=0,$M117,IF($F118=1,$M117+1,IF($T118&lt;=1,$M117,0)))</f>
        <v/>
      </c>
      <c r="N118" s="38">
        <f>IF($A118=0,$N117,IF($G118=1,$N117+1,IF($U118&lt;=1,$N117,0)))</f>
        <v/>
      </c>
      <c r="O118" s="38">
        <f>IF($A118=0,$O117,IF($H118=1,$O117+1,IF($V118&lt;=1,$O117,0)))</f>
        <v/>
      </c>
      <c r="P118" s="38">
        <f>IF($A118=0,$P117,$P117+IF($B118=1,0,1))</f>
        <v/>
      </c>
      <c r="Q118" s="38">
        <f>IF($A118=0,$Q117,$Q117+IF($C118=1,0,1))</f>
        <v/>
      </c>
      <c r="R118" s="38">
        <f>IF($A118=0,$R117,$R117+IF($D118=1,0,1))</f>
        <v/>
      </c>
      <c r="S118" s="38">
        <f>IF($A118=0,$S117,$S117+IF($E118=1,0,1))</f>
        <v/>
      </c>
      <c r="T118" s="38">
        <f>IF($A118=0,$T117,$T117+IF($F118=1,0,1))</f>
        <v/>
      </c>
      <c r="U118" s="38">
        <f>IF($A118=0,$U117,$U117+IF($G118=1,0,1))</f>
        <v/>
      </c>
      <c r="V118" s="38">
        <f>IF($A118=0,$V117,$V117+IF($H118=1,0,1))</f>
        <v/>
      </c>
      <c r="W118" s="38">
        <f>SUM($B118:$H118)</f>
        <v/>
      </c>
      <c r="X118" s="38">
        <f>IF(AND($A118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118=1),1,0)+IF(AND($G$1=7,$C118=1),1,0)+IF(AND($H$1=7,$D118=1),1,0)+IF(AND($I$1=7,$E118=1),1,0)+IF(AND($J$1=7,$F118=1),1,0)+IF(AND($K$1=7,$G118=1),1,0)+IF(AND($L$1=7,$H118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8" s="38">
        <f>IF($B118=1,IF($F$1&lt;7,10,IF(AND($F$1=7,$I117=0,$P117&gt;1),15,IF($I117&gt;=20,15,IF($I117&gt;=6,13,10)))),0)+IF($C118=1,IF($G$1&lt;7,10,IF(AND($G$1=7,$J117=0,$Q117&gt;1),15,IF($J117&gt;=20,15,IF($J117&gt;=6,13,10)))),0)+IF($D118=1,IF($H$1&lt;7,10,IF(AND($H$1=7,$K117=0,$R117&gt;1),15,IF($K117&gt;=20,15,IF($K117&gt;=6,13,10)))),0)+IF($E118=1,IF($I$1&lt;7,10,IF(AND($I$1=7,$L117=0,$S117&gt;1),15,IF($L117&gt;=20,15,IF($L117&gt;=6,13,10)))),0)+IF($F118=1,IF($J$1&lt;7,10,IF(AND($J$1=7,$M117=0,$T117&gt;1),15,IF($M117&gt;=20,15,IF($M117&gt;=6,13,10)))),0)+IF($G118=1,IF($K$1&lt;7,10,IF(AND($K$1=7,$N117=0,$U117&gt;1),15,IF($N117&gt;=20,15,IF($N117&gt;=6,13,10)))),0)+IF($H118=1,IF($L$1&lt;7,10,IF(AND($L$1=7,$O117=0,$V117&gt;1),15,IF($O117&gt;=20,15,IF($O117&gt;=6,13,10)))),0)</f>
        <v/>
      </c>
      <c r="Z118" s="38">
        <f>$Z117+$Y118</f>
        <v/>
      </c>
      <c r="AA118" s="38">
        <f>IF(AND($B118=1,AND($F$1=7,$I117=0,$P117&gt;1)),1,0)+IF(AND($C118=1,AND($G$1=7,$J117=0,$Q117&gt;1)),1,0)+IF(AND($D118=1,AND($H$1=7,$K117=0,$R117&gt;1)),1,0)+IF(AND($E118=1,AND($I$1=7,$L117=0,$S117&gt;1)),1,0)+IF(AND($F118=1,AND($J$1=7,$M117=0,$T117&gt;1)),1,0)+IF(AND($G118=1,AND($K$1=7,$N117=0,$U117&gt;1)),1,0)+IF(AND($H118=1,AND($L$1=7,$O117=0,$V117&gt;1)),1,0)</f>
        <v/>
      </c>
      <c r="AB118" s="38">
        <f>IF(IFERROR('Апр'!$I23,"")="",0,$AB117+1)</f>
        <v/>
      </c>
    </row>
    <row r="119" spans="1:28">
      <c r="A119" s="38">
        <f>IF($B$1&gt;=DATE(2026,4,19),1,0)</f>
        <v/>
      </c>
      <c r="B119" s="38">
        <f>IFERROR(IF('Апр'!$B24=TRUE,1,0),0)</f>
        <v/>
      </c>
      <c r="C119" s="38">
        <f>IFERROR(IF('Апр'!$C24=TRUE,1,0),0)</f>
        <v/>
      </c>
      <c r="D119" s="38">
        <f>IFERROR(IF('Апр'!$D24=TRUE,1,0),0)</f>
        <v/>
      </c>
      <c r="E119" s="38">
        <f>IFERROR(IF('Апр'!$E24=TRUE,1,0),0)</f>
        <v/>
      </c>
      <c r="F119" s="38">
        <f>IFERROR(IF('Апр'!$F24=TRUE,1,0),0)</f>
        <v/>
      </c>
      <c r="G119" s="38">
        <f>IFERROR(IF('Апр'!$G24=TRUE,1,0),0)</f>
        <v/>
      </c>
      <c r="H119" s="38">
        <f>IFERROR(IF('Апр'!$H24=TRUE,1,0),0)</f>
        <v/>
      </c>
      <c r="I119" s="38">
        <f>IF($A119=0,$I118,IF($B119=1,$I118+1,IF($P119&lt;=1,$I118,0)))</f>
        <v/>
      </c>
      <c r="J119" s="38">
        <f>IF($A119=0,$J118,IF($C119=1,$J118+1,IF($Q119&lt;=1,$J118,0)))</f>
        <v/>
      </c>
      <c r="K119" s="38">
        <f>IF($A119=0,$K118,IF($D119=1,$K118+1,IF($R119&lt;=1,$K118,0)))</f>
        <v/>
      </c>
      <c r="L119" s="38">
        <f>IF($A119=0,$L118,IF($E119=1,$L118+1,IF($S119&lt;=1,$L118,0)))</f>
        <v/>
      </c>
      <c r="M119" s="38">
        <f>IF($A119=0,$M118,IF($F119=1,$M118+1,IF($T119&lt;=1,$M118,0)))</f>
        <v/>
      </c>
      <c r="N119" s="38">
        <f>IF($A119=0,$N118,IF($G119=1,$N118+1,IF($U119&lt;=1,$N118,0)))</f>
        <v/>
      </c>
      <c r="O119" s="38">
        <f>IF($A119=0,$O118,IF($H119=1,$O118+1,IF($V119&lt;=1,$O118,0)))</f>
        <v/>
      </c>
      <c r="P119" s="38">
        <f>IF($A119=0,$P118,$P118+IF($B119=1,0,1))</f>
        <v/>
      </c>
      <c r="Q119" s="38">
        <f>IF($A119=0,$Q118,$Q118+IF($C119=1,0,1))</f>
        <v/>
      </c>
      <c r="R119" s="38">
        <f>IF($A119=0,$R118,$R118+IF($D119=1,0,1))</f>
        <v/>
      </c>
      <c r="S119" s="38">
        <f>IF($A119=0,$S118,$S118+IF($E119=1,0,1))</f>
        <v/>
      </c>
      <c r="T119" s="38">
        <f>IF($A119=0,$T118,$T118+IF($F119=1,0,1))</f>
        <v/>
      </c>
      <c r="U119" s="38">
        <f>IF($A119=0,$U118,$U118+IF($G119=1,0,1))</f>
        <v/>
      </c>
      <c r="V119" s="38">
        <f>IF($A119=0,$V118,$V118+IF($H119=1,0,1))</f>
        <v/>
      </c>
      <c r="W119" s="38">
        <f>SUM($B119:$H119)</f>
        <v/>
      </c>
      <c r="X119" s="38">
        <f>IF(AND($A119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119=1),1,0)+IF(AND($G$1=7,$C119=1),1,0)+IF(AND($H$1=7,$D119=1),1,0)+IF(AND($I$1=7,$E119=1),1,0)+IF(AND($J$1=7,$F119=1),1,0)+IF(AND($K$1=7,$G119=1),1,0)+IF(AND($L$1=7,$H119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9" s="38">
        <f>IF($B119=1,IF($F$1&lt;7,10,IF(AND($F$1=7,$I118=0,$P118&gt;1),15,IF($I118&gt;=20,15,IF($I118&gt;=6,13,10)))),0)+IF($C119=1,IF($G$1&lt;7,10,IF(AND($G$1=7,$J118=0,$Q118&gt;1),15,IF($J118&gt;=20,15,IF($J118&gt;=6,13,10)))),0)+IF($D119=1,IF($H$1&lt;7,10,IF(AND($H$1=7,$K118=0,$R118&gt;1),15,IF($K118&gt;=20,15,IF($K118&gt;=6,13,10)))),0)+IF($E119=1,IF($I$1&lt;7,10,IF(AND($I$1=7,$L118=0,$S118&gt;1),15,IF($L118&gt;=20,15,IF($L118&gt;=6,13,10)))),0)+IF($F119=1,IF($J$1&lt;7,10,IF(AND($J$1=7,$M118=0,$T118&gt;1),15,IF($M118&gt;=20,15,IF($M118&gt;=6,13,10)))),0)+IF($G119=1,IF($K$1&lt;7,10,IF(AND($K$1=7,$N118=0,$U118&gt;1),15,IF($N118&gt;=20,15,IF($N118&gt;=6,13,10)))),0)+IF($H119=1,IF($L$1&lt;7,10,IF(AND($L$1=7,$O118=0,$V118&gt;1),15,IF($O118&gt;=20,15,IF($O118&gt;=6,13,10)))),0)</f>
        <v/>
      </c>
      <c r="Z119" s="38">
        <f>$Z118+$Y119</f>
        <v/>
      </c>
      <c r="AA119" s="38">
        <f>IF(AND($B119=1,AND($F$1=7,$I118=0,$P118&gt;1)),1,0)+IF(AND($C119=1,AND($G$1=7,$J118=0,$Q118&gt;1)),1,0)+IF(AND($D119=1,AND($H$1=7,$K118=0,$R118&gt;1)),1,0)+IF(AND($E119=1,AND($I$1=7,$L118=0,$S118&gt;1)),1,0)+IF(AND($F119=1,AND($J$1=7,$M118=0,$T118&gt;1)),1,0)+IF(AND($G119=1,AND($K$1=7,$N118=0,$U118&gt;1)),1,0)+IF(AND($H119=1,AND($L$1=7,$O118=0,$V118&gt;1)),1,0)</f>
        <v/>
      </c>
      <c r="AB119" s="38">
        <f>IF(IFERROR('Апр'!$I24,"")="",0,$AB118+1)</f>
        <v/>
      </c>
    </row>
    <row r="120" spans="1:28">
      <c r="A120" s="38">
        <f>IF($B$1&gt;=DATE(2026,4,20),1,0)</f>
        <v/>
      </c>
      <c r="B120" s="38">
        <f>IFERROR(IF('Апр'!$B25=TRUE,1,0),0)</f>
        <v/>
      </c>
      <c r="C120" s="38">
        <f>IFERROR(IF('Апр'!$C25=TRUE,1,0),0)</f>
        <v/>
      </c>
      <c r="D120" s="38">
        <f>IFERROR(IF('Апр'!$D25=TRUE,1,0),0)</f>
        <v/>
      </c>
      <c r="E120" s="38">
        <f>IFERROR(IF('Апр'!$E25=TRUE,1,0),0)</f>
        <v/>
      </c>
      <c r="F120" s="38">
        <f>IFERROR(IF('Апр'!$F25=TRUE,1,0),0)</f>
        <v/>
      </c>
      <c r="G120" s="38">
        <f>IFERROR(IF('Апр'!$G25=TRUE,1,0),0)</f>
        <v/>
      </c>
      <c r="H120" s="38">
        <f>IFERROR(IF('Апр'!$H25=TRUE,1,0),0)</f>
        <v/>
      </c>
      <c r="I120" s="38">
        <f>IF($A120=0,$I119,IF($B120=1,$I119+1,IF($P120&lt;=1,$I119,0)))</f>
        <v/>
      </c>
      <c r="J120" s="38">
        <f>IF($A120=0,$J119,IF($C120=1,$J119+1,IF($Q120&lt;=1,$J119,0)))</f>
        <v/>
      </c>
      <c r="K120" s="38">
        <f>IF($A120=0,$K119,IF($D120=1,$K119+1,IF($R120&lt;=1,$K119,0)))</f>
        <v/>
      </c>
      <c r="L120" s="38">
        <f>IF($A120=0,$L119,IF($E120=1,$L119+1,IF($S120&lt;=1,$L119,0)))</f>
        <v/>
      </c>
      <c r="M120" s="38">
        <f>IF($A120=0,$M119,IF($F120=1,$M119+1,IF($T120&lt;=1,$M119,0)))</f>
        <v/>
      </c>
      <c r="N120" s="38">
        <f>IF($A120=0,$N119,IF($G120=1,$N119+1,IF($U120&lt;=1,$N119,0)))</f>
        <v/>
      </c>
      <c r="O120" s="38">
        <f>IF($A120=0,$O119,IF($H120=1,$O119+1,IF($V120&lt;=1,$O119,0)))</f>
        <v/>
      </c>
      <c r="P120" s="38">
        <f>IF($A120=0,$P119,$P119+IF($B120=1,0,1))</f>
        <v/>
      </c>
      <c r="Q120" s="38">
        <f>IF($A120=0,$Q119,$Q119+IF($C120=1,0,1))</f>
        <v/>
      </c>
      <c r="R120" s="38">
        <f>IF($A120=0,$R119,$R119+IF($D120=1,0,1))</f>
        <v/>
      </c>
      <c r="S120" s="38">
        <f>IF($A120=0,$S119,$S119+IF($E120=1,0,1))</f>
        <v/>
      </c>
      <c r="T120" s="38">
        <f>IF($A120=0,$T119,$T119+IF($F120=1,0,1))</f>
        <v/>
      </c>
      <c r="U120" s="38">
        <f>IF($A120=0,$U119,$U119+IF($G120=1,0,1))</f>
        <v/>
      </c>
      <c r="V120" s="38">
        <f>IF($A120=0,$V119,$V119+IF($H120=1,0,1))</f>
        <v/>
      </c>
      <c r="W120" s="38">
        <f>SUM($B120:$H120)</f>
        <v/>
      </c>
      <c r="X120" s="38">
        <f>IF(AND($A120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120=1),1,0)+IF(AND($G$1=7,$C120=1),1,0)+IF(AND($H$1=7,$D120=1),1,0)+IF(AND($I$1=7,$E120=1),1,0)+IF(AND($J$1=7,$F120=1),1,0)+IF(AND($K$1=7,$G120=1),1,0)+IF(AND($L$1=7,$H120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0" s="38">
        <f>IF($B120=1,IF($F$1&lt;7,10,IF(AND($F$1=7,$I119=0,$P119&gt;1),15,IF($I119&gt;=20,15,IF($I119&gt;=6,13,10)))),0)+IF($C120=1,IF($G$1&lt;7,10,IF(AND($G$1=7,$J119=0,$Q119&gt;1),15,IF($J119&gt;=20,15,IF($J119&gt;=6,13,10)))),0)+IF($D120=1,IF($H$1&lt;7,10,IF(AND($H$1=7,$K119=0,$R119&gt;1),15,IF($K119&gt;=20,15,IF($K119&gt;=6,13,10)))),0)+IF($E120=1,IF($I$1&lt;7,10,IF(AND($I$1=7,$L119=0,$S119&gt;1),15,IF($L119&gt;=20,15,IF($L119&gt;=6,13,10)))),0)+IF($F120=1,IF($J$1&lt;7,10,IF(AND($J$1=7,$M119=0,$T119&gt;1),15,IF($M119&gt;=20,15,IF($M119&gt;=6,13,10)))),0)+IF($G120=1,IF($K$1&lt;7,10,IF(AND($K$1=7,$N119=0,$U119&gt;1),15,IF($N119&gt;=20,15,IF($N119&gt;=6,13,10)))),0)+IF($H120=1,IF($L$1&lt;7,10,IF(AND($L$1=7,$O119=0,$V119&gt;1),15,IF($O119&gt;=20,15,IF($O119&gt;=6,13,10)))),0)</f>
        <v/>
      </c>
      <c r="Z120" s="38">
        <f>$Z119+$Y120</f>
        <v/>
      </c>
      <c r="AA120" s="38">
        <f>IF(AND($B120=1,AND($F$1=7,$I119=0,$P119&gt;1)),1,0)+IF(AND($C120=1,AND($G$1=7,$J119=0,$Q119&gt;1)),1,0)+IF(AND($D120=1,AND($H$1=7,$K119=0,$R119&gt;1)),1,0)+IF(AND($E120=1,AND($I$1=7,$L119=0,$S119&gt;1)),1,0)+IF(AND($F120=1,AND($J$1=7,$M119=0,$T119&gt;1)),1,0)+IF(AND($G120=1,AND($K$1=7,$N119=0,$U119&gt;1)),1,0)+IF(AND($H120=1,AND($L$1=7,$O119=0,$V119&gt;1)),1,0)</f>
        <v/>
      </c>
      <c r="AB120" s="38">
        <f>IF(IFERROR('Апр'!$I25,"")="",0,$AB119+1)</f>
        <v/>
      </c>
    </row>
    <row r="121" spans="1:28">
      <c r="A121" s="38">
        <f>IF($B$1&gt;=DATE(2026,4,21),1,0)</f>
        <v/>
      </c>
      <c r="B121" s="38">
        <f>IFERROR(IF('Апр'!$B26=TRUE,1,0),0)</f>
        <v/>
      </c>
      <c r="C121" s="38">
        <f>IFERROR(IF('Апр'!$C26=TRUE,1,0),0)</f>
        <v/>
      </c>
      <c r="D121" s="38">
        <f>IFERROR(IF('Апр'!$D26=TRUE,1,0),0)</f>
        <v/>
      </c>
      <c r="E121" s="38">
        <f>IFERROR(IF('Апр'!$E26=TRUE,1,0),0)</f>
        <v/>
      </c>
      <c r="F121" s="38">
        <f>IFERROR(IF('Апр'!$F26=TRUE,1,0),0)</f>
        <v/>
      </c>
      <c r="G121" s="38">
        <f>IFERROR(IF('Апр'!$G26=TRUE,1,0),0)</f>
        <v/>
      </c>
      <c r="H121" s="38">
        <f>IFERROR(IF('Апр'!$H26=TRUE,1,0),0)</f>
        <v/>
      </c>
      <c r="I121" s="38">
        <f>IF($A121=0,$I120,IF($B121=1,$I120+1,IF($P121&lt;=1,$I120,0)))</f>
        <v/>
      </c>
      <c r="J121" s="38">
        <f>IF($A121=0,$J120,IF($C121=1,$J120+1,IF($Q121&lt;=1,$J120,0)))</f>
        <v/>
      </c>
      <c r="K121" s="38">
        <f>IF($A121=0,$K120,IF($D121=1,$K120+1,IF($R121&lt;=1,$K120,0)))</f>
        <v/>
      </c>
      <c r="L121" s="38">
        <f>IF($A121=0,$L120,IF($E121=1,$L120+1,IF($S121&lt;=1,$L120,0)))</f>
        <v/>
      </c>
      <c r="M121" s="38">
        <f>IF($A121=0,$M120,IF($F121=1,$M120+1,IF($T121&lt;=1,$M120,0)))</f>
        <v/>
      </c>
      <c r="N121" s="38">
        <f>IF($A121=0,$N120,IF($G121=1,$N120+1,IF($U121&lt;=1,$N120,0)))</f>
        <v/>
      </c>
      <c r="O121" s="38">
        <f>IF($A121=0,$O120,IF($H121=1,$O120+1,IF($V121&lt;=1,$O120,0)))</f>
        <v/>
      </c>
      <c r="P121" s="38">
        <f>IF($A121=0,$P120,$P120+IF($B121=1,0,1))</f>
        <v/>
      </c>
      <c r="Q121" s="38">
        <f>IF($A121=0,$Q120,$Q120+IF($C121=1,0,1))</f>
        <v/>
      </c>
      <c r="R121" s="38">
        <f>IF($A121=0,$R120,$R120+IF($D121=1,0,1))</f>
        <v/>
      </c>
      <c r="S121" s="38">
        <f>IF($A121=0,$S120,$S120+IF($E121=1,0,1))</f>
        <v/>
      </c>
      <c r="T121" s="38">
        <f>IF($A121=0,$T120,$T120+IF($F121=1,0,1))</f>
        <v/>
      </c>
      <c r="U121" s="38">
        <f>IF($A121=0,$U120,$U120+IF($G121=1,0,1))</f>
        <v/>
      </c>
      <c r="V121" s="38">
        <f>IF($A121=0,$V120,$V120+IF($H121=1,0,1))</f>
        <v/>
      </c>
      <c r="W121" s="38">
        <f>SUM($B121:$H121)</f>
        <v/>
      </c>
      <c r="X121" s="38">
        <f>IF(AND($A121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121=1),1,0)+IF(AND($G$1=7,$C121=1),1,0)+IF(AND($H$1=7,$D121=1),1,0)+IF(AND($I$1=7,$E121=1),1,0)+IF(AND($J$1=7,$F121=1),1,0)+IF(AND($K$1=7,$G121=1),1,0)+IF(AND($L$1=7,$H121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1" s="38">
        <f>IF($B121=1,IF($F$1&lt;7,10,IF(AND($F$1=7,$I120=0,$P120&gt;1),15,IF($I120&gt;=20,15,IF($I120&gt;=6,13,10)))),0)+IF($C121=1,IF($G$1&lt;7,10,IF(AND($G$1=7,$J120=0,$Q120&gt;1),15,IF($J120&gt;=20,15,IF($J120&gt;=6,13,10)))),0)+IF($D121=1,IF($H$1&lt;7,10,IF(AND($H$1=7,$K120=0,$R120&gt;1),15,IF($K120&gt;=20,15,IF($K120&gt;=6,13,10)))),0)+IF($E121=1,IF($I$1&lt;7,10,IF(AND($I$1=7,$L120=0,$S120&gt;1),15,IF($L120&gt;=20,15,IF($L120&gt;=6,13,10)))),0)+IF($F121=1,IF($J$1&lt;7,10,IF(AND($J$1=7,$M120=0,$T120&gt;1),15,IF($M120&gt;=20,15,IF($M120&gt;=6,13,10)))),0)+IF($G121=1,IF($K$1&lt;7,10,IF(AND($K$1=7,$N120=0,$U120&gt;1),15,IF($N120&gt;=20,15,IF($N120&gt;=6,13,10)))),0)+IF($H121=1,IF($L$1&lt;7,10,IF(AND($L$1=7,$O120=0,$V120&gt;1),15,IF($O120&gt;=20,15,IF($O120&gt;=6,13,10)))),0)</f>
        <v/>
      </c>
      <c r="Z121" s="38">
        <f>$Z120+$Y121</f>
        <v/>
      </c>
      <c r="AA121" s="38">
        <f>IF(AND($B121=1,AND($F$1=7,$I120=0,$P120&gt;1)),1,0)+IF(AND($C121=1,AND($G$1=7,$J120=0,$Q120&gt;1)),1,0)+IF(AND($D121=1,AND($H$1=7,$K120=0,$R120&gt;1)),1,0)+IF(AND($E121=1,AND($I$1=7,$L120=0,$S120&gt;1)),1,0)+IF(AND($F121=1,AND($J$1=7,$M120=0,$T120&gt;1)),1,0)+IF(AND($G121=1,AND($K$1=7,$N120=0,$U120&gt;1)),1,0)+IF(AND($H121=1,AND($L$1=7,$O120=0,$V120&gt;1)),1,0)</f>
        <v/>
      </c>
      <c r="AB121" s="38">
        <f>IF(IFERROR('Апр'!$I26,"")="",0,$AB120+1)</f>
        <v/>
      </c>
    </row>
    <row r="122" spans="1:28">
      <c r="A122" s="38">
        <f>IF($B$1&gt;=DATE(2026,4,22),1,0)</f>
        <v/>
      </c>
      <c r="B122" s="38">
        <f>IFERROR(IF('Апр'!$B27=TRUE,1,0),0)</f>
        <v/>
      </c>
      <c r="C122" s="38">
        <f>IFERROR(IF('Апр'!$C27=TRUE,1,0),0)</f>
        <v/>
      </c>
      <c r="D122" s="38">
        <f>IFERROR(IF('Апр'!$D27=TRUE,1,0),0)</f>
        <v/>
      </c>
      <c r="E122" s="38">
        <f>IFERROR(IF('Апр'!$E27=TRUE,1,0),0)</f>
        <v/>
      </c>
      <c r="F122" s="38">
        <f>IFERROR(IF('Апр'!$F27=TRUE,1,0),0)</f>
        <v/>
      </c>
      <c r="G122" s="38">
        <f>IFERROR(IF('Апр'!$G27=TRUE,1,0),0)</f>
        <v/>
      </c>
      <c r="H122" s="38">
        <f>IFERROR(IF('Апр'!$H27=TRUE,1,0),0)</f>
        <v/>
      </c>
      <c r="I122" s="38">
        <f>IF($A122=0,$I121,IF($B122=1,$I121+1,IF($P122&lt;=1,$I121,0)))</f>
        <v/>
      </c>
      <c r="J122" s="38">
        <f>IF($A122=0,$J121,IF($C122=1,$J121+1,IF($Q122&lt;=1,$J121,0)))</f>
        <v/>
      </c>
      <c r="K122" s="38">
        <f>IF($A122=0,$K121,IF($D122=1,$K121+1,IF($R122&lt;=1,$K121,0)))</f>
        <v/>
      </c>
      <c r="L122" s="38">
        <f>IF($A122=0,$L121,IF($E122=1,$L121+1,IF($S122&lt;=1,$L121,0)))</f>
        <v/>
      </c>
      <c r="M122" s="38">
        <f>IF($A122=0,$M121,IF($F122=1,$M121+1,IF($T122&lt;=1,$M121,0)))</f>
        <v/>
      </c>
      <c r="N122" s="38">
        <f>IF($A122=0,$N121,IF($G122=1,$N121+1,IF($U122&lt;=1,$N121,0)))</f>
        <v/>
      </c>
      <c r="O122" s="38">
        <f>IF($A122=0,$O121,IF($H122=1,$O121+1,IF($V122&lt;=1,$O121,0)))</f>
        <v/>
      </c>
      <c r="P122" s="38">
        <f>IF($A122=0,$P121,$P121+IF($B122=1,0,1))</f>
        <v/>
      </c>
      <c r="Q122" s="38">
        <f>IF($A122=0,$Q121,$Q121+IF($C122=1,0,1))</f>
        <v/>
      </c>
      <c r="R122" s="38">
        <f>IF($A122=0,$R121,$R121+IF($D122=1,0,1))</f>
        <v/>
      </c>
      <c r="S122" s="38">
        <f>IF($A122=0,$S121,$S121+IF($E122=1,0,1))</f>
        <v/>
      </c>
      <c r="T122" s="38">
        <f>IF($A122=0,$T121,$T121+IF($F122=1,0,1))</f>
        <v/>
      </c>
      <c r="U122" s="38">
        <f>IF($A122=0,$U121,$U121+IF($G122=1,0,1))</f>
        <v/>
      </c>
      <c r="V122" s="38">
        <f>IF($A122=0,$V121,$V121+IF($H122=1,0,1))</f>
        <v/>
      </c>
      <c r="W122" s="38">
        <f>SUM($B122:$H122)</f>
        <v/>
      </c>
      <c r="X122" s="38">
        <f>IF(AND($A122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122=1),1,0)+IF(AND($G$1=7,$C122=1),1,0)+IF(AND($H$1=7,$D122=1),1,0)+IF(AND($I$1=7,$E122=1),1,0)+IF(AND($J$1=7,$F122=1),1,0)+IF(AND($K$1=7,$G122=1),1,0)+IF(AND($L$1=7,$H122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2" s="38">
        <f>IF($B122=1,IF($F$1&lt;7,10,IF(AND($F$1=7,$I121=0,$P121&gt;1),15,IF($I121&gt;=20,15,IF($I121&gt;=6,13,10)))),0)+IF($C122=1,IF($G$1&lt;7,10,IF(AND($G$1=7,$J121=0,$Q121&gt;1),15,IF($J121&gt;=20,15,IF($J121&gt;=6,13,10)))),0)+IF($D122=1,IF($H$1&lt;7,10,IF(AND($H$1=7,$K121=0,$R121&gt;1),15,IF($K121&gt;=20,15,IF($K121&gt;=6,13,10)))),0)+IF($E122=1,IF($I$1&lt;7,10,IF(AND($I$1=7,$L121=0,$S121&gt;1),15,IF($L121&gt;=20,15,IF($L121&gt;=6,13,10)))),0)+IF($F122=1,IF($J$1&lt;7,10,IF(AND($J$1=7,$M121=0,$T121&gt;1),15,IF($M121&gt;=20,15,IF($M121&gt;=6,13,10)))),0)+IF($G122=1,IF($K$1&lt;7,10,IF(AND($K$1=7,$N121=0,$U121&gt;1),15,IF($N121&gt;=20,15,IF($N121&gt;=6,13,10)))),0)+IF($H122=1,IF($L$1&lt;7,10,IF(AND($L$1=7,$O121=0,$V121&gt;1),15,IF($O121&gt;=20,15,IF($O121&gt;=6,13,10)))),0)</f>
        <v/>
      </c>
      <c r="Z122" s="38">
        <f>$Z121+$Y122</f>
        <v/>
      </c>
      <c r="AA122" s="38">
        <f>IF(AND($B122=1,AND($F$1=7,$I121=0,$P121&gt;1)),1,0)+IF(AND($C122=1,AND($G$1=7,$J121=0,$Q121&gt;1)),1,0)+IF(AND($D122=1,AND($H$1=7,$K121=0,$R121&gt;1)),1,0)+IF(AND($E122=1,AND($I$1=7,$L121=0,$S121&gt;1)),1,0)+IF(AND($F122=1,AND($J$1=7,$M121=0,$T121&gt;1)),1,0)+IF(AND($G122=1,AND($K$1=7,$N121=0,$U121&gt;1)),1,0)+IF(AND($H122=1,AND($L$1=7,$O121=0,$V121&gt;1)),1,0)</f>
        <v/>
      </c>
      <c r="AB122" s="38">
        <f>IF(IFERROR('Апр'!$I27,"")="",0,$AB121+1)</f>
        <v/>
      </c>
    </row>
    <row r="123" spans="1:28">
      <c r="A123" s="38">
        <f>IF($B$1&gt;=DATE(2026,4,23),1,0)</f>
        <v/>
      </c>
      <c r="B123" s="38">
        <f>IFERROR(IF('Апр'!$B28=TRUE,1,0),0)</f>
        <v/>
      </c>
      <c r="C123" s="38">
        <f>IFERROR(IF('Апр'!$C28=TRUE,1,0),0)</f>
        <v/>
      </c>
      <c r="D123" s="38">
        <f>IFERROR(IF('Апр'!$D28=TRUE,1,0),0)</f>
        <v/>
      </c>
      <c r="E123" s="38">
        <f>IFERROR(IF('Апр'!$E28=TRUE,1,0),0)</f>
        <v/>
      </c>
      <c r="F123" s="38">
        <f>IFERROR(IF('Апр'!$F28=TRUE,1,0),0)</f>
        <v/>
      </c>
      <c r="G123" s="38">
        <f>IFERROR(IF('Апр'!$G28=TRUE,1,0),0)</f>
        <v/>
      </c>
      <c r="H123" s="38">
        <f>IFERROR(IF('Апр'!$H28=TRUE,1,0),0)</f>
        <v/>
      </c>
      <c r="I123" s="38">
        <f>IF($A123=0,$I122,IF($B123=1,$I122+1,IF($P123&lt;=1,$I122,0)))</f>
        <v/>
      </c>
      <c r="J123" s="38">
        <f>IF($A123=0,$J122,IF($C123=1,$J122+1,IF($Q123&lt;=1,$J122,0)))</f>
        <v/>
      </c>
      <c r="K123" s="38">
        <f>IF($A123=0,$K122,IF($D123=1,$K122+1,IF($R123&lt;=1,$K122,0)))</f>
        <v/>
      </c>
      <c r="L123" s="38">
        <f>IF($A123=0,$L122,IF($E123=1,$L122+1,IF($S123&lt;=1,$L122,0)))</f>
        <v/>
      </c>
      <c r="M123" s="38">
        <f>IF($A123=0,$M122,IF($F123=1,$M122+1,IF($T123&lt;=1,$M122,0)))</f>
        <v/>
      </c>
      <c r="N123" s="38">
        <f>IF($A123=0,$N122,IF($G123=1,$N122+1,IF($U123&lt;=1,$N122,0)))</f>
        <v/>
      </c>
      <c r="O123" s="38">
        <f>IF($A123=0,$O122,IF($H123=1,$O122+1,IF($V123&lt;=1,$O122,0)))</f>
        <v/>
      </c>
      <c r="P123" s="38">
        <f>IF($A123=0,$P122,$P122+IF($B123=1,0,1))</f>
        <v/>
      </c>
      <c r="Q123" s="38">
        <f>IF($A123=0,$Q122,$Q122+IF($C123=1,0,1))</f>
        <v/>
      </c>
      <c r="R123" s="38">
        <f>IF($A123=0,$R122,$R122+IF($D123=1,0,1))</f>
        <v/>
      </c>
      <c r="S123" s="38">
        <f>IF($A123=0,$S122,$S122+IF($E123=1,0,1))</f>
        <v/>
      </c>
      <c r="T123" s="38">
        <f>IF($A123=0,$T122,$T122+IF($F123=1,0,1))</f>
        <v/>
      </c>
      <c r="U123" s="38">
        <f>IF($A123=0,$U122,$U122+IF($G123=1,0,1))</f>
        <v/>
      </c>
      <c r="V123" s="38">
        <f>IF($A123=0,$V122,$V122+IF($H123=1,0,1))</f>
        <v/>
      </c>
      <c r="W123" s="38">
        <f>SUM($B123:$H123)</f>
        <v/>
      </c>
      <c r="X123" s="38">
        <f>IF(AND($A123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123=1),1,0)+IF(AND($G$1=7,$C123=1),1,0)+IF(AND($H$1=7,$D123=1),1,0)+IF(AND($I$1=7,$E123=1),1,0)+IF(AND($J$1=7,$F123=1),1,0)+IF(AND($K$1=7,$G123=1),1,0)+IF(AND($L$1=7,$H123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3" s="38">
        <f>IF($B123=1,IF($F$1&lt;7,10,IF(AND($F$1=7,$I122=0,$P122&gt;1),15,IF($I122&gt;=20,15,IF($I122&gt;=6,13,10)))),0)+IF($C123=1,IF($G$1&lt;7,10,IF(AND($G$1=7,$J122=0,$Q122&gt;1),15,IF($J122&gt;=20,15,IF($J122&gt;=6,13,10)))),0)+IF($D123=1,IF($H$1&lt;7,10,IF(AND($H$1=7,$K122=0,$R122&gt;1),15,IF($K122&gt;=20,15,IF($K122&gt;=6,13,10)))),0)+IF($E123=1,IF($I$1&lt;7,10,IF(AND($I$1=7,$L122=0,$S122&gt;1),15,IF($L122&gt;=20,15,IF($L122&gt;=6,13,10)))),0)+IF($F123=1,IF($J$1&lt;7,10,IF(AND($J$1=7,$M122=0,$T122&gt;1),15,IF($M122&gt;=20,15,IF($M122&gt;=6,13,10)))),0)+IF($G123=1,IF($K$1&lt;7,10,IF(AND($K$1=7,$N122=0,$U122&gt;1),15,IF($N122&gt;=20,15,IF($N122&gt;=6,13,10)))),0)+IF($H123=1,IF($L$1&lt;7,10,IF(AND($L$1=7,$O122=0,$V122&gt;1),15,IF($O122&gt;=20,15,IF($O122&gt;=6,13,10)))),0)</f>
        <v/>
      </c>
      <c r="Z123" s="38">
        <f>$Z122+$Y123</f>
        <v/>
      </c>
      <c r="AA123" s="38">
        <f>IF(AND($B123=1,AND($F$1=7,$I122=0,$P122&gt;1)),1,0)+IF(AND($C123=1,AND($G$1=7,$J122=0,$Q122&gt;1)),1,0)+IF(AND($D123=1,AND($H$1=7,$K122=0,$R122&gt;1)),1,0)+IF(AND($E123=1,AND($I$1=7,$L122=0,$S122&gt;1)),1,0)+IF(AND($F123=1,AND($J$1=7,$M122=0,$T122&gt;1)),1,0)+IF(AND($G123=1,AND($K$1=7,$N122=0,$U122&gt;1)),1,0)+IF(AND($H123=1,AND($L$1=7,$O122=0,$V122&gt;1)),1,0)</f>
        <v/>
      </c>
      <c r="AB123" s="38">
        <f>IF(IFERROR('Апр'!$I28,"")="",0,$AB122+1)</f>
        <v/>
      </c>
    </row>
    <row r="124" spans="1:28">
      <c r="A124" s="38">
        <f>IF($B$1&gt;=DATE(2026,4,24),1,0)</f>
        <v/>
      </c>
      <c r="B124" s="38">
        <f>IFERROR(IF('Апр'!$B29=TRUE,1,0),0)</f>
        <v/>
      </c>
      <c r="C124" s="38">
        <f>IFERROR(IF('Апр'!$C29=TRUE,1,0),0)</f>
        <v/>
      </c>
      <c r="D124" s="38">
        <f>IFERROR(IF('Апр'!$D29=TRUE,1,0),0)</f>
        <v/>
      </c>
      <c r="E124" s="38">
        <f>IFERROR(IF('Апр'!$E29=TRUE,1,0),0)</f>
        <v/>
      </c>
      <c r="F124" s="38">
        <f>IFERROR(IF('Апр'!$F29=TRUE,1,0),0)</f>
        <v/>
      </c>
      <c r="G124" s="38">
        <f>IFERROR(IF('Апр'!$G29=TRUE,1,0),0)</f>
        <v/>
      </c>
      <c r="H124" s="38">
        <f>IFERROR(IF('Апр'!$H29=TRUE,1,0),0)</f>
        <v/>
      </c>
      <c r="I124" s="38">
        <f>IF($A124=0,$I123,IF($B124=1,$I123+1,IF($P124&lt;=1,$I123,0)))</f>
        <v/>
      </c>
      <c r="J124" s="38">
        <f>IF($A124=0,$J123,IF($C124=1,$J123+1,IF($Q124&lt;=1,$J123,0)))</f>
        <v/>
      </c>
      <c r="K124" s="38">
        <f>IF($A124=0,$K123,IF($D124=1,$K123+1,IF($R124&lt;=1,$K123,0)))</f>
        <v/>
      </c>
      <c r="L124" s="38">
        <f>IF($A124=0,$L123,IF($E124=1,$L123+1,IF($S124&lt;=1,$L123,0)))</f>
        <v/>
      </c>
      <c r="M124" s="38">
        <f>IF($A124=0,$M123,IF($F124=1,$M123+1,IF($T124&lt;=1,$M123,0)))</f>
        <v/>
      </c>
      <c r="N124" s="38">
        <f>IF($A124=0,$N123,IF($G124=1,$N123+1,IF($U124&lt;=1,$N123,0)))</f>
        <v/>
      </c>
      <c r="O124" s="38">
        <f>IF($A124=0,$O123,IF($H124=1,$O123+1,IF($V124&lt;=1,$O123,0)))</f>
        <v/>
      </c>
      <c r="P124" s="38">
        <f>IF($A124=0,$P123,$P123+IF($B124=1,0,1))</f>
        <v/>
      </c>
      <c r="Q124" s="38">
        <f>IF($A124=0,$Q123,$Q123+IF($C124=1,0,1))</f>
        <v/>
      </c>
      <c r="R124" s="38">
        <f>IF($A124=0,$R123,$R123+IF($D124=1,0,1))</f>
        <v/>
      </c>
      <c r="S124" s="38">
        <f>IF($A124=0,$S123,$S123+IF($E124=1,0,1))</f>
        <v/>
      </c>
      <c r="T124" s="38">
        <f>IF($A124=0,$T123,$T123+IF($F124=1,0,1))</f>
        <v/>
      </c>
      <c r="U124" s="38">
        <f>IF($A124=0,$U123,$U123+IF($G124=1,0,1))</f>
        <v/>
      </c>
      <c r="V124" s="38">
        <f>IF($A124=0,$V123,$V123+IF($H124=1,0,1))</f>
        <v/>
      </c>
      <c r="W124" s="38">
        <f>SUM($B124:$H124)</f>
        <v/>
      </c>
      <c r="X124" s="38">
        <f>IF(AND($A124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124=1),1,0)+IF(AND($G$1=7,$C124=1),1,0)+IF(AND($H$1=7,$D124=1),1,0)+IF(AND($I$1=7,$E124=1),1,0)+IF(AND($J$1=7,$F124=1),1,0)+IF(AND($K$1=7,$G124=1),1,0)+IF(AND($L$1=7,$H124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4" s="38">
        <f>IF($B124=1,IF($F$1&lt;7,10,IF(AND($F$1=7,$I123=0,$P123&gt;1),15,IF($I123&gt;=20,15,IF($I123&gt;=6,13,10)))),0)+IF($C124=1,IF($G$1&lt;7,10,IF(AND($G$1=7,$J123=0,$Q123&gt;1),15,IF($J123&gt;=20,15,IF($J123&gt;=6,13,10)))),0)+IF($D124=1,IF($H$1&lt;7,10,IF(AND($H$1=7,$K123=0,$R123&gt;1),15,IF($K123&gt;=20,15,IF($K123&gt;=6,13,10)))),0)+IF($E124=1,IF($I$1&lt;7,10,IF(AND($I$1=7,$L123=0,$S123&gt;1),15,IF($L123&gt;=20,15,IF($L123&gt;=6,13,10)))),0)+IF($F124=1,IF($J$1&lt;7,10,IF(AND($J$1=7,$M123=0,$T123&gt;1),15,IF($M123&gt;=20,15,IF($M123&gt;=6,13,10)))),0)+IF($G124=1,IF($K$1&lt;7,10,IF(AND($K$1=7,$N123=0,$U123&gt;1),15,IF($N123&gt;=20,15,IF($N123&gt;=6,13,10)))),0)+IF($H124=1,IF($L$1&lt;7,10,IF(AND($L$1=7,$O123=0,$V123&gt;1),15,IF($O123&gt;=20,15,IF($O123&gt;=6,13,10)))),0)</f>
        <v/>
      </c>
      <c r="Z124" s="38">
        <f>$Z123+$Y124</f>
        <v/>
      </c>
      <c r="AA124" s="38">
        <f>IF(AND($B124=1,AND($F$1=7,$I123=0,$P123&gt;1)),1,0)+IF(AND($C124=1,AND($G$1=7,$J123=0,$Q123&gt;1)),1,0)+IF(AND($D124=1,AND($H$1=7,$K123=0,$R123&gt;1)),1,0)+IF(AND($E124=1,AND($I$1=7,$L123=0,$S123&gt;1)),1,0)+IF(AND($F124=1,AND($J$1=7,$M123=0,$T123&gt;1)),1,0)+IF(AND($G124=1,AND($K$1=7,$N123=0,$U123&gt;1)),1,0)+IF(AND($H124=1,AND($L$1=7,$O123=0,$V123&gt;1)),1,0)</f>
        <v/>
      </c>
      <c r="AB124" s="38">
        <f>IF(IFERROR('Апр'!$I29,"")="",0,$AB123+1)</f>
        <v/>
      </c>
    </row>
    <row r="125" spans="1:28">
      <c r="A125" s="38">
        <f>IF($B$1&gt;=DATE(2026,4,25),1,0)</f>
        <v/>
      </c>
      <c r="B125" s="38">
        <f>IFERROR(IF('Апр'!$B30=TRUE,1,0),0)</f>
        <v/>
      </c>
      <c r="C125" s="38">
        <f>IFERROR(IF('Апр'!$C30=TRUE,1,0),0)</f>
        <v/>
      </c>
      <c r="D125" s="38">
        <f>IFERROR(IF('Апр'!$D30=TRUE,1,0),0)</f>
        <v/>
      </c>
      <c r="E125" s="38">
        <f>IFERROR(IF('Апр'!$E30=TRUE,1,0),0)</f>
        <v/>
      </c>
      <c r="F125" s="38">
        <f>IFERROR(IF('Апр'!$F30=TRUE,1,0),0)</f>
        <v/>
      </c>
      <c r="G125" s="38">
        <f>IFERROR(IF('Апр'!$G30=TRUE,1,0),0)</f>
        <v/>
      </c>
      <c r="H125" s="38">
        <f>IFERROR(IF('Апр'!$H30=TRUE,1,0),0)</f>
        <v/>
      </c>
      <c r="I125" s="38">
        <f>IF($A125=0,$I124,IF($B125=1,$I124+1,IF($P125&lt;=1,$I124,0)))</f>
        <v/>
      </c>
      <c r="J125" s="38">
        <f>IF($A125=0,$J124,IF($C125=1,$J124+1,IF($Q125&lt;=1,$J124,0)))</f>
        <v/>
      </c>
      <c r="K125" s="38">
        <f>IF($A125=0,$K124,IF($D125=1,$K124+1,IF($R125&lt;=1,$K124,0)))</f>
        <v/>
      </c>
      <c r="L125" s="38">
        <f>IF($A125=0,$L124,IF($E125=1,$L124+1,IF($S125&lt;=1,$L124,0)))</f>
        <v/>
      </c>
      <c r="M125" s="38">
        <f>IF($A125=0,$M124,IF($F125=1,$M124+1,IF($T125&lt;=1,$M124,0)))</f>
        <v/>
      </c>
      <c r="N125" s="38">
        <f>IF($A125=0,$N124,IF($G125=1,$N124+1,IF($U125&lt;=1,$N124,0)))</f>
        <v/>
      </c>
      <c r="O125" s="38">
        <f>IF($A125=0,$O124,IF($H125=1,$O124+1,IF($V125&lt;=1,$O124,0)))</f>
        <v/>
      </c>
      <c r="P125" s="38">
        <f>IF($A125=0,$P124,$P124+IF($B125=1,0,1))</f>
        <v/>
      </c>
      <c r="Q125" s="38">
        <f>IF($A125=0,$Q124,$Q124+IF($C125=1,0,1))</f>
        <v/>
      </c>
      <c r="R125" s="38">
        <f>IF($A125=0,$R124,$R124+IF($D125=1,0,1))</f>
        <v/>
      </c>
      <c r="S125" s="38">
        <f>IF($A125=0,$S124,$S124+IF($E125=1,0,1))</f>
        <v/>
      </c>
      <c r="T125" s="38">
        <f>IF($A125=0,$T124,$T124+IF($F125=1,0,1))</f>
        <v/>
      </c>
      <c r="U125" s="38">
        <f>IF($A125=0,$U124,$U124+IF($G125=1,0,1))</f>
        <v/>
      </c>
      <c r="V125" s="38">
        <f>IF($A125=0,$V124,$V124+IF($H125=1,0,1))</f>
        <v/>
      </c>
      <c r="W125" s="38">
        <f>SUM($B125:$H125)</f>
        <v/>
      </c>
      <c r="X125" s="38">
        <f>IF(AND($A125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125=1),1,0)+IF(AND($G$1=7,$C125=1),1,0)+IF(AND($H$1=7,$D125=1),1,0)+IF(AND($I$1=7,$E125=1),1,0)+IF(AND($J$1=7,$F125=1),1,0)+IF(AND($K$1=7,$G125=1),1,0)+IF(AND($L$1=7,$H125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5" s="38">
        <f>IF($B125=1,IF($F$1&lt;7,10,IF(AND($F$1=7,$I124=0,$P124&gt;1),15,IF($I124&gt;=20,15,IF($I124&gt;=6,13,10)))),0)+IF($C125=1,IF($G$1&lt;7,10,IF(AND($G$1=7,$J124=0,$Q124&gt;1),15,IF($J124&gt;=20,15,IF($J124&gt;=6,13,10)))),0)+IF($D125=1,IF($H$1&lt;7,10,IF(AND($H$1=7,$K124=0,$R124&gt;1),15,IF($K124&gt;=20,15,IF($K124&gt;=6,13,10)))),0)+IF($E125=1,IF($I$1&lt;7,10,IF(AND($I$1=7,$L124=0,$S124&gt;1),15,IF($L124&gt;=20,15,IF($L124&gt;=6,13,10)))),0)+IF($F125=1,IF($J$1&lt;7,10,IF(AND($J$1=7,$M124=0,$T124&gt;1),15,IF($M124&gt;=20,15,IF($M124&gt;=6,13,10)))),0)+IF($G125=1,IF($K$1&lt;7,10,IF(AND($K$1=7,$N124=0,$U124&gt;1),15,IF($N124&gt;=20,15,IF($N124&gt;=6,13,10)))),0)+IF($H125=1,IF($L$1&lt;7,10,IF(AND($L$1=7,$O124=0,$V124&gt;1),15,IF($O124&gt;=20,15,IF($O124&gt;=6,13,10)))),0)</f>
        <v/>
      </c>
      <c r="Z125" s="38">
        <f>$Z124+$Y125</f>
        <v/>
      </c>
      <c r="AA125" s="38">
        <f>IF(AND($B125=1,AND($F$1=7,$I124=0,$P124&gt;1)),1,0)+IF(AND($C125=1,AND($G$1=7,$J124=0,$Q124&gt;1)),1,0)+IF(AND($D125=1,AND($H$1=7,$K124=0,$R124&gt;1)),1,0)+IF(AND($E125=1,AND($I$1=7,$L124=0,$S124&gt;1)),1,0)+IF(AND($F125=1,AND($J$1=7,$M124=0,$T124&gt;1)),1,0)+IF(AND($G125=1,AND($K$1=7,$N124=0,$U124&gt;1)),1,0)+IF(AND($H125=1,AND($L$1=7,$O124=0,$V124&gt;1)),1,0)</f>
        <v/>
      </c>
      <c r="AB125" s="38">
        <f>IF(IFERROR('Апр'!$I30,"")="",0,$AB124+1)</f>
        <v/>
      </c>
    </row>
    <row r="126" spans="1:28">
      <c r="A126" s="38">
        <f>IF($B$1&gt;=DATE(2026,4,26),1,0)</f>
        <v/>
      </c>
      <c r="B126" s="38">
        <f>IFERROR(IF('Апр'!$B31=TRUE,1,0),0)</f>
        <v/>
      </c>
      <c r="C126" s="38">
        <f>IFERROR(IF('Апр'!$C31=TRUE,1,0),0)</f>
        <v/>
      </c>
      <c r="D126" s="38">
        <f>IFERROR(IF('Апр'!$D31=TRUE,1,0),0)</f>
        <v/>
      </c>
      <c r="E126" s="38">
        <f>IFERROR(IF('Апр'!$E31=TRUE,1,0),0)</f>
        <v/>
      </c>
      <c r="F126" s="38">
        <f>IFERROR(IF('Апр'!$F31=TRUE,1,0),0)</f>
        <v/>
      </c>
      <c r="G126" s="38">
        <f>IFERROR(IF('Апр'!$G31=TRUE,1,0),0)</f>
        <v/>
      </c>
      <c r="H126" s="38">
        <f>IFERROR(IF('Апр'!$H31=TRUE,1,0),0)</f>
        <v/>
      </c>
      <c r="I126" s="38">
        <f>IF($A126=0,$I125,IF($B126=1,$I125+1,IF($P126&lt;=1,$I125,0)))</f>
        <v/>
      </c>
      <c r="J126" s="38">
        <f>IF($A126=0,$J125,IF($C126=1,$J125+1,IF($Q126&lt;=1,$J125,0)))</f>
        <v/>
      </c>
      <c r="K126" s="38">
        <f>IF($A126=0,$K125,IF($D126=1,$K125+1,IF($R126&lt;=1,$K125,0)))</f>
        <v/>
      </c>
      <c r="L126" s="38">
        <f>IF($A126=0,$L125,IF($E126=1,$L125+1,IF($S126&lt;=1,$L125,0)))</f>
        <v/>
      </c>
      <c r="M126" s="38">
        <f>IF($A126=0,$M125,IF($F126=1,$M125+1,IF($T126&lt;=1,$M125,0)))</f>
        <v/>
      </c>
      <c r="N126" s="38">
        <f>IF($A126=0,$N125,IF($G126=1,$N125+1,IF($U126&lt;=1,$N125,0)))</f>
        <v/>
      </c>
      <c r="O126" s="38">
        <f>IF($A126=0,$O125,IF($H126=1,$O125+1,IF($V126&lt;=1,$O125,0)))</f>
        <v/>
      </c>
      <c r="P126" s="38">
        <f>IF($A126=0,$P125,$P125+IF($B126=1,0,1))</f>
        <v/>
      </c>
      <c r="Q126" s="38">
        <f>IF($A126=0,$Q125,$Q125+IF($C126=1,0,1))</f>
        <v/>
      </c>
      <c r="R126" s="38">
        <f>IF($A126=0,$R125,$R125+IF($D126=1,0,1))</f>
        <v/>
      </c>
      <c r="S126" s="38">
        <f>IF($A126=0,$S125,$S125+IF($E126=1,0,1))</f>
        <v/>
      </c>
      <c r="T126" s="38">
        <f>IF($A126=0,$T125,$T125+IF($F126=1,0,1))</f>
        <v/>
      </c>
      <c r="U126" s="38">
        <f>IF($A126=0,$U125,$U125+IF($G126=1,0,1))</f>
        <v/>
      </c>
      <c r="V126" s="38">
        <f>IF($A126=0,$V125,$V125+IF($H126=1,0,1))</f>
        <v/>
      </c>
      <c r="W126" s="38">
        <f>SUM($B126:$H126)</f>
        <v/>
      </c>
      <c r="X126" s="38">
        <f>IF(AND($A126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126=1),1,0)+IF(AND($G$1=7,$C126=1),1,0)+IF(AND($H$1=7,$D126=1),1,0)+IF(AND($I$1=7,$E126=1),1,0)+IF(AND($J$1=7,$F126=1),1,0)+IF(AND($K$1=7,$G126=1),1,0)+IF(AND($L$1=7,$H126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6" s="38">
        <f>IF($B126=1,IF($F$1&lt;7,10,IF(AND($F$1=7,$I125=0,$P125&gt;1),15,IF($I125&gt;=20,15,IF($I125&gt;=6,13,10)))),0)+IF($C126=1,IF($G$1&lt;7,10,IF(AND($G$1=7,$J125=0,$Q125&gt;1),15,IF($J125&gt;=20,15,IF($J125&gt;=6,13,10)))),0)+IF($D126=1,IF($H$1&lt;7,10,IF(AND($H$1=7,$K125=0,$R125&gt;1),15,IF($K125&gt;=20,15,IF($K125&gt;=6,13,10)))),0)+IF($E126=1,IF($I$1&lt;7,10,IF(AND($I$1=7,$L125=0,$S125&gt;1),15,IF($L125&gt;=20,15,IF($L125&gt;=6,13,10)))),0)+IF($F126=1,IF($J$1&lt;7,10,IF(AND($J$1=7,$M125=0,$T125&gt;1),15,IF($M125&gt;=20,15,IF($M125&gt;=6,13,10)))),0)+IF($G126=1,IF($K$1&lt;7,10,IF(AND($K$1=7,$N125=0,$U125&gt;1),15,IF($N125&gt;=20,15,IF($N125&gt;=6,13,10)))),0)+IF($H126=1,IF($L$1&lt;7,10,IF(AND($L$1=7,$O125=0,$V125&gt;1),15,IF($O125&gt;=20,15,IF($O125&gt;=6,13,10)))),0)</f>
        <v/>
      </c>
      <c r="Z126" s="38">
        <f>$Z125+$Y126</f>
        <v/>
      </c>
      <c r="AA126" s="38">
        <f>IF(AND($B126=1,AND($F$1=7,$I125=0,$P125&gt;1)),1,0)+IF(AND($C126=1,AND($G$1=7,$J125=0,$Q125&gt;1)),1,0)+IF(AND($D126=1,AND($H$1=7,$K125=0,$R125&gt;1)),1,0)+IF(AND($E126=1,AND($I$1=7,$L125=0,$S125&gt;1)),1,0)+IF(AND($F126=1,AND($J$1=7,$M125=0,$T125&gt;1)),1,0)+IF(AND($G126=1,AND($K$1=7,$N125=0,$U125&gt;1)),1,0)+IF(AND($H126=1,AND($L$1=7,$O125=0,$V125&gt;1)),1,0)</f>
        <v/>
      </c>
      <c r="AB126" s="38">
        <f>IF(IFERROR('Апр'!$I31,"")="",0,$AB125+1)</f>
        <v/>
      </c>
    </row>
    <row r="127" spans="1:28">
      <c r="A127" s="38">
        <f>IF($B$1&gt;=DATE(2026,4,27),1,0)</f>
        <v/>
      </c>
      <c r="B127" s="38">
        <f>IFERROR(IF('Апр'!$B32=TRUE,1,0),0)</f>
        <v/>
      </c>
      <c r="C127" s="38">
        <f>IFERROR(IF('Апр'!$C32=TRUE,1,0),0)</f>
        <v/>
      </c>
      <c r="D127" s="38">
        <f>IFERROR(IF('Апр'!$D32=TRUE,1,0),0)</f>
        <v/>
      </c>
      <c r="E127" s="38">
        <f>IFERROR(IF('Апр'!$E32=TRUE,1,0),0)</f>
        <v/>
      </c>
      <c r="F127" s="38">
        <f>IFERROR(IF('Апр'!$F32=TRUE,1,0),0)</f>
        <v/>
      </c>
      <c r="G127" s="38">
        <f>IFERROR(IF('Апр'!$G32=TRUE,1,0),0)</f>
        <v/>
      </c>
      <c r="H127" s="38">
        <f>IFERROR(IF('Апр'!$H32=TRUE,1,0),0)</f>
        <v/>
      </c>
      <c r="I127" s="38">
        <f>IF($A127=0,$I126,IF($B127=1,$I126+1,IF($P127&lt;=1,$I126,0)))</f>
        <v/>
      </c>
      <c r="J127" s="38">
        <f>IF($A127=0,$J126,IF($C127=1,$J126+1,IF($Q127&lt;=1,$J126,0)))</f>
        <v/>
      </c>
      <c r="K127" s="38">
        <f>IF($A127=0,$K126,IF($D127=1,$K126+1,IF($R127&lt;=1,$K126,0)))</f>
        <v/>
      </c>
      <c r="L127" s="38">
        <f>IF($A127=0,$L126,IF($E127=1,$L126+1,IF($S127&lt;=1,$L126,0)))</f>
        <v/>
      </c>
      <c r="M127" s="38">
        <f>IF($A127=0,$M126,IF($F127=1,$M126+1,IF($T127&lt;=1,$M126,0)))</f>
        <v/>
      </c>
      <c r="N127" s="38">
        <f>IF($A127=0,$N126,IF($G127=1,$N126+1,IF($U127&lt;=1,$N126,0)))</f>
        <v/>
      </c>
      <c r="O127" s="38">
        <f>IF($A127=0,$O126,IF($H127=1,$O126+1,IF($V127&lt;=1,$O126,0)))</f>
        <v/>
      </c>
      <c r="P127" s="38">
        <f>IF($A127=0,$P126,$P126+IF($B127=1,0,1))</f>
        <v/>
      </c>
      <c r="Q127" s="38">
        <f>IF($A127=0,$Q126,$Q126+IF($C127=1,0,1))</f>
        <v/>
      </c>
      <c r="R127" s="38">
        <f>IF($A127=0,$R126,$R126+IF($D127=1,0,1))</f>
        <v/>
      </c>
      <c r="S127" s="38">
        <f>IF($A127=0,$S126,$S126+IF($E127=1,0,1))</f>
        <v/>
      </c>
      <c r="T127" s="38">
        <f>IF($A127=0,$T126,$T126+IF($F127=1,0,1))</f>
        <v/>
      </c>
      <c r="U127" s="38">
        <f>IF($A127=0,$U126,$U126+IF($G127=1,0,1))</f>
        <v/>
      </c>
      <c r="V127" s="38">
        <f>IF($A127=0,$V126,$V126+IF($H127=1,0,1))</f>
        <v/>
      </c>
      <c r="W127" s="38">
        <f>SUM($B127:$H127)</f>
        <v/>
      </c>
      <c r="X127" s="38">
        <f>IF(AND($A127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127=1),1,0)+IF(AND($G$1=7,$C127=1),1,0)+IF(AND($H$1=7,$D127=1),1,0)+IF(AND($I$1=7,$E127=1),1,0)+IF(AND($J$1=7,$F127=1),1,0)+IF(AND($K$1=7,$G127=1),1,0)+IF(AND($L$1=7,$H127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7" s="38">
        <f>IF($B127=1,IF($F$1&lt;7,10,IF(AND($F$1=7,$I126=0,$P126&gt;1),15,IF($I126&gt;=20,15,IF($I126&gt;=6,13,10)))),0)+IF($C127=1,IF($G$1&lt;7,10,IF(AND($G$1=7,$J126=0,$Q126&gt;1),15,IF($J126&gt;=20,15,IF($J126&gt;=6,13,10)))),0)+IF($D127=1,IF($H$1&lt;7,10,IF(AND($H$1=7,$K126=0,$R126&gt;1),15,IF($K126&gt;=20,15,IF($K126&gt;=6,13,10)))),0)+IF($E127=1,IF($I$1&lt;7,10,IF(AND($I$1=7,$L126=0,$S126&gt;1),15,IF($L126&gt;=20,15,IF($L126&gt;=6,13,10)))),0)+IF($F127=1,IF($J$1&lt;7,10,IF(AND($J$1=7,$M126=0,$T126&gt;1),15,IF($M126&gt;=20,15,IF($M126&gt;=6,13,10)))),0)+IF($G127=1,IF($K$1&lt;7,10,IF(AND($K$1=7,$N126=0,$U126&gt;1),15,IF($N126&gt;=20,15,IF($N126&gt;=6,13,10)))),0)+IF($H127=1,IF($L$1&lt;7,10,IF(AND($L$1=7,$O126=0,$V126&gt;1),15,IF($O126&gt;=20,15,IF($O126&gt;=6,13,10)))),0)</f>
        <v/>
      </c>
      <c r="Z127" s="38">
        <f>$Z126+$Y127</f>
        <v/>
      </c>
      <c r="AA127" s="38">
        <f>IF(AND($B127=1,AND($F$1=7,$I126=0,$P126&gt;1)),1,0)+IF(AND($C127=1,AND($G$1=7,$J126=0,$Q126&gt;1)),1,0)+IF(AND($D127=1,AND($H$1=7,$K126=0,$R126&gt;1)),1,0)+IF(AND($E127=1,AND($I$1=7,$L126=0,$S126&gt;1)),1,0)+IF(AND($F127=1,AND($J$1=7,$M126=0,$T126&gt;1)),1,0)+IF(AND($G127=1,AND($K$1=7,$N126=0,$U126&gt;1)),1,0)+IF(AND($H127=1,AND($L$1=7,$O126=0,$V126&gt;1)),1,0)</f>
        <v/>
      </c>
      <c r="AB127" s="38">
        <f>IF(IFERROR('Апр'!$I32,"")="",0,$AB126+1)</f>
        <v/>
      </c>
    </row>
    <row r="128" spans="1:28">
      <c r="A128" s="38">
        <f>IF($B$1&gt;=DATE(2026,4,28),1,0)</f>
        <v/>
      </c>
      <c r="B128" s="38">
        <f>IFERROR(IF('Апр'!$B33=TRUE,1,0),0)</f>
        <v/>
      </c>
      <c r="C128" s="38">
        <f>IFERROR(IF('Апр'!$C33=TRUE,1,0),0)</f>
        <v/>
      </c>
      <c r="D128" s="38">
        <f>IFERROR(IF('Апр'!$D33=TRUE,1,0),0)</f>
        <v/>
      </c>
      <c r="E128" s="38">
        <f>IFERROR(IF('Апр'!$E33=TRUE,1,0),0)</f>
        <v/>
      </c>
      <c r="F128" s="38">
        <f>IFERROR(IF('Апр'!$F33=TRUE,1,0),0)</f>
        <v/>
      </c>
      <c r="G128" s="38">
        <f>IFERROR(IF('Апр'!$G33=TRUE,1,0),0)</f>
        <v/>
      </c>
      <c r="H128" s="38">
        <f>IFERROR(IF('Апр'!$H33=TRUE,1,0),0)</f>
        <v/>
      </c>
      <c r="I128" s="38">
        <f>IF($A128=0,$I127,IF($B128=1,$I127+1,IF($P128&lt;=1,$I127,0)))</f>
        <v/>
      </c>
      <c r="J128" s="38">
        <f>IF($A128=0,$J127,IF($C128=1,$J127+1,IF($Q128&lt;=1,$J127,0)))</f>
        <v/>
      </c>
      <c r="K128" s="38">
        <f>IF($A128=0,$K127,IF($D128=1,$K127+1,IF($R128&lt;=1,$K127,0)))</f>
        <v/>
      </c>
      <c r="L128" s="38">
        <f>IF($A128=0,$L127,IF($E128=1,$L127+1,IF($S128&lt;=1,$L127,0)))</f>
        <v/>
      </c>
      <c r="M128" s="38">
        <f>IF($A128=0,$M127,IF($F128=1,$M127+1,IF($T128&lt;=1,$M127,0)))</f>
        <v/>
      </c>
      <c r="N128" s="38">
        <f>IF($A128=0,$N127,IF($G128=1,$N127+1,IF($U128&lt;=1,$N127,0)))</f>
        <v/>
      </c>
      <c r="O128" s="38">
        <f>IF($A128=0,$O127,IF($H128=1,$O127+1,IF($V128&lt;=1,$O127,0)))</f>
        <v/>
      </c>
      <c r="P128" s="38">
        <f>IF($A128=0,$P127,$P127+IF($B128=1,0,1))</f>
        <v/>
      </c>
      <c r="Q128" s="38">
        <f>IF($A128=0,$Q127,$Q127+IF($C128=1,0,1))</f>
        <v/>
      </c>
      <c r="R128" s="38">
        <f>IF($A128=0,$R127,$R127+IF($D128=1,0,1))</f>
        <v/>
      </c>
      <c r="S128" s="38">
        <f>IF($A128=0,$S127,$S127+IF($E128=1,0,1))</f>
        <v/>
      </c>
      <c r="T128" s="38">
        <f>IF($A128=0,$T127,$T127+IF($F128=1,0,1))</f>
        <v/>
      </c>
      <c r="U128" s="38">
        <f>IF($A128=0,$U127,$U127+IF($G128=1,0,1))</f>
        <v/>
      </c>
      <c r="V128" s="38">
        <f>IF($A128=0,$V127,$V127+IF($H128=1,0,1))</f>
        <v/>
      </c>
      <c r="W128" s="38">
        <f>SUM($B128:$H128)</f>
        <v/>
      </c>
      <c r="X128" s="38">
        <f>IF(AND($A128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128=1),1,0)+IF(AND($G$1=7,$C128=1),1,0)+IF(AND($H$1=7,$D128=1),1,0)+IF(AND($I$1=7,$E128=1),1,0)+IF(AND($J$1=7,$F128=1),1,0)+IF(AND($K$1=7,$G128=1),1,0)+IF(AND($L$1=7,$H128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8" s="38">
        <f>IF($B128=1,IF($F$1&lt;7,10,IF(AND($F$1=7,$I127=0,$P127&gt;1),15,IF($I127&gt;=20,15,IF($I127&gt;=6,13,10)))),0)+IF($C128=1,IF($G$1&lt;7,10,IF(AND($G$1=7,$J127=0,$Q127&gt;1),15,IF($J127&gt;=20,15,IF($J127&gt;=6,13,10)))),0)+IF($D128=1,IF($H$1&lt;7,10,IF(AND($H$1=7,$K127=0,$R127&gt;1),15,IF($K127&gt;=20,15,IF($K127&gt;=6,13,10)))),0)+IF($E128=1,IF($I$1&lt;7,10,IF(AND($I$1=7,$L127=0,$S127&gt;1),15,IF($L127&gt;=20,15,IF($L127&gt;=6,13,10)))),0)+IF($F128=1,IF($J$1&lt;7,10,IF(AND($J$1=7,$M127=0,$T127&gt;1),15,IF($M127&gt;=20,15,IF($M127&gt;=6,13,10)))),0)+IF($G128=1,IF($K$1&lt;7,10,IF(AND($K$1=7,$N127=0,$U127&gt;1),15,IF($N127&gt;=20,15,IF($N127&gt;=6,13,10)))),0)+IF($H128=1,IF($L$1&lt;7,10,IF(AND($L$1=7,$O127=0,$V127&gt;1),15,IF($O127&gt;=20,15,IF($O127&gt;=6,13,10)))),0)</f>
        <v/>
      </c>
      <c r="Z128" s="38">
        <f>$Z127+$Y128</f>
        <v/>
      </c>
      <c r="AA128" s="38">
        <f>IF(AND($B128=1,AND($F$1=7,$I127=0,$P127&gt;1)),1,0)+IF(AND($C128=1,AND($G$1=7,$J127=0,$Q127&gt;1)),1,0)+IF(AND($D128=1,AND($H$1=7,$K127=0,$R127&gt;1)),1,0)+IF(AND($E128=1,AND($I$1=7,$L127=0,$S127&gt;1)),1,0)+IF(AND($F128=1,AND($J$1=7,$M127=0,$T127&gt;1)),1,0)+IF(AND($G128=1,AND($K$1=7,$N127=0,$U127&gt;1)),1,0)+IF(AND($H128=1,AND($L$1=7,$O127=0,$V127&gt;1)),1,0)</f>
        <v/>
      </c>
      <c r="AB128" s="38">
        <f>IF(IFERROR('Апр'!$I33,"")="",0,$AB127+1)</f>
        <v/>
      </c>
    </row>
    <row r="129" spans="1:28">
      <c r="A129" s="38">
        <f>IF($B$1&gt;=DATE(2026,4,29),1,0)</f>
        <v/>
      </c>
      <c r="B129" s="38">
        <f>IFERROR(IF('Апр'!$B34=TRUE,1,0),0)</f>
        <v/>
      </c>
      <c r="C129" s="38">
        <f>IFERROR(IF('Апр'!$C34=TRUE,1,0),0)</f>
        <v/>
      </c>
      <c r="D129" s="38">
        <f>IFERROR(IF('Апр'!$D34=TRUE,1,0),0)</f>
        <v/>
      </c>
      <c r="E129" s="38">
        <f>IFERROR(IF('Апр'!$E34=TRUE,1,0),0)</f>
        <v/>
      </c>
      <c r="F129" s="38">
        <f>IFERROR(IF('Апр'!$F34=TRUE,1,0),0)</f>
        <v/>
      </c>
      <c r="G129" s="38">
        <f>IFERROR(IF('Апр'!$G34=TRUE,1,0),0)</f>
        <v/>
      </c>
      <c r="H129" s="38">
        <f>IFERROR(IF('Апр'!$H34=TRUE,1,0),0)</f>
        <v/>
      </c>
      <c r="I129" s="38">
        <f>IF($A129=0,$I128,IF($B129=1,$I128+1,IF($P129&lt;=1,$I128,0)))</f>
        <v/>
      </c>
      <c r="J129" s="38">
        <f>IF($A129=0,$J128,IF($C129=1,$J128+1,IF($Q129&lt;=1,$J128,0)))</f>
        <v/>
      </c>
      <c r="K129" s="38">
        <f>IF($A129=0,$K128,IF($D129=1,$K128+1,IF($R129&lt;=1,$K128,0)))</f>
        <v/>
      </c>
      <c r="L129" s="38">
        <f>IF($A129=0,$L128,IF($E129=1,$L128+1,IF($S129&lt;=1,$L128,0)))</f>
        <v/>
      </c>
      <c r="M129" s="38">
        <f>IF($A129=0,$M128,IF($F129=1,$M128+1,IF($T129&lt;=1,$M128,0)))</f>
        <v/>
      </c>
      <c r="N129" s="38">
        <f>IF($A129=0,$N128,IF($G129=1,$N128+1,IF($U129&lt;=1,$N128,0)))</f>
        <v/>
      </c>
      <c r="O129" s="38">
        <f>IF($A129=0,$O128,IF($H129=1,$O128+1,IF($V129&lt;=1,$O128,0)))</f>
        <v/>
      </c>
      <c r="P129" s="38">
        <f>IF($A129=0,$P128,$P128+IF($B129=1,0,1))</f>
        <v/>
      </c>
      <c r="Q129" s="38">
        <f>IF($A129=0,$Q128,$Q128+IF($C129=1,0,1))</f>
        <v/>
      </c>
      <c r="R129" s="38">
        <f>IF($A129=0,$R128,$R128+IF($D129=1,0,1))</f>
        <v/>
      </c>
      <c r="S129" s="38">
        <f>IF($A129=0,$S128,$S128+IF($E129=1,0,1))</f>
        <v/>
      </c>
      <c r="T129" s="38">
        <f>IF($A129=0,$T128,$T128+IF($F129=1,0,1))</f>
        <v/>
      </c>
      <c r="U129" s="38">
        <f>IF($A129=0,$U128,$U128+IF($G129=1,0,1))</f>
        <v/>
      </c>
      <c r="V129" s="38">
        <f>IF($A129=0,$V128,$V128+IF($H129=1,0,1))</f>
        <v/>
      </c>
      <c r="W129" s="38">
        <f>SUM($B129:$H129)</f>
        <v/>
      </c>
      <c r="X129" s="38">
        <f>IF(AND($A129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129=1),1,0)+IF(AND($G$1=7,$C129=1),1,0)+IF(AND($H$1=7,$D129=1),1,0)+IF(AND($I$1=7,$E129=1),1,0)+IF(AND($J$1=7,$F129=1),1,0)+IF(AND($K$1=7,$G129=1),1,0)+IF(AND($L$1=7,$H129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9" s="38">
        <f>IF($B129=1,IF($F$1&lt;7,10,IF(AND($F$1=7,$I128=0,$P128&gt;1),15,IF($I128&gt;=20,15,IF($I128&gt;=6,13,10)))),0)+IF($C129=1,IF($G$1&lt;7,10,IF(AND($G$1=7,$J128=0,$Q128&gt;1),15,IF($J128&gt;=20,15,IF($J128&gt;=6,13,10)))),0)+IF($D129=1,IF($H$1&lt;7,10,IF(AND($H$1=7,$K128=0,$R128&gt;1),15,IF($K128&gt;=20,15,IF($K128&gt;=6,13,10)))),0)+IF($E129=1,IF($I$1&lt;7,10,IF(AND($I$1=7,$L128=0,$S128&gt;1),15,IF($L128&gt;=20,15,IF($L128&gt;=6,13,10)))),0)+IF($F129=1,IF($J$1&lt;7,10,IF(AND($J$1=7,$M128=0,$T128&gt;1),15,IF($M128&gt;=20,15,IF($M128&gt;=6,13,10)))),0)+IF($G129=1,IF($K$1&lt;7,10,IF(AND($K$1=7,$N128=0,$U128&gt;1),15,IF($N128&gt;=20,15,IF($N128&gt;=6,13,10)))),0)+IF($H129=1,IF($L$1&lt;7,10,IF(AND($L$1=7,$O128=0,$V128&gt;1),15,IF($O128&gt;=20,15,IF($O128&gt;=6,13,10)))),0)</f>
        <v/>
      </c>
      <c r="Z129" s="38">
        <f>$Z128+$Y129</f>
        <v/>
      </c>
      <c r="AA129" s="38">
        <f>IF(AND($B129=1,AND($F$1=7,$I128=0,$P128&gt;1)),1,0)+IF(AND($C129=1,AND($G$1=7,$J128=0,$Q128&gt;1)),1,0)+IF(AND($D129=1,AND($H$1=7,$K128=0,$R128&gt;1)),1,0)+IF(AND($E129=1,AND($I$1=7,$L128=0,$S128&gt;1)),1,0)+IF(AND($F129=1,AND($J$1=7,$M128=0,$T128&gt;1)),1,0)+IF(AND($G129=1,AND($K$1=7,$N128=0,$U128&gt;1)),1,0)+IF(AND($H129=1,AND($L$1=7,$O128=0,$V128&gt;1)),1,0)</f>
        <v/>
      </c>
      <c r="AB129" s="38">
        <f>IF(IFERROR('Апр'!$I34,"")="",0,$AB128+1)</f>
        <v/>
      </c>
    </row>
    <row r="130" spans="1:28">
      <c r="A130" s="38">
        <f>IF($B$1&gt;=DATE(2026,4,30),1,0)</f>
        <v/>
      </c>
      <c r="B130" s="38">
        <f>IFERROR(IF('Апр'!$B35=TRUE,1,0),0)</f>
        <v/>
      </c>
      <c r="C130" s="38">
        <f>IFERROR(IF('Апр'!$C35=TRUE,1,0),0)</f>
        <v/>
      </c>
      <c r="D130" s="38">
        <f>IFERROR(IF('Апр'!$D35=TRUE,1,0),0)</f>
        <v/>
      </c>
      <c r="E130" s="38">
        <f>IFERROR(IF('Апр'!$E35=TRUE,1,0),0)</f>
        <v/>
      </c>
      <c r="F130" s="38">
        <f>IFERROR(IF('Апр'!$F35=TRUE,1,0),0)</f>
        <v/>
      </c>
      <c r="G130" s="38">
        <f>IFERROR(IF('Апр'!$G35=TRUE,1,0),0)</f>
        <v/>
      </c>
      <c r="H130" s="38">
        <f>IFERROR(IF('Апр'!$H35=TRUE,1,0),0)</f>
        <v/>
      </c>
      <c r="I130" s="38">
        <f>IF($A130=0,$I129,IF($B130=1,$I129+1,IF($P130&lt;=1,$I129,0)))</f>
        <v/>
      </c>
      <c r="J130" s="38">
        <f>IF($A130=0,$J129,IF($C130=1,$J129+1,IF($Q130&lt;=1,$J129,0)))</f>
        <v/>
      </c>
      <c r="K130" s="38">
        <f>IF($A130=0,$K129,IF($D130=1,$K129+1,IF($R130&lt;=1,$K129,0)))</f>
        <v/>
      </c>
      <c r="L130" s="38">
        <f>IF($A130=0,$L129,IF($E130=1,$L129+1,IF($S130&lt;=1,$L129,0)))</f>
        <v/>
      </c>
      <c r="M130" s="38">
        <f>IF($A130=0,$M129,IF($F130=1,$M129+1,IF($T130&lt;=1,$M129,0)))</f>
        <v/>
      </c>
      <c r="N130" s="38">
        <f>IF($A130=0,$N129,IF($G130=1,$N129+1,IF($U130&lt;=1,$N129,0)))</f>
        <v/>
      </c>
      <c r="O130" s="38">
        <f>IF($A130=0,$O129,IF($H130=1,$O129+1,IF($V130&lt;=1,$O129,0)))</f>
        <v/>
      </c>
      <c r="P130" s="38">
        <f>IF($A130=0,$P129,$P129+IF($B130=1,0,1))</f>
        <v/>
      </c>
      <c r="Q130" s="38">
        <f>IF($A130=0,$Q129,$Q129+IF($C130=1,0,1))</f>
        <v/>
      </c>
      <c r="R130" s="38">
        <f>IF($A130=0,$R129,$R129+IF($D130=1,0,1))</f>
        <v/>
      </c>
      <c r="S130" s="38">
        <f>IF($A130=0,$S129,$S129+IF($E130=1,0,1))</f>
        <v/>
      </c>
      <c r="T130" s="38">
        <f>IF($A130=0,$T129,$T129+IF($F130=1,0,1))</f>
        <v/>
      </c>
      <c r="U130" s="38">
        <f>IF($A130=0,$U129,$U129+IF($G130=1,0,1))</f>
        <v/>
      </c>
      <c r="V130" s="38">
        <f>IF($A130=0,$V129,$V129+IF($H130=1,0,1))</f>
        <v/>
      </c>
      <c r="W130" s="38">
        <f>SUM($B130:$H130)</f>
        <v/>
      </c>
      <c r="X130" s="38">
        <f>IF(AND($A130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130=1),1,0)+IF(AND($G$1=7,$C130=1),1,0)+IF(AND($H$1=7,$D130=1),1,0)+IF(AND($I$1=7,$E130=1),1,0)+IF(AND($J$1=7,$F130=1),1,0)+IF(AND($K$1=7,$G130=1),1,0)+IF(AND($L$1=7,$H130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0" s="38">
        <f>IF($B130=1,IF($F$1&lt;7,10,IF(AND($F$1=7,$I129=0,$P129&gt;1),15,IF($I129&gt;=20,15,IF($I129&gt;=6,13,10)))),0)+IF($C130=1,IF($G$1&lt;7,10,IF(AND($G$1=7,$J129=0,$Q129&gt;1),15,IF($J129&gt;=20,15,IF($J129&gt;=6,13,10)))),0)+IF($D130=1,IF($H$1&lt;7,10,IF(AND($H$1=7,$K129=0,$R129&gt;1),15,IF($K129&gt;=20,15,IF($K129&gt;=6,13,10)))),0)+IF($E130=1,IF($I$1&lt;7,10,IF(AND($I$1=7,$L129=0,$S129&gt;1),15,IF($L129&gt;=20,15,IF($L129&gt;=6,13,10)))),0)+IF($F130=1,IF($J$1&lt;7,10,IF(AND($J$1=7,$M129=0,$T129&gt;1),15,IF($M129&gt;=20,15,IF($M129&gt;=6,13,10)))),0)+IF($G130=1,IF($K$1&lt;7,10,IF(AND($K$1=7,$N129=0,$U129&gt;1),15,IF($N129&gt;=20,15,IF($N129&gt;=6,13,10)))),0)+IF($H130=1,IF($L$1&lt;7,10,IF(AND($L$1=7,$O129=0,$V129&gt;1),15,IF($O129&gt;=20,15,IF($O129&gt;=6,13,10)))),0)</f>
        <v/>
      </c>
      <c r="Z130" s="38">
        <f>$Z129+$Y130</f>
        <v/>
      </c>
      <c r="AA130" s="38">
        <f>IF(AND($B130=1,AND($F$1=7,$I129=0,$P129&gt;1)),1,0)+IF(AND($C130=1,AND($G$1=7,$J129=0,$Q129&gt;1)),1,0)+IF(AND($D130=1,AND($H$1=7,$K129=0,$R129&gt;1)),1,0)+IF(AND($E130=1,AND($I$1=7,$L129=0,$S129&gt;1)),1,0)+IF(AND($F130=1,AND($J$1=7,$M129=0,$T129&gt;1)),1,0)+IF(AND($G130=1,AND($K$1=7,$N129=0,$U129&gt;1)),1,0)+IF(AND($H130=1,AND($L$1=7,$O129=0,$V129&gt;1)),1,0)</f>
        <v/>
      </c>
      <c r="AB130" s="38">
        <f>IF(IFERROR('Апр'!$I35,"")="",0,$AB129+1)</f>
        <v/>
      </c>
    </row>
    <row r="131" spans="1:28">
      <c r="A131" s="38">
        <f>IF($B$1&gt;=DATE(2026,5,1),1,0)</f>
        <v/>
      </c>
      <c r="B131" s="38">
        <f>IFERROR(IF('Май'!$B6=TRUE,1,0),0)</f>
        <v/>
      </c>
      <c r="C131" s="38">
        <f>IFERROR(IF('Май'!$C6=TRUE,1,0),0)</f>
        <v/>
      </c>
      <c r="D131" s="38">
        <f>IFERROR(IF('Май'!$D6=TRUE,1,0),0)</f>
        <v/>
      </c>
      <c r="E131" s="38">
        <f>IFERROR(IF('Май'!$E6=TRUE,1,0),0)</f>
        <v/>
      </c>
      <c r="F131" s="38">
        <f>IFERROR(IF('Май'!$F6=TRUE,1,0),0)</f>
        <v/>
      </c>
      <c r="G131" s="38">
        <f>IFERROR(IF('Май'!$G6=TRUE,1,0),0)</f>
        <v/>
      </c>
      <c r="H131" s="38">
        <f>IFERROR(IF('Май'!$H6=TRUE,1,0),0)</f>
        <v/>
      </c>
      <c r="I131" s="38">
        <f>IF($A131=0,$I130,IF($B131=1,$I130+1,IF($P131&lt;=1,$I130,0)))</f>
        <v/>
      </c>
      <c r="J131" s="38">
        <f>IF($A131=0,$J130,IF($C131=1,$J130+1,IF($Q131&lt;=1,$J130,0)))</f>
        <v/>
      </c>
      <c r="K131" s="38">
        <f>IF($A131=0,$K130,IF($D131=1,$K130+1,IF($R131&lt;=1,$K130,0)))</f>
        <v/>
      </c>
      <c r="L131" s="38">
        <f>IF($A131=0,$L130,IF($E131=1,$L130+1,IF($S131&lt;=1,$L130,0)))</f>
        <v/>
      </c>
      <c r="M131" s="38">
        <f>IF($A131=0,$M130,IF($F131=1,$M130+1,IF($T131&lt;=1,$M130,0)))</f>
        <v/>
      </c>
      <c r="N131" s="38">
        <f>IF($A131=0,$N130,IF($G131=1,$N130+1,IF($U131&lt;=1,$N130,0)))</f>
        <v/>
      </c>
      <c r="O131" s="38">
        <f>IF($A131=0,$O130,IF($H131=1,$O130+1,IF($V131&lt;=1,$O130,0)))</f>
        <v/>
      </c>
      <c r="P131" s="38">
        <f>IF($A131=0,0,0+IF($B131=1,0,1))</f>
        <v/>
      </c>
      <c r="Q131" s="38">
        <f>IF($A131=0,0,0+IF($C131=1,0,1))</f>
        <v/>
      </c>
      <c r="R131" s="38">
        <f>IF($A131=0,0,0+IF($D131=1,0,1))</f>
        <v/>
      </c>
      <c r="S131" s="38">
        <f>IF($A131=0,0,0+IF($E131=1,0,1))</f>
        <v/>
      </c>
      <c r="T131" s="38">
        <f>IF($A131=0,0,0+IF($F131=1,0,1))</f>
        <v/>
      </c>
      <c r="U131" s="38">
        <f>IF($A131=0,0,0+IF($G131=1,0,1))</f>
        <v/>
      </c>
      <c r="V131" s="38">
        <f>IF($A131=0,0,0+IF($H131=1,0,1))</f>
        <v/>
      </c>
      <c r="W131" s="38">
        <f>SUM($B131:$H131)</f>
        <v/>
      </c>
      <c r="X131" s="38">
        <f>IF(AND($A131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131=1),1,0)+IF(AND($G$1=7,$C131=1),1,0)+IF(AND($H$1=7,$D131=1),1,0)+IF(AND($I$1=7,$E131=1),1,0)+IF(AND($J$1=7,$F131=1),1,0)+IF(AND($K$1=7,$G131=1),1,0)+IF(AND($L$1=7,$H131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1" s="38">
        <f>IF($B131=1,IF($F$1&lt;7,10,IF(AND($F$1=7,$I130=0,0&gt;1),15,IF($I130&gt;=20,15,IF($I130&gt;=6,13,10)))),0)+IF($C131=1,IF($G$1&lt;7,10,IF(AND($G$1=7,$J130=0,0&gt;1),15,IF($J130&gt;=20,15,IF($J130&gt;=6,13,10)))),0)+IF($D131=1,IF($H$1&lt;7,10,IF(AND($H$1=7,$K130=0,0&gt;1),15,IF($K130&gt;=20,15,IF($K130&gt;=6,13,10)))),0)+IF($E131=1,IF($I$1&lt;7,10,IF(AND($I$1=7,$L130=0,0&gt;1),15,IF($L130&gt;=20,15,IF($L130&gt;=6,13,10)))),0)+IF($F131=1,IF($J$1&lt;7,10,IF(AND($J$1=7,$M130=0,0&gt;1),15,IF($M130&gt;=20,15,IF($M130&gt;=6,13,10)))),0)+IF($G131=1,IF($K$1&lt;7,10,IF(AND($K$1=7,$N130=0,0&gt;1),15,IF($N130&gt;=20,15,IF($N130&gt;=6,13,10)))),0)+IF($H131=1,IF($L$1&lt;7,10,IF(AND($L$1=7,$O130=0,0&gt;1),15,IF($O130&gt;=20,15,IF($O130&gt;=6,13,10)))),0)</f>
        <v/>
      </c>
      <c r="Z131" s="38">
        <f>$Z130+$Y131</f>
        <v/>
      </c>
      <c r="AA131" s="38">
        <f>IF(AND($B131=1,AND($F$1=7,$I130=0,0&gt;1)),1,0)+IF(AND($C131=1,AND($G$1=7,$J130=0,0&gt;1)),1,0)+IF(AND($D131=1,AND($H$1=7,$K130=0,0&gt;1)),1,0)+IF(AND($E131=1,AND($I$1=7,$L130=0,0&gt;1)),1,0)+IF(AND($F131=1,AND($J$1=7,$M130=0,0&gt;1)),1,0)+IF(AND($G131=1,AND($K$1=7,$N130=0,0&gt;1)),1,0)+IF(AND($H131=1,AND($L$1=7,$O130=0,0&gt;1)),1,0)</f>
        <v/>
      </c>
      <c r="AB131" s="38">
        <f>IF(IFERROR('Май'!$I6,"")="",0,$AB130+1)</f>
        <v/>
      </c>
    </row>
    <row r="132" spans="1:28">
      <c r="A132" s="38">
        <f>IF($B$1&gt;=DATE(2026,5,2),1,0)</f>
        <v/>
      </c>
      <c r="B132" s="38">
        <f>IFERROR(IF('Май'!$B7=TRUE,1,0),0)</f>
        <v/>
      </c>
      <c r="C132" s="38">
        <f>IFERROR(IF('Май'!$C7=TRUE,1,0),0)</f>
        <v/>
      </c>
      <c r="D132" s="38">
        <f>IFERROR(IF('Май'!$D7=TRUE,1,0),0)</f>
        <v/>
      </c>
      <c r="E132" s="38">
        <f>IFERROR(IF('Май'!$E7=TRUE,1,0),0)</f>
        <v/>
      </c>
      <c r="F132" s="38">
        <f>IFERROR(IF('Май'!$F7=TRUE,1,0),0)</f>
        <v/>
      </c>
      <c r="G132" s="38">
        <f>IFERROR(IF('Май'!$G7=TRUE,1,0),0)</f>
        <v/>
      </c>
      <c r="H132" s="38">
        <f>IFERROR(IF('Май'!$H7=TRUE,1,0),0)</f>
        <v/>
      </c>
      <c r="I132" s="38">
        <f>IF($A132=0,$I131,IF($B132=1,$I131+1,IF($P132&lt;=1,$I131,0)))</f>
        <v/>
      </c>
      <c r="J132" s="38">
        <f>IF($A132=0,$J131,IF($C132=1,$J131+1,IF($Q132&lt;=1,$J131,0)))</f>
        <v/>
      </c>
      <c r="K132" s="38">
        <f>IF($A132=0,$K131,IF($D132=1,$K131+1,IF($R132&lt;=1,$K131,0)))</f>
        <v/>
      </c>
      <c r="L132" s="38">
        <f>IF($A132=0,$L131,IF($E132=1,$L131+1,IF($S132&lt;=1,$L131,0)))</f>
        <v/>
      </c>
      <c r="M132" s="38">
        <f>IF($A132=0,$M131,IF($F132=1,$M131+1,IF($T132&lt;=1,$M131,0)))</f>
        <v/>
      </c>
      <c r="N132" s="38">
        <f>IF($A132=0,$N131,IF($G132=1,$N131+1,IF($U132&lt;=1,$N131,0)))</f>
        <v/>
      </c>
      <c r="O132" s="38">
        <f>IF($A132=0,$O131,IF($H132=1,$O131+1,IF($V132&lt;=1,$O131,0)))</f>
        <v/>
      </c>
      <c r="P132" s="38">
        <f>IF($A132=0,$P131,$P131+IF($B132=1,0,1))</f>
        <v/>
      </c>
      <c r="Q132" s="38">
        <f>IF($A132=0,$Q131,$Q131+IF($C132=1,0,1))</f>
        <v/>
      </c>
      <c r="R132" s="38">
        <f>IF($A132=0,$R131,$R131+IF($D132=1,0,1))</f>
        <v/>
      </c>
      <c r="S132" s="38">
        <f>IF($A132=0,$S131,$S131+IF($E132=1,0,1))</f>
        <v/>
      </c>
      <c r="T132" s="38">
        <f>IF($A132=0,$T131,$T131+IF($F132=1,0,1))</f>
        <v/>
      </c>
      <c r="U132" s="38">
        <f>IF($A132=0,$U131,$U131+IF($G132=1,0,1))</f>
        <v/>
      </c>
      <c r="V132" s="38">
        <f>IF($A132=0,$V131,$V131+IF($H132=1,0,1))</f>
        <v/>
      </c>
      <c r="W132" s="38">
        <f>SUM($B132:$H132)</f>
        <v/>
      </c>
      <c r="X132" s="38">
        <f>IF(AND($A132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132=1),1,0)+IF(AND($G$1=7,$C132=1),1,0)+IF(AND($H$1=7,$D132=1),1,0)+IF(AND($I$1=7,$E132=1),1,0)+IF(AND($J$1=7,$F132=1),1,0)+IF(AND($K$1=7,$G132=1),1,0)+IF(AND($L$1=7,$H132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2" s="38">
        <f>IF($B132=1,IF($F$1&lt;7,10,IF(AND($F$1=7,$I131=0,$P131&gt;1),15,IF($I131&gt;=20,15,IF($I131&gt;=6,13,10)))),0)+IF($C132=1,IF($G$1&lt;7,10,IF(AND($G$1=7,$J131=0,$Q131&gt;1),15,IF($J131&gt;=20,15,IF($J131&gt;=6,13,10)))),0)+IF($D132=1,IF($H$1&lt;7,10,IF(AND($H$1=7,$K131=0,$R131&gt;1),15,IF($K131&gt;=20,15,IF($K131&gt;=6,13,10)))),0)+IF($E132=1,IF($I$1&lt;7,10,IF(AND($I$1=7,$L131=0,$S131&gt;1),15,IF($L131&gt;=20,15,IF($L131&gt;=6,13,10)))),0)+IF($F132=1,IF($J$1&lt;7,10,IF(AND($J$1=7,$M131=0,$T131&gt;1),15,IF($M131&gt;=20,15,IF($M131&gt;=6,13,10)))),0)+IF($G132=1,IF($K$1&lt;7,10,IF(AND($K$1=7,$N131=0,$U131&gt;1),15,IF($N131&gt;=20,15,IF($N131&gt;=6,13,10)))),0)+IF($H132=1,IF($L$1&lt;7,10,IF(AND($L$1=7,$O131=0,$V131&gt;1),15,IF($O131&gt;=20,15,IF($O131&gt;=6,13,10)))),0)</f>
        <v/>
      </c>
      <c r="Z132" s="38">
        <f>$Z131+$Y132</f>
        <v/>
      </c>
      <c r="AA132" s="38">
        <f>IF(AND($B132=1,AND($F$1=7,$I131=0,$P131&gt;1)),1,0)+IF(AND($C132=1,AND($G$1=7,$J131=0,$Q131&gt;1)),1,0)+IF(AND($D132=1,AND($H$1=7,$K131=0,$R131&gt;1)),1,0)+IF(AND($E132=1,AND($I$1=7,$L131=0,$S131&gt;1)),1,0)+IF(AND($F132=1,AND($J$1=7,$M131=0,$T131&gt;1)),1,0)+IF(AND($G132=1,AND($K$1=7,$N131=0,$U131&gt;1)),1,0)+IF(AND($H132=1,AND($L$1=7,$O131=0,$V131&gt;1)),1,0)</f>
        <v/>
      </c>
      <c r="AB132" s="38">
        <f>IF(IFERROR('Май'!$I7,"")="",0,$AB131+1)</f>
        <v/>
      </c>
    </row>
    <row r="133" spans="1:28">
      <c r="A133" s="38">
        <f>IF($B$1&gt;=DATE(2026,5,3),1,0)</f>
        <v/>
      </c>
      <c r="B133" s="38">
        <f>IFERROR(IF('Май'!$B8=TRUE,1,0),0)</f>
        <v/>
      </c>
      <c r="C133" s="38">
        <f>IFERROR(IF('Май'!$C8=TRUE,1,0),0)</f>
        <v/>
      </c>
      <c r="D133" s="38">
        <f>IFERROR(IF('Май'!$D8=TRUE,1,0),0)</f>
        <v/>
      </c>
      <c r="E133" s="38">
        <f>IFERROR(IF('Май'!$E8=TRUE,1,0),0)</f>
        <v/>
      </c>
      <c r="F133" s="38">
        <f>IFERROR(IF('Май'!$F8=TRUE,1,0),0)</f>
        <v/>
      </c>
      <c r="G133" s="38">
        <f>IFERROR(IF('Май'!$G8=TRUE,1,0),0)</f>
        <v/>
      </c>
      <c r="H133" s="38">
        <f>IFERROR(IF('Май'!$H8=TRUE,1,0),0)</f>
        <v/>
      </c>
      <c r="I133" s="38">
        <f>IF($A133=0,$I132,IF($B133=1,$I132+1,IF($P133&lt;=1,$I132,0)))</f>
        <v/>
      </c>
      <c r="J133" s="38">
        <f>IF($A133=0,$J132,IF($C133=1,$J132+1,IF($Q133&lt;=1,$J132,0)))</f>
        <v/>
      </c>
      <c r="K133" s="38">
        <f>IF($A133=0,$K132,IF($D133=1,$K132+1,IF($R133&lt;=1,$K132,0)))</f>
        <v/>
      </c>
      <c r="L133" s="38">
        <f>IF($A133=0,$L132,IF($E133=1,$L132+1,IF($S133&lt;=1,$L132,0)))</f>
        <v/>
      </c>
      <c r="M133" s="38">
        <f>IF($A133=0,$M132,IF($F133=1,$M132+1,IF($T133&lt;=1,$M132,0)))</f>
        <v/>
      </c>
      <c r="N133" s="38">
        <f>IF($A133=0,$N132,IF($G133=1,$N132+1,IF($U133&lt;=1,$N132,0)))</f>
        <v/>
      </c>
      <c r="O133" s="38">
        <f>IF($A133=0,$O132,IF($H133=1,$O132+1,IF($V133&lt;=1,$O132,0)))</f>
        <v/>
      </c>
      <c r="P133" s="38">
        <f>IF($A133=0,$P132,$P132+IF($B133=1,0,1))</f>
        <v/>
      </c>
      <c r="Q133" s="38">
        <f>IF($A133=0,$Q132,$Q132+IF($C133=1,0,1))</f>
        <v/>
      </c>
      <c r="R133" s="38">
        <f>IF($A133=0,$R132,$R132+IF($D133=1,0,1))</f>
        <v/>
      </c>
      <c r="S133" s="38">
        <f>IF($A133=0,$S132,$S132+IF($E133=1,0,1))</f>
        <v/>
      </c>
      <c r="T133" s="38">
        <f>IF($A133=0,$T132,$T132+IF($F133=1,0,1))</f>
        <v/>
      </c>
      <c r="U133" s="38">
        <f>IF($A133=0,$U132,$U132+IF($G133=1,0,1))</f>
        <v/>
      </c>
      <c r="V133" s="38">
        <f>IF($A133=0,$V132,$V132+IF($H133=1,0,1))</f>
        <v/>
      </c>
      <c r="W133" s="38">
        <f>SUM($B133:$H133)</f>
        <v/>
      </c>
      <c r="X133" s="38">
        <f>IF(AND($A133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133=1),1,0)+IF(AND($G$1=7,$C133=1),1,0)+IF(AND($H$1=7,$D133=1),1,0)+IF(AND($I$1=7,$E133=1),1,0)+IF(AND($J$1=7,$F133=1),1,0)+IF(AND($K$1=7,$G133=1),1,0)+IF(AND($L$1=7,$H133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3" s="38">
        <f>IF($B133=1,IF($F$1&lt;7,10,IF(AND($F$1=7,$I132=0,$P132&gt;1),15,IF($I132&gt;=20,15,IF($I132&gt;=6,13,10)))),0)+IF($C133=1,IF($G$1&lt;7,10,IF(AND($G$1=7,$J132=0,$Q132&gt;1),15,IF($J132&gt;=20,15,IF($J132&gt;=6,13,10)))),0)+IF($D133=1,IF($H$1&lt;7,10,IF(AND($H$1=7,$K132=0,$R132&gt;1),15,IF($K132&gt;=20,15,IF($K132&gt;=6,13,10)))),0)+IF($E133=1,IF($I$1&lt;7,10,IF(AND($I$1=7,$L132=0,$S132&gt;1),15,IF($L132&gt;=20,15,IF($L132&gt;=6,13,10)))),0)+IF($F133=1,IF($J$1&lt;7,10,IF(AND($J$1=7,$M132=0,$T132&gt;1),15,IF($M132&gt;=20,15,IF($M132&gt;=6,13,10)))),0)+IF($G133=1,IF($K$1&lt;7,10,IF(AND($K$1=7,$N132=0,$U132&gt;1),15,IF($N132&gt;=20,15,IF($N132&gt;=6,13,10)))),0)+IF($H133=1,IF($L$1&lt;7,10,IF(AND($L$1=7,$O132=0,$V132&gt;1),15,IF($O132&gt;=20,15,IF($O132&gt;=6,13,10)))),0)</f>
        <v/>
      </c>
      <c r="Z133" s="38">
        <f>$Z132+$Y133</f>
        <v/>
      </c>
      <c r="AA133" s="38">
        <f>IF(AND($B133=1,AND($F$1=7,$I132=0,$P132&gt;1)),1,0)+IF(AND($C133=1,AND($G$1=7,$J132=0,$Q132&gt;1)),1,0)+IF(AND($D133=1,AND($H$1=7,$K132=0,$R132&gt;1)),1,0)+IF(AND($E133=1,AND($I$1=7,$L132=0,$S132&gt;1)),1,0)+IF(AND($F133=1,AND($J$1=7,$M132=0,$T132&gt;1)),1,0)+IF(AND($G133=1,AND($K$1=7,$N132=0,$U132&gt;1)),1,0)+IF(AND($H133=1,AND($L$1=7,$O132=0,$V132&gt;1)),1,0)</f>
        <v/>
      </c>
      <c r="AB133" s="38">
        <f>IF(IFERROR('Май'!$I8,"")="",0,$AB132+1)</f>
        <v/>
      </c>
    </row>
    <row r="134" spans="1:28">
      <c r="A134" s="38">
        <f>IF($B$1&gt;=DATE(2026,5,4),1,0)</f>
        <v/>
      </c>
      <c r="B134" s="38">
        <f>IFERROR(IF('Май'!$B9=TRUE,1,0),0)</f>
        <v/>
      </c>
      <c r="C134" s="38">
        <f>IFERROR(IF('Май'!$C9=TRUE,1,0),0)</f>
        <v/>
      </c>
      <c r="D134" s="38">
        <f>IFERROR(IF('Май'!$D9=TRUE,1,0),0)</f>
        <v/>
      </c>
      <c r="E134" s="38">
        <f>IFERROR(IF('Май'!$E9=TRUE,1,0),0)</f>
        <v/>
      </c>
      <c r="F134" s="38">
        <f>IFERROR(IF('Май'!$F9=TRUE,1,0),0)</f>
        <v/>
      </c>
      <c r="G134" s="38">
        <f>IFERROR(IF('Май'!$G9=TRUE,1,0),0)</f>
        <v/>
      </c>
      <c r="H134" s="38">
        <f>IFERROR(IF('Май'!$H9=TRUE,1,0),0)</f>
        <v/>
      </c>
      <c r="I134" s="38">
        <f>IF($A134=0,$I133,IF($B134=1,$I133+1,IF($P134&lt;=1,$I133,0)))</f>
        <v/>
      </c>
      <c r="J134" s="38">
        <f>IF($A134=0,$J133,IF($C134=1,$J133+1,IF($Q134&lt;=1,$J133,0)))</f>
        <v/>
      </c>
      <c r="K134" s="38">
        <f>IF($A134=0,$K133,IF($D134=1,$K133+1,IF($R134&lt;=1,$K133,0)))</f>
        <v/>
      </c>
      <c r="L134" s="38">
        <f>IF($A134=0,$L133,IF($E134=1,$L133+1,IF($S134&lt;=1,$L133,0)))</f>
        <v/>
      </c>
      <c r="M134" s="38">
        <f>IF($A134=0,$M133,IF($F134=1,$M133+1,IF($T134&lt;=1,$M133,0)))</f>
        <v/>
      </c>
      <c r="N134" s="38">
        <f>IF($A134=0,$N133,IF($G134=1,$N133+1,IF($U134&lt;=1,$N133,0)))</f>
        <v/>
      </c>
      <c r="O134" s="38">
        <f>IF($A134=0,$O133,IF($H134=1,$O133+1,IF($V134&lt;=1,$O133,0)))</f>
        <v/>
      </c>
      <c r="P134" s="38">
        <f>IF($A134=0,$P133,$P133+IF($B134=1,0,1))</f>
        <v/>
      </c>
      <c r="Q134" s="38">
        <f>IF($A134=0,$Q133,$Q133+IF($C134=1,0,1))</f>
        <v/>
      </c>
      <c r="R134" s="38">
        <f>IF($A134=0,$R133,$R133+IF($D134=1,0,1))</f>
        <v/>
      </c>
      <c r="S134" s="38">
        <f>IF($A134=0,$S133,$S133+IF($E134=1,0,1))</f>
        <v/>
      </c>
      <c r="T134" s="38">
        <f>IF($A134=0,$T133,$T133+IF($F134=1,0,1))</f>
        <v/>
      </c>
      <c r="U134" s="38">
        <f>IF($A134=0,$U133,$U133+IF($G134=1,0,1))</f>
        <v/>
      </c>
      <c r="V134" s="38">
        <f>IF($A134=0,$V133,$V133+IF($H134=1,0,1))</f>
        <v/>
      </c>
      <c r="W134" s="38">
        <f>SUM($B134:$H134)</f>
        <v/>
      </c>
      <c r="X134" s="38">
        <f>IF(AND($A134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134=1),1,0)+IF(AND($G$1=7,$C134=1),1,0)+IF(AND($H$1=7,$D134=1),1,0)+IF(AND($I$1=7,$E134=1),1,0)+IF(AND($J$1=7,$F134=1),1,0)+IF(AND($K$1=7,$G134=1),1,0)+IF(AND($L$1=7,$H134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4" s="38">
        <f>IF($B134=1,IF($F$1&lt;7,10,IF(AND($F$1=7,$I133=0,$P133&gt;1),15,IF($I133&gt;=20,15,IF($I133&gt;=6,13,10)))),0)+IF($C134=1,IF($G$1&lt;7,10,IF(AND($G$1=7,$J133=0,$Q133&gt;1),15,IF($J133&gt;=20,15,IF($J133&gt;=6,13,10)))),0)+IF($D134=1,IF($H$1&lt;7,10,IF(AND($H$1=7,$K133=0,$R133&gt;1),15,IF($K133&gt;=20,15,IF($K133&gt;=6,13,10)))),0)+IF($E134=1,IF($I$1&lt;7,10,IF(AND($I$1=7,$L133=0,$S133&gt;1),15,IF($L133&gt;=20,15,IF($L133&gt;=6,13,10)))),0)+IF($F134=1,IF($J$1&lt;7,10,IF(AND($J$1=7,$M133=0,$T133&gt;1),15,IF($M133&gt;=20,15,IF($M133&gt;=6,13,10)))),0)+IF($G134=1,IF($K$1&lt;7,10,IF(AND($K$1=7,$N133=0,$U133&gt;1),15,IF($N133&gt;=20,15,IF($N133&gt;=6,13,10)))),0)+IF($H134=1,IF($L$1&lt;7,10,IF(AND($L$1=7,$O133=0,$V133&gt;1),15,IF($O133&gt;=20,15,IF($O133&gt;=6,13,10)))),0)</f>
        <v/>
      </c>
      <c r="Z134" s="38">
        <f>$Z133+$Y134</f>
        <v/>
      </c>
      <c r="AA134" s="38">
        <f>IF(AND($B134=1,AND($F$1=7,$I133=0,$P133&gt;1)),1,0)+IF(AND($C134=1,AND($G$1=7,$J133=0,$Q133&gt;1)),1,0)+IF(AND($D134=1,AND($H$1=7,$K133=0,$R133&gt;1)),1,0)+IF(AND($E134=1,AND($I$1=7,$L133=0,$S133&gt;1)),1,0)+IF(AND($F134=1,AND($J$1=7,$M133=0,$T133&gt;1)),1,0)+IF(AND($G134=1,AND($K$1=7,$N133=0,$U133&gt;1)),1,0)+IF(AND($H134=1,AND($L$1=7,$O133=0,$V133&gt;1)),1,0)</f>
        <v/>
      </c>
      <c r="AB134" s="38">
        <f>IF(IFERROR('Май'!$I9,"")="",0,$AB133+1)</f>
        <v/>
      </c>
    </row>
    <row r="135" spans="1:28">
      <c r="A135" s="38">
        <f>IF($B$1&gt;=DATE(2026,5,5),1,0)</f>
        <v/>
      </c>
      <c r="B135" s="38">
        <f>IFERROR(IF('Май'!$B10=TRUE,1,0),0)</f>
        <v/>
      </c>
      <c r="C135" s="38">
        <f>IFERROR(IF('Май'!$C10=TRUE,1,0),0)</f>
        <v/>
      </c>
      <c r="D135" s="38">
        <f>IFERROR(IF('Май'!$D10=TRUE,1,0),0)</f>
        <v/>
      </c>
      <c r="E135" s="38">
        <f>IFERROR(IF('Май'!$E10=TRUE,1,0),0)</f>
        <v/>
      </c>
      <c r="F135" s="38">
        <f>IFERROR(IF('Май'!$F10=TRUE,1,0),0)</f>
        <v/>
      </c>
      <c r="G135" s="38">
        <f>IFERROR(IF('Май'!$G10=TRUE,1,0),0)</f>
        <v/>
      </c>
      <c r="H135" s="38">
        <f>IFERROR(IF('Май'!$H10=TRUE,1,0),0)</f>
        <v/>
      </c>
      <c r="I135" s="38">
        <f>IF($A135=0,$I134,IF($B135=1,$I134+1,IF($P135&lt;=1,$I134,0)))</f>
        <v/>
      </c>
      <c r="J135" s="38">
        <f>IF($A135=0,$J134,IF($C135=1,$J134+1,IF($Q135&lt;=1,$J134,0)))</f>
        <v/>
      </c>
      <c r="K135" s="38">
        <f>IF($A135=0,$K134,IF($D135=1,$K134+1,IF($R135&lt;=1,$K134,0)))</f>
        <v/>
      </c>
      <c r="L135" s="38">
        <f>IF($A135=0,$L134,IF($E135=1,$L134+1,IF($S135&lt;=1,$L134,0)))</f>
        <v/>
      </c>
      <c r="M135" s="38">
        <f>IF($A135=0,$M134,IF($F135=1,$M134+1,IF($T135&lt;=1,$M134,0)))</f>
        <v/>
      </c>
      <c r="N135" s="38">
        <f>IF($A135=0,$N134,IF($G135=1,$N134+1,IF($U135&lt;=1,$N134,0)))</f>
        <v/>
      </c>
      <c r="O135" s="38">
        <f>IF($A135=0,$O134,IF($H135=1,$O134+1,IF($V135&lt;=1,$O134,0)))</f>
        <v/>
      </c>
      <c r="P135" s="38">
        <f>IF($A135=0,$P134,$P134+IF($B135=1,0,1))</f>
        <v/>
      </c>
      <c r="Q135" s="38">
        <f>IF($A135=0,$Q134,$Q134+IF($C135=1,0,1))</f>
        <v/>
      </c>
      <c r="R135" s="38">
        <f>IF($A135=0,$R134,$R134+IF($D135=1,0,1))</f>
        <v/>
      </c>
      <c r="S135" s="38">
        <f>IF($A135=0,$S134,$S134+IF($E135=1,0,1))</f>
        <v/>
      </c>
      <c r="T135" s="38">
        <f>IF($A135=0,$T134,$T134+IF($F135=1,0,1))</f>
        <v/>
      </c>
      <c r="U135" s="38">
        <f>IF($A135=0,$U134,$U134+IF($G135=1,0,1))</f>
        <v/>
      </c>
      <c r="V135" s="38">
        <f>IF($A135=0,$V134,$V134+IF($H135=1,0,1))</f>
        <v/>
      </c>
      <c r="W135" s="38">
        <f>SUM($B135:$H135)</f>
        <v/>
      </c>
      <c r="X135" s="38">
        <f>IF(AND($A135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135=1),1,0)+IF(AND($G$1=7,$C135=1),1,0)+IF(AND($H$1=7,$D135=1),1,0)+IF(AND($I$1=7,$E135=1),1,0)+IF(AND($J$1=7,$F135=1),1,0)+IF(AND($K$1=7,$G135=1),1,0)+IF(AND($L$1=7,$H135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5" s="38">
        <f>IF($B135=1,IF($F$1&lt;7,10,IF(AND($F$1=7,$I134=0,$P134&gt;1),15,IF($I134&gt;=20,15,IF($I134&gt;=6,13,10)))),0)+IF($C135=1,IF($G$1&lt;7,10,IF(AND($G$1=7,$J134=0,$Q134&gt;1),15,IF($J134&gt;=20,15,IF($J134&gt;=6,13,10)))),0)+IF($D135=1,IF($H$1&lt;7,10,IF(AND($H$1=7,$K134=0,$R134&gt;1),15,IF($K134&gt;=20,15,IF($K134&gt;=6,13,10)))),0)+IF($E135=1,IF($I$1&lt;7,10,IF(AND($I$1=7,$L134=0,$S134&gt;1),15,IF($L134&gt;=20,15,IF($L134&gt;=6,13,10)))),0)+IF($F135=1,IF($J$1&lt;7,10,IF(AND($J$1=7,$M134=0,$T134&gt;1),15,IF($M134&gt;=20,15,IF($M134&gt;=6,13,10)))),0)+IF($G135=1,IF($K$1&lt;7,10,IF(AND($K$1=7,$N134=0,$U134&gt;1),15,IF($N134&gt;=20,15,IF($N134&gt;=6,13,10)))),0)+IF($H135=1,IF($L$1&lt;7,10,IF(AND($L$1=7,$O134=0,$V134&gt;1),15,IF($O134&gt;=20,15,IF($O134&gt;=6,13,10)))),0)</f>
        <v/>
      </c>
      <c r="Z135" s="38">
        <f>$Z134+$Y135</f>
        <v/>
      </c>
      <c r="AA135" s="38">
        <f>IF(AND($B135=1,AND($F$1=7,$I134=0,$P134&gt;1)),1,0)+IF(AND($C135=1,AND($G$1=7,$J134=0,$Q134&gt;1)),1,0)+IF(AND($D135=1,AND($H$1=7,$K134=0,$R134&gt;1)),1,0)+IF(AND($E135=1,AND($I$1=7,$L134=0,$S134&gt;1)),1,0)+IF(AND($F135=1,AND($J$1=7,$M134=0,$T134&gt;1)),1,0)+IF(AND($G135=1,AND($K$1=7,$N134=0,$U134&gt;1)),1,0)+IF(AND($H135=1,AND($L$1=7,$O134=0,$V134&gt;1)),1,0)</f>
        <v/>
      </c>
      <c r="AB135" s="38">
        <f>IF(IFERROR('Май'!$I10,"")="",0,$AB134+1)</f>
        <v/>
      </c>
    </row>
    <row r="136" spans="1:28">
      <c r="A136" s="38">
        <f>IF($B$1&gt;=DATE(2026,5,6),1,0)</f>
        <v/>
      </c>
      <c r="B136" s="38">
        <f>IFERROR(IF('Май'!$B11=TRUE,1,0),0)</f>
        <v/>
      </c>
      <c r="C136" s="38">
        <f>IFERROR(IF('Май'!$C11=TRUE,1,0),0)</f>
        <v/>
      </c>
      <c r="D136" s="38">
        <f>IFERROR(IF('Май'!$D11=TRUE,1,0),0)</f>
        <v/>
      </c>
      <c r="E136" s="38">
        <f>IFERROR(IF('Май'!$E11=TRUE,1,0),0)</f>
        <v/>
      </c>
      <c r="F136" s="38">
        <f>IFERROR(IF('Май'!$F11=TRUE,1,0),0)</f>
        <v/>
      </c>
      <c r="G136" s="38">
        <f>IFERROR(IF('Май'!$G11=TRUE,1,0),0)</f>
        <v/>
      </c>
      <c r="H136" s="38">
        <f>IFERROR(IF('Май'!$H11=TRUE,1,0),0)</f>
        <v/>
      </c>
      <c r="I136" s="38">
        <f>IF($A136=0,$I135,IF($B136=1,$I135+1,IF($P136&lt;=1,$I135,0)))</f>
        <v/>
      </c>
      <c r="J136" s="38">
        <f>IF($A136=0,$J135,IF($C136=1,$J135+1,IF($Q136&lt;=1,$J135,0)))</f>
        <v/>
      </c>
      <c r="K136" s="38">
        <f>IF($A136=0,$K135,IF($D136=1,$K135+1,IF($R136&lt;=1,$K135,0)))</f>
        <v/>
      </c>
      <c r="L136" s="38">
        <f>IF($A136=0,$L135,IF($E136=1,$L135+1,IF($S136&lt;=1,$L135,0)))</f>
        <v/>
      </c>
      <c r="M136" s="38">
        <f>IF($A136=0,$M135,IF($F136=1,$M135+1,IF($T136&lt;=1,$M135,0)))</f>
        <v/>
      </c>
      <c r="N136" s="38">
        <f>IF($A136=0,$N135,IF($G136=1,$N135+1,IF($U136&lt;=1,$N135,0)))</f>
        <v/>
      </c>
      <c r="O136" s="38">
        <f>IF($A136=0,$O135,IF($H136=1,$O135+1,IF($V136&lt;=1,$O135,0)))</f>
        <v/>
      </c>
      <c r="P136" s="38">
        <f>IF($A136=0,$P135,$P135+IF($B136=1,0,1))</f>
        <v/>
      </c>
      <c r="Q136" s="38">
        <f>IF($A136=0,$Q135,$Q135+IF($C136=1,0,1))</f>
        <v/>
      </c>
      <c r="R136" s="38">
        <f>IF($A136=0,$R135,$R135+IF($D136=1,0,1))</f>
        <v/>
      </c>
      <c r="S136" s="38">
        <f>IF($A136=0,$S135,$S135+IF($E136=1,0,1))</f>
        <v/>
      </c>
      <c r="T136" s="38">
        <f>IF($A136=0,$T135,$T135+IF($F136=1,0,1))</f>
        <v/>
      </c>
      <c r="U136" s="38">
        <f>IF($A136=0,$U135,$U135+IF($G136=1,0,1))</f>
        <v/>
      </c>
      <c r="V136" s="38">
        <f>IF($A136=0,$V135,$V135+IF($H136=1,0,1))</f>
        <v/>
      </c>
      <c r="W136" s="38">
        <f>SUM($B136:$H136)</f>
        <v/>
      </c>
      <c r="X136" s="38">
        <f>IF(AND($A136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136=1),1,0)+IF(AND($G$1=7,$C136=1),1,0)+IF(AND($H$1=7,$D136=1),1,0)+IF(AND($I$1=7,$E136=1),1,0)+IF(AND($J$1=7,$F136=1),1,0)+IF(AND($K$1=7,$G136=1),1,0)+IF(AND($L$1=7,$H136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6" s="38">
        <f>IF($B136=1,IF($F$1&lt;7,10,IF(AND($F$1=7,$I135=0,$P135&gt;1),15,IF($I135&gt;=20,15,IF($I135&gt;=6,13,10)))),0)+IF($C136=1,IF($G$1&lt;7,10,IF(AND($G$1=7,$J135=0,$Q135&gt;1),15,IF($J135&gt;=20,15,IF($J135&gt;=6,13,10)))),0)+IF($D136=1,IF($H$1&lt;7,10,IF(AND($H$1=7,$K135=0,$R135&gt;1),15,IF($K135&gt;=20,15,IF($K135&gt;=6,13,10)))),0)+IF($E136=1,IF($I$1&lt;7,10,IF(AND($I$1=7,$L135=0,$S135&gt;1),15,IF($L135&gt;=20,15,IF($L135&gt;=6,13,10)))),0)+IF($F136=1,IF($J$1&lt;7,10,IF(AND($J$1=7,$M135=0,$T135&gt;1),15,IF($M135&gt;=20,15,IF($M135&gt;=6,13,10)))),0)+IF($G136=1,IF($K$1&lt;7,10,IF(AND($K$1=7,$N135=0,$U135&gt;1),15,IF($N135&gt;=20,15,IF($N135&gt;=6,13,10)))),0)+IF($H136=1,IF($L$1&lt;7,10,IF(AND($L$1=7,$O135=0,$V135&gt;1),15,IF($O135&gt;=20,15,IF($O135&gt;=6,13,10)))),0)</f>
        <v/>
      </c>
      <c r="Z136" s="38">
        <f>$Z135+$Y136</f>
        <v/>
      </c>
      <c r="AA136" s="38">
        <f>IF(AND($B136=1,AND($F$1=7,$I135=0,$P135&gt;1)),1,0)+IF(AND($C136=1,AND($G$1=7,$J135=0,$Q135&gt;1)),1,0)+IF(AND($D136=1,AND($H$1=7,$K135=0,$R135&gt;1)),1,0)+IF(AND($E136=1,AND($I$1=7,$L135=0,$S135&gt;1)),1,0)+IF(AND($F136=1,AND($J$1=7,$M135=0,$T135&gt;1)),1,0)+IF(AND($G136=1,AND($K$1=7,$N135=0,$U135&gt;1)),1,0)+IF(AND($H136=1,AND($L$1=7,$O135=0,$V135&gt;1)),1,0)</f>
        <v/>
      </c>
      <c r="AB136" s="38">
        <f>IF(IFERROR('Май'!$I11,"")="",0,$AB135+1)</f>
        <v/>
      </c>
    </row>
    <row r="137" spans="1:28">
      <c r="A137" s="38">
        <f>IF($B$1&gt;=DATE(2026,5,7),1,0)</f>
        <v/>
      </c>
      <c r="B137" s="38">
        <f>IFERROR(IF('Май'!$B12=TRUE,1,0),0)</f>
        <v/>
      </c>
      <c r="C137" s="38">
        <f>IFERROR(IF('Май'!$C12=TRUE,1,0),0)</f>
        <v/>
      </c>
      <c r="D137" s="38">
        <f>IFERROR(IF('Май'!$D12=TRUE,1,0),0)</f>
        <v/>
      </c>
      <c r="E137" s="38">
        <f>IFERROR(IF('Май'!$E12=TRUE,1,0),0)</f>
        <v/>
      </c>
      <c r="F137" s="38">
        <f>IFERROR(IF('Май'!$F12=TRUE,1,0),0)</f>
        <v/>
      </c>
      <c r="G137" s="38">
        <f>IFERROR(IF('Май'!$G12=TRUE,1,0),0)</f>
        <v/>
      </c>
      <c r="H137" s="38">
        <f>IFERROR(IF('Май'!$H12=TRUE,1,0),0)</f>
        <v/>
      </c>
      <c r="I137" s="38">
        <f>IF($A137=0,$I136,IF($B137=1,$I136+1,IF($P137&lt;=1,$I136,0)))</f>
        <v/>
      </c>
      <c r="J137" s="38">
        <f>IF($A137=0,$J136,IF($C137=1,$J136+1,IF($Q137&lt;=1,$J136,0)))</f>
        <v/>
      </c>
      <c r="K137" s="38">
        <f>IF($A137=0,$K136,IF($D137=1,$K136+1,IF($R137&lt;=1,$K136,0)))</f>
        <v/>
      </c>
      <c r="L137" s="38">
        <f>IF($A137=0,$L136,IF($E137=1,$L136+1,IF($S137&lt;=1,$L136,0)))</f>
        <v/>
      </c>
      <c r="M137" s="38">
        <f>IF($A137=0,$M136,IF($F137=1,$M136+1,IF($T137&lt;=1,$M136,0)))</f>
        <v/>
      </c>
      <c r="N137" s="38">
        <f>IF($A137=0,$N136,IF($G137=1,$N136+1,IF($U137&lt;=1,$N136,0)))</f>
        <v/>
      </c>
      <c r="O137" s="38">
        <f>IF($A137=0,$O136,IF($H137=1,$O136+1,IF($V137&lt;=1,$O136,0)))</f>
        <v/>
      </c>
      <c r="P137" s="38">
        <f>IF($A137=0,$P136,$P136+IF($B137=1,0,1))</f>
        <v/>
      </c>
      <c r="Q137" s="38">
        <f>IF($A137=0,$Q136,$Q136+IF($C137=1,0,1))</f>
        <v/>
      </c>
      <c r="R137" s="38">
        <f>IF($A137=0,$R136,$R136+IF($D137=1,0,1))</f>
        <v/>
      </c>
      <c r="S137" s="38">
        <f>IF($A137=0,$S136,$S136+IF($E137=1,0,1))</f>
        <v/>
      </c>
      <c r="T137" s="38">
        <f>IF($A137=0,$T136,$T136+IF($F137=1,0,1))</f>
        <v/>
      </c>
      <c r="U137" s="38">
        <f>IF($A137=0,$U136,$U136+IF($G137=1,0,1))</f>
        <v/>
      </c>
      <c r="V137" s="38">
        <f>IF($A137=0,$V136,$V136+IF($H137=1,0,1))</f>
        <v/>
      </c>
      <c r="W137" s="38">
        <f>SUM($B137:$H137)</f>
        <v/>
      </c>
      <c r="X137" s="38">
        <f>IF(AND($A137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137=1),1,0)+IF(AND($G$1=7,$C137=1),1,0)+IF(AND($H$1=7,$D137=1),1,0)+IF(AND($I$1=7,$E137=1),1,0)+IF(AND($J$1=7,$F137=1),1,0)+IF(AND($K$1=7,$G137=1),1,0)+IF(AND($L$1=7,$H137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7" s="38">
        <f>IF($B137=1,IF($F$1&lt;7,10,IF(AND($F$1=7,$I136=0,$P136&gt;1),15,IF($I136&gt;=20,15,IF($I136&gt;=6,13,10)))),0)+IF($C137=1,IF($G$1&lt;7,10,IF(AND($G$1=7,$J136=0,$Q136&gt;1),15,IF($J136&gt;=20,15,IF($J136&gt;=6,13,10)))),0)+IF($D137=1,IF($H$1&lt;7,10,IF(AND($H$1=7,$K136=0,$R136&gt;1),15,IF($K136&gt;=20,15,IF($K136&gt;=6,13,10)))),0)+IF($E137=1,IF($I$1&lt;7,10,IF(AND($I$1=7,$L136=0,$S136&gt;1),15,IF($L136&gt;=20,15,IF($L136&gt;=6,13,10)))),0)+IF($F137=1,IF($J$1&lt;7,10,IF(AND($J$1=7,$M136=0,$T136&gt;1),15,IF($M136&gt;=20,15,IF($M136&gt;=6,13,10)))),0)+IF($G137=1,IF($K$1&lt;7,10,IF(AND($K$1=7,$N136=0,$U136&gt;1),15,IF($N136&gt;=20,15,IF($N136&gt;=6,13,10)))),0)+IF($H137=1,IF($L$1&lt;7,10,IF(AND($L$1=7,$O136=0,$V136&gt;1),15,IF($O136&gt;=20,15,IF($O136&gt;=6,13,10)))),0)</f>
        <v/>
      </c>
      <c r="Z137" s="38">
        <f>$Z136+$Y137</f>
        <v/>
      </c>
      <c r="AA137" s="38">
        <f>IF(AND($B137=1,AND($F$1=7,$I136=0,$P136&gt;1)),1,0)+IF(AND($C137=1,AND($G$1=7,$J136=0,$Q136&gt;1)),1,0)+IF(AND($D137=1,AND($H$1=7,$K136=0,$R136&gt;1)),1,0)+IF(AND($E137=1,AND($I$1=7,$L136=0,$S136&gt;1)),1,0)+IF(AND($F137=1,AND($J$1=7,$M136=0,$T136&gt;1)),1,0)+IF(AND($G137=1,AND($K$1=7,$N136=0,$U136&gt;1)),1,0)+IF(AND($H137=1,AND($L$1=7,$O136=0,$V136&gt;1)),1,0)</f>
        <v/>
      </c>
      <c r="AB137" s="38">
        <f>IF(IFERROR('Май'!$I12,"")="",0,$AB136+1)</f>
        <v/>
      </c>
    </row>
    <row r="138" spans="1:28">
      <c r="A138" s="38">
        <f>IF($B$1&gt;=DATE(2026,5,8),1,0)</f>
        <v/>
      </c>
      <c r="B138" s="38">
        <f>IFERROR(IF('Май'!$B13=TRUE,1,0),0)</f>
        <v/>
      </c>
      <c r="C138" s="38">
        <f>IFERROR(IF('Май'!$C13=TRUE,1,0),0)</f>
        <v/>
      </c>
      <c r="D138" s="38">
        <f>IFERROR(IF('Май'!$D13=TRUE,1,0),0)</f>
        <v/>
      </c>
      <c r="E138" s="38">
        <f>IFERROR(IF('Май'!$E13=TRUE,1,0),0)</f>
        <v/>
      </c>
      <c r="F138" s="38">
        <f>IFERROR(IF('Май'!$F13=TRUE,1,0),0)</f>
        <v/>
      </c>
      <c r="G138" s="38">
        <f>IFERROR(IF('Май'!$G13=TRUE,1,0),0)</f>
        <v/>
      </c>
      <c r="H138" s="38">
        <f>IFERROR(IF('Май'!$H13=TRUE,1,0),0)</f>
        <v/>
      </c>
      <c r="I138" s="38">
        <f>IF($A138=0,$I137,IF($B138=1,$I137+1,IF($P138&lt;=1,$I137,0)))</f>
        <v/>
      </c>
      <c r="J138" s="38">
        <f>IF($A138=0,$J137,IF($C138=1,$J137+1,IF($Q138&lt;=1,$J137,0)))</f>
        <v/>
      </c>
      <c r="K138" s="38">
        <f>IF($A138=0,$K137,IF($D138=1,$K137+1,IF($R138&lt;=1,$K137,0)))</f>
        <v/>
      </c>
      <c r="L138" s="38">
        <f>IF($A138=0,$L137,IF($E138=1,$L137+1,IF($S138&lt;=1,$L137,0)))</f>
        <v/>
      </c>
      <c r="M138" s="38">
        <f>IF($A138=0,$M137,IF($F138=1,$M137+1,IF($T138&lt;=1,$M137,0)))</f>
        <v/>
      </c>
      <c r="N138" s="38">
        <f>IF($A138=0,$N137,IF($G138=1,$N137+1,IF($U138&lt;=1,$N137,0)))</f>
        <v/>
      </c>
      <c r="O138" s="38">
        <f>IF($A138=0,$O137,IF($H138=1,$O137+1,IF($V138&lt;=1,$O137,0)))</f>
        <v/>
      </c>
      <c r="P138" s="38">
        <f>IF($A138=0,$P137,$P137+IF($B138=1,0,1))</f>
        <v/>
      </c>
      <c r="Q138" s="38">
        <f>IF($A138=0,$Q137,$Q137+IF($C138=1,0,1))</f>
        <v/>
      </c>
      <c r="R138" s="38">
        <f>IF($A138=0,$R137,$R137+IF($D138=1,0,1))</f>
        <v/>
      </c>
      <c r="S138" s="38">
        <f>IF($A138=0,$S137,$S137+IF($E138=1,0,1))</f>
        <v/>
      </c>
      <c r="T138" s="38">
        <f>IF($A138=0,$T137,$T137+IF($F138=1,0,1))</f>
        <v/>
      </c>
      <c r="U138" s="38">
        <f>IF($A138=0,$U137,$U137+IF($G138=1,0,1))</f>
        <v/>
      </c>
      <c r="V138" s="38">
        <f>IF($A138=0,$V137,$V137+IF($H138=1,0,1))</f>
        <v/>
      </c>
      <c r="W138" s="38">
        <f>SUM($B138:$H138)</f>
        <v/>
      </c>
      <c r="X138" s="38">
        <f>IF(AND($A138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138=1),1,0)+IF(AND($G$1=7,$C138=1),1,0)+IF(AND($H$1=7,$D138=1),1,0)+IF(AND($I$1=7,$E138=1),1,0)+IF(AND($J$1=7,$F138=1),1,0)+IF(AND($K$1=7,$G138=1),1,0)+IF(AND($L$1=7,$H138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8" s="38">
        <f>IF($B138=1,IF($F$1&lt;7,10,IF(AND($F$1=7,$I137=0,$P137&gt;1),15,IF($I137&gt;=20,15,IF($I137&gt;=6,13,10)))),0)+IF($C138=1,IF($G$1&lt;7,10,IF(AND($G$1=7,$J137=0,$Q137&gt;1),15,IF($J137&gt;=20,15,IF($J137&gt;=6,13,10)))),0)+IF($D138=1,IF($H$1&lt;7,10,IF(AND($H$1=7,$K137=0,$R137&gt;1),15,IF($K137&gt;=20,15,IF($K137&gt;=6,13,10)))),0)+IF($E138=1,IF($I$1&lt;7,10,IF(AND($I$1=7,$L137=0,$S137&gt;1),15,IF($L137&gt;=20,15,IF($L137&gt;=6,13,10)))),0)+IF($F138=1,IF($J$1&lt;7,10,IF(AND($J$1=7,$M137=0,$T137&gt;1),15,IF($M137&gt;=20,15,IF($M137&gt;=6,13,10)))),0)+IF($G138=1,IF($K$1&lt;7,10,IF(AND($K$1=7,$N137=0,$U137&gt;1),15,IF($N137&gt;=20,15,IF($N137&gt;=6,13,10)))),0)+IF($H138=1,IF($L$1&lt;7,10,IF(AND($L$1=7,$O137=0,$V137&gt;1),15,IF($O137&gt;=20,15,IF($O137&gt;=6,13,10)))),0)</f>
        <v/>
      </c>
      <c r="Z138" s="38">
        <f>$Z137+$Y138</f>
        <v/>
      </c>
      <c r="AA138" s="38">
        <f>IF(AND($B138=1,AND($F$1=7,$I137=0,$P137&gt;1)),1,0)+IF(AND($C138=1,AND($G$1=7,$J137=0,$Q137&gt;1)),1,0)+IF(AND($D138=1,AND($H$1=7,$K137=0,$R137&gt;1)),1,0)+IF(AND($E138=1,AND($I$1=7,$L137=0,$S137&gt;1)),1,0)+IF(AND($F138=1,AND($J$1=7,$M137=0,$T137&gt;1)),1,0)+IF(AND($G138=1,AND($K$1=7,$N137=0,$U137&gt;1)),1,0)+IF(AND($H138=1,AND($L$1=7,$O137=0,$V137&gt;1)),1,0)</f>
        <v/>
      </c>
      <c r="AB138" s="38">
        <f>IF(IFERROR('Май'!$I13,"")="",0,$AB137+1)</f>
        <v/>
      </c>
    </row>
    <row r="139" spans="1:28">
      <c r="A139" s="38">
        <f>IF($B$1&gt;=DATE(2026,5,9),1,0)</f>
        <v/>
      </c>
      <c r="B139" s="38">
        <f>IFERROR(IF('Май'!$B14=TRUE,1,0),0)</f>
        <v/>
      </c>
      <c r="C139" s="38">
        <f>IFERROR(IF('Май'!$C14=TRUE,1,0),0)</f>
        <v/>
      </c>
      <c r="D139" s="38">
        <f>IFERROR(IF('Май'!$D14=TRUE,1,0),0)</f>
        <v/>
      </c>
      <c r="E139" s="38">
        <f>IFERROR(IF('Май'!$E14=TRUE,1,0),0)</f>
        <v/>
      </c>
      <c r="F139" s="38">
        <f>IFERROR(IF('Май'!$F14=TRUE,1,0),0)</f>
        <v/>
      </c>
      <c r="G139" s="38">
        <f>IFERROR(IF('Май'!$G14=TRUE,1,0),0)</f>
        <v/>
      </c>
      <c r="H139" s="38">
        <f>IFERROR(IF('Май'!$H14=TRUE,1,0),0)</f>
        <v/>
      </c>
      <c r="I139" s="38">
        <f>IF($A139=0,$I138,IF($B139=1,$I138+1,IF($P139&lt;=1,$I138,0)))</f>
        <v/>
      </c>
      <c r="J139" s="38">
        <f>IF($A139=0,$J138,IF($C139=1,$J138+1,IF($Q139&lt;=1,$J138,0)))</f>
        <v/>
      </c>
      <c r="K139" s="38">
        <f>IF($A139=0,$K138,IF($D139=1,$K138+1,IF($R139&lt;=1,$K138,0)))</f>
        <v/>
      </c>
      <c r="L139" s="38">
        <f>IF($A139=0,$L138,IF($E139=1,$L138+1,IF($S139&lt;=1,$L138,0)))</f>
        <v/>
      </c>
      <c r="M139" s="38">
        <f>IF($A139=0,$M138,IF($F139=1,$M138+1,IF($T139&lt;=1,$M138,0)))</f>
        <v/>
      </c>
      <c r="N139" s="38">
        <f>IF($A139=0,$N138,IF($G139=1,$N138+1,IF($U139&lt;=1,$N138,0)))</f>
        <v/>
      </c>
      <c r="O139" s="38">
        <f>IF($A139=0,$O138,IF($H139=1,$O138+1,IF($V139&lt;=1,$O138,0)))</f>
        <v/>
      </c>
      <c r="P139" s="38">
        <f>IF($A139=0,$P138,$P138+IF($B139=1,0,1))</f>
        <v/>
      </c>
      <c r="Q139" s="38">
        <f>IF($A139=0,$Q138,$Q138+IF($C139=1,0,1))</f>
        <v/>
      </c>
      <c r="R139" s="38">
        <f>IF($A139=0,$R138,$R138+IF($D139=1,0,1))</f>
        <v/>
      </c>
      <c r="S139" s="38">
        <f>IF($A139=0,$S138,$S138+IF($E139=1,0,1))</f>
        <v/>
      </c>
      <c r="T139" s="38">
        <f>IF($A139=0,$T138,$T138+IF($F139=1,0,1))</f>
        <v/>
      </c>
      <c r="U139" s="38">
        <f>IF($A139=0,$U138,$U138+IF($G139=1,0,1))</f>
        <v/>
      </c>
      <c r="V139" s="38">
        <f>IF($A139=0,$V138,$V138+IF($H139=1,0,1))</f>
        <v/>
      </c>
      <c r="W139" s="38">
        <f>SUM($B139:$H139)</f>
        <v/>
      </c>
      <c r="X139" s="38">
        <f>IF(AND($A139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139=1),1,0)+IF(AND($G$1=7,$C139=1),1,0)+IF(AND($H$1=7,$D139=1),1,0)+IF(AND($I$1=7,$E139=1),1,0)+IF(AND($J$1=7,$F139=1),1,0)+IF(AND($K$1=7,$G139=1),1,0)+IF(AND($L$1=7,$H139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9" s="38">
        <f>IF($B139=1,IF($F$1&lt;7,10,IF(AND($F$1=7,$I138=0,$P138&gt;1),15,IF($I138&gt;=20,15,IF($I138&gt;=6,13,10)))),0)+IF($C139=1,IF($G$1&lt;7,10,IF(AND($G$1=7,$J138=0,$Q138&gt;1),15,IF($J138&gt;=20,15,IF($J138&gt;=6,13,10)))),0)+IF($D139=1,IF($H$1&lt;7,10,IF(AND($H$1=7,$K138=0,$R138&gt;1),15,IF($K138&gt;=20,15,IF($K138&gt;=6,13,10)))),0)+IF($E139=1,IF($I$1&lt;7,10,IF(AND($I$1=7,$L138=0,$S138&gt;1),15,IF($L138&gt;=20,15,IF($L138&gt;=6,13,10)))),0)+IF($F139=1,IF($J$1&lt;7,10,IF(AND($J$1=7,$M138=0,$T138&gt;1),15,IF($M138&gt;=20,15,IF($M138&gt;=6,13,10)))),0)+IF($G139=1,IF($K$1&lt;7,10,IF(AND($K$1=7,$N138=0,$U138&gt;1),15,IF($N138&gt;=20,15,IF($N138&gt;=6,13,10)))),0)+IF($H139=1,IF($L$1&lt;7,10,IF(AND($L$1=7,$O138=0,$V138&gt;1),15,IF($O138&gt;=20,15,IF($O138&gt;=6,13,10)))),0)</f>
        <v/>
      </c>
      <c r="Z139" s="38">
        <f>$Z138+$Y139</f>
        <v/>
      </c>
      <c r="AA139" s="38">
        <f>IF(AND($B139=1,AND($F$1=7,$I138=0,$P138&gt;1)),1,0)+IF(AND($C139=1,AND($G$1=7,$J138=0,$Q138&gt;1)),1,0)+IF(AND($D139=1,AND($H$1=7,$K138=0,$R138&gt;1)),1,0)+IF(AND($E139=1,AND($I$1=7,$L138=0,$S138&gt;1)),1,0)+IF(AND($F139=1,AND($J$1=7,$M138=0,$T138&gt;1)),1,0)+IF(AND($G139=1,AND($K$1=7,$N138=0,$U138&gt;1)),1,0)+IF(AND($H139=1,AND($L$1=7,$O138=0,$V138&gt;1)),1,0)</f>
        <v/>
      </c>
      <c r="AB139" s="38">
        <f>IF(IFERROR('Май'!$I14,"")="",0,$AB138+1)</f>
        <v/>
      </c>
    </row>
    <row r="140" spans="1:28">
      <c r="A140" s="38">
        <f>IF($B$1&gt;=DATE(2026,5,10),1,0)</f>
        <v/>
      </c>
      <c r="B140" s="38">
        <f>IFERROR(IF('Май'!$B15=TRUE,1,0),0)</f>
        <v/>
      </c>
      <c r="C140" s="38">
        <f>IFERROR(IF('Май'!$C15=TRUE,1,0),0)</f>
        <v/>
      </c>
      <c r="D140" s="38">
        <f>IFERROR(IF('Май'!$D15=TRUE,1,0),0)</f>
        <v/>
      </c>
      <c r="E140" s="38">
        <f>IFERROR(IF('Май'!$E15=TRUE,1,0),0)</f>
        <v/>
      </c>
      <c r="F140" s="38">
        <f>IFERROR(IF('Май'!$F15=TRUE,1,0),0)</f>
        <v/>
      </c>
      <c r="G140" s="38">
        <f>IFERROR(IF('Май'!$G15=TRUE,1,0),0)</f>
        <v/>
      </c>
      <c r="H140" s="38">
        <f>IFERROR(IF('Май'!$H15=TRUE,1,0),0)</f>
        <v/>
      </c>
      <c r="I140" s="38">
        <f>IF($A140=0,$I139,IF($B140=1,$I139+1,IF($P140&lt;=1,$I139,0)))</f>
        <v/>
      </c>
      <c r="J140" s="38">
        <f>IF($A140=0,$J139,IF($C140=1,$J139+1,IF($Q140&lt;=1,$J139,0)))</f>
        <v/>
      </c>
      <c r="K140" s="38">
        <f>IF($A140=0,$K139,IF($D140=1,$K139+1,IF($R140&lt;=1,$K139,0)))</f>
        <v/>
      </c>
      <c r="L140" s="38">
        <f>IF($A140=0,$L139,IF($E140=1,$L139+1,IF($S140&lt;=1,$L139,0)))</f>
        <v/>
      </c>
      <c r="M140" s="38">
        <f>IF($A140=0,$M139,IF($F140=1,$M139+1,IF($T140&lt;=1,$M139,0)))</f>
        <v/>
      </c>
      <c r="N140" s="38">
        <f>IF($A140=0,$N139,IF($G140=1,$N139+1,IF($U140&lt;=1,$N139,0)))</f>
        <v/>
      </c>
      <c r="O140" s="38">
        <f>IF($A140=0,$O139,IF($H140=1,$O139+1,IF($V140&lt;=1,$O139,0)))</f>
        <v/>
      </c>
      <c r="P140" s="38">
        <f>IF($A140=0,$P139,$P139+IF($B140=1,0,1))</f>
        <v/>
      </c>
      <c r="Q140" s="38">
        <f>IF($A140=0,$Q139,$Q139+IF($C140=1,0,1))</f>
        <v/>
      </c>
      <c r="R140" s="38">
        <f>IF($A140=0,$R139,$R139+IF($D140=1,0,1))</f>
        <v/>
      </c>
      <c r="S140" s="38">
        <f>IF($A140=0,$S139,$S139+IF($E140=1,0,1))</f>
        <v/>
      </c>
      <c r="T140" s="38">
        <f>IF($A140=0,$T139,$T139+IF($F140=1,0,1))</f>
        <v/>
      </c>
      <c r="U140" s="38">
        <f>IF($A140=0,$U139,$U139+IF($G140=1,0,1))</f>
        <v/>
      </c>
      <c r="V140" s="38">
        <f>IF($A140=0,$V139,$V139+IF($H140=1,0,1))</f>
        <v/>
      </c>
      <c r="W140" s="38">
        <f>SUM($B140:$H140)</f>
        <v/>
      </c>
      <c r="X140" s="38">
        <f>IF(AND($A140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140=1),1,0)+IF(AND($G$1=7,$C140=1),1,0)+IF(AND($H$1=7,$D140=1),1,0)+IF(AND($I$1=7,$E140=1),1,0)+IF(AND($J$1=7,$F140=1),1,0)+IF(AND($K$1=7,$G140=1),1,0)+IF(AND($L$1=7,$H140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0" s="38">
        <f>IF($B140=1,IF($F$1&lt;7,10,IF(AND($F$1=7,$I139=0,$P139&gt;1),15,IF($I139&gt;=20,15,IF($I139&gt;=6,13,10)))),0)+IF($C140=1,IF($G$1&lt;7,10,IF(AND($G$1=7,$J139=0,$Q139&gt;1),15,IF($J139&gt;=20,15,IF($J139&gt;=6,13,10)))),0)+IF($D140=1,IF($H$1&lt;7,10,IF(AND($H$1=7,$K139=0,$R139&gt;1),15,IF($K139&gt;=20,15,IF($K139&gt;=6,13,10)))),0)+IF($E140=1,IF($I$1&lt;7,10,IF(AND($I$1=7,$L139=0,$S139&gt;1),15,IF($L139&gt;=20,15,IF($L139&gt;=6,13,10)))),0)+IF($F140=1,IF($J$1&lt;7,10,IF(AND($J$1=7,$M139=0,$T139&gt;1),15,IF($M139&gt;=20,15,IF($M139&gt;=6,13,10)))),0)+IF($G140=1,IF($K$1&lt;7,10,IF(AND($K$1=7,$N139=0,$U139&gt;1),15,IF($N139&gt;=20,15,IF($N139&gt;=6,13,10)))),0)+IF($H140=1,IF($L$1&lt;7,10,IF(AND($L$1=7,$O139=0,$V139&gt;1),15,IF($O139&gt;=20,15,IF($O139&gt;=6,13,10)))),0)</f>
        <v/>
      </c>
      <c r="Z140" s="38">
        <f>$Z139+$Y140</f>
        <v/>
      </c>
      <c r="AA140" s="38">
        <f>IF(AND($B140=1,AND($F$1=7,$I139=0,$P139&gt;1)),1,0)+IF(AND($C140=1,AND($G$1=7,$J139=0,$Q139&gt;1)),1,0)+IF(AND($D140=1,AND($H$1=7,$K139=0,$R139&gt;1)),1,0)+IF(AND($E140=1,AND($I$1=7,$L139=0,$S139&gt;1)),1,0)+IF(AND($F140=1,AND($J$1=7,$M139=0,$T139&gt;1)),1,0)+IF(AND($G140=1,AND($K$1=7,$N139=0,$U139&gt;1)),1,0)+IF(AND($H140=1,AND($L$1=7,$O139=0,$V139&gt;1)),1,0)</f>
        <v/>
      </c>
      <c r="AB140" s="38">
        <f>IF(IFERROR('Май'!$I15,"")="",0,$AB139+1)</f>
        <v/>
      </c>
    </row>
    <row r="141" spans="1:28">
      <c r="A141" s="38">
        <f>IF($B$1&gt;=DATE(2026,5,11),1,0)</f>
        <v/>
      </c>
      <c r="B141" s="38">
        <f>IFERROR(IF('Май'!$B16=TRUE,1,0),0)</f>
        <v/>
      </c>
      <c r="C141" s="38">
        <f>IFERROR(IF('Май'!$C16=TRUE,1,0),0)</f>
        <v/>
      </c>
      <c r="D141" s="38">
        <f>IFERROR(IF('Май'!$D16=TRUE,1,0),0)</f>
        <v/>
      </c>
      <c r="E141" s="38">
        <f>IFERROR(IF('Май'!$E16=TRUE,1,0),0)</f>
        <v/>
      </c>
      <c r="F141" s="38">
        <f>IFERROR(IF('Май'!$F16=TRUE,1,0),0)</f>
        <v/>
      </c>
      <c r="G141" s="38">
        <f>IFERROR(IF('Май'!$G16=TRUE,1,0),0)</f>
        <v/>
      </c>
      <c r="H141" s="38">
        <f>IFERROR(IF('Май'!$H16=TRUE,1,0),0)</f>
        <v/>
      </c>
      <c r="I141" s="38">
        <f>IF($A141=0,$I140,IF($B141=1,$I140+1,IF($P141&lt;=1,$I140,0)))</f>
        <v/>
      </c>
      <c r="J141" s="38">
        <f>IF($A141=0,$J140,IF($C141=1,$J140+1,IF($Q141&lt;=1,$J140,0)))</f>
        <v/>
      </c>
      <c r="K141" s="38">
        <f>IF($A141=0,$K140,IF($D141=1,$K140+1,IF($R141&lt;=1,$K140,0)))</f>
        <v/>
      </c>
      <c r="L141" s="38">
        <f>IF($A141=0,$L140,IF($E141=1,$L140+1,IF($S141&lt;=1,$L140,0)))</f>
        <v/>
      </c>
      <c r="M141" s="38">
        <f>IF($A141=0,$M140,IF($F141=1,$M140+1,IF($T141&lt;=1,$M140,0)))</f>
        <v/>
      </c>
      <c r="N141" s="38">
        <f>IF($A141=0,$N140,IF($G141=1,$N140+1,IF($U141&lt;=1,$N140,0)))</f>
        <v/>
      </c>
      <c r="O141" s="38">
        <f>IF($A141=0,$O140,IF($H141=1,$O140+1,IF($V141&lt;=1,$O140,0)))</f>
        <v/>
      </c>
      <c r="P141" s="38">
        <f>IF($A141=0,$P140,$P140+IF($B141=1,0,1))</f>
        <v/>
      </c>
      <c r="Q141" s="38">
        <f>IF($A141=0,$Q140,$Q140+IF($C141=1,0,1))</f>
        <v/>
      </c>
      <c r="R141" s="38">
        <f>IF($A141=0,$R140,$R140+IF($D141=1,0,1))</f>
        <v/>
      </c>
      <c r="S141" s="38">
        <f>IF($A141=0,$S140,$S140+IF($E141=1,0,1))</f>
        <v/>
      </c>
      <c r="T141" s="38">
        <f>IF($A141=0,$T140,$T140+IF($F141=1,0,1))</f>
        <v/>
      </c>
      <c r="U141" s="38">
        <f>IF($A141=0,$U140,$U140+IF($G141=1,0,1))</f>
        <v/>
      </c>
      <c r="V141" s="38">
        <f>IF($A141=0,$V140,$V140+IF($H141=1,0,1))</f>
        <v/>
      </c>
      <c r="W141" s="38">
        <f>SUM($B141:$H141)</f>
        <v/>
      </c>
      <c r="X141" s="38">
        <f>IF(AND($A141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141=1),1,0)+IF(AND($G$1=7,$C141=1),1,0)+IF(AND($H$1=7,$D141=1),1,0)+IF(AND($I$1=7,$E141=1),1,0)+IF(AND($J$1=7,$F141=1),1,0)+IF(AND($K$1=7,$G141=1),1,0)+IF(AND($L$1=7,$H141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1" s="38">
        <f>IF($B141=1,IF($F$1&lt;7,10,IF(AND($F$1=7,$I140=0,$P140&gt;1),15,IF($I140&gt;=20,15,IF($I140&gt;=6,13,10)))),0)+IF($C141=1,IF($G$1&lt;7,10,IF(AND($G$1=7,$J140=0,$Q140&gt;1),15,IF($J140&gt;=20,15,IF($J140&gt;=6,13,10)))),0)+IF($D141=1,IF($H$1&lt;7,10,IF(AND($H$1=7,$K140=0,$R140&gt;1),15,IF($K140&gt;=20,15,IF($K140&gt;=6,13,10)))),0)+IF($E141=1,IF($I$1&lt;7,10,IF(AND($I$1=7,$L140=0,$S140&gt;1),15,IF($L140&gt;=20,15,IF($L140&gt;=6,13,10)))),0)+IF($F141=1,IF($J$1&lt;7,10,IF(AND($J$1=7,$M140=0,$T140&gt;1),15,IF($M140&gt;=20,15,IF($M140&gt;=6,13,10)))),0)+IF($G141=1,IF($K$1&lt;7,10,IF(AND($K$1=7,$N140=0,$U140&gt;1),15,IF($N140&gt;=20,15,IF($N140&gt;=6,13,10)))),0)+IF($H141=1,IF($L$1&lt;7,10,IF(AND($L$1=7,$O140=0,$V140&gt;1),15,IF($O140&gt;=20,15,IF($O140&gt;=6,13,10)))),0)</f>
        <v/>
      </c>
      <c r="Z141" s="38">
        <f>$Z140+$Y141</f>
        <v/>
      </c>
      <c r="AA141" s="38">
        <f>IF(AND($B141=1,AND($F$1=7,$I140=0,$P140&gt;1)),1,0)+IF(AND($C141=1,AND($G$1=7,$J140=0,$Q140&gt;1)),1,0)+IF(AND($D141=1,AND($H$1=7,$K140=0,$R140&gt;1)),1,0)+IF(AND($E141=1,AND($I$1=7,$L140=0,$S140&gt;1)),1,0)+IF(AND($F141=1,AND($J$1=7,$M140=0,$T140&gt;1)),1,0)+IF(AND($G141=1,AND($K$1=7,$N140=0,$U140&gt;1)),1,0)+IF(AND($H141=1,AND($L$1=7,$O140=0,$V140&gt;1)),1,0)</f>
        <v/>
      </c>
      <c r="AB141" s="38">
        <f>IF(IFERROR('Май'!$I16,"")="",0,$AB140+1)</f>
        <v/>
      </c>
    </row>
    <row r="142" spans="1:28">
      <c r="A142" s="38">
        <f>IF($B$1&gt;=DATE(2026,5,12),1,0)</f>
        <v/>
      </c>
      <c r="B142" s="38">
        <f>IFERROR(IF('Май'!$B17=TRUE,1,0),0)</f>
        <v/>
      </c>
      <c r="C142" s="38">
        <f>IFERROR(IF('Май'!$C17=TRUE,1,0),0)</f>
        <v/>
      </c>
      <c r="D142" s="38">
        <f>IFERROR(IF('Май'!$D17=TRUE,1,0),0)</f>
        <v/>
      </c>
      <c r="E142" s="38">
        <f>IFERROR(IF('Май'!$E17=TRUE,1,0),0)</f>
        <v/>
      </c>
      <c r="F142" s="38">
        <f>IFERROR(IF('Май'!$F17=TRUE,1,0),0)</f>
        <v/>
      </c>
      <c r="G142" s="38">
        <f>IFERROR(IF('Май'!$G17=TRUE,1,0),0)</f>
        <v/>
      </c>
      <c r="H142" s="38">
        <f>IFERROR(IF('Май'!$H17=TRUE,1,0),0)</f>
        <v/>
      </c>
      <c r="I142" s="38">
        <f>IF($A142=0,$I141,IF($B142=1,$I141+1,IF($P142&lt;=1,$I141,0)))</f>
        <v/>
      </c>
      <c r="J142" s="38">
        <f>IF($A142=0,$J141,IF($C142=1,$J141+1,IF($Q142&lt;=1,$J141,0)))</f>
        <v/>
      </c>
      <c r="K142" s="38">
        <f>IF($A142=0,$K141,IF($D142=1,$K141+1,IF($R142&lt;=1,$K141,0)))</f>
        <v/>
      </c>
      <c r="L142" s="38">
        <f>IF($A142=0,$L141,IF($E142=1,$L141+1,IF($S142&lt;=1,$L141,0)))</f>
        <v/>
      </c>
      <c r="M142" s="38">
        <f>IF($A142=0,$M141,IF($F142=1,$M141+1,IF($T142&lt;=1,$M141,0)))</f>
        <v/>
      </c>
      <c r="N142" s="38">
        <f>IF($A142=0,$N141,IF($G142=1,$N141+1,IF($U142&lt;=1,$N141,0)))</f>
        <v/>
      </c>
      <c r="O142" s="38">
        <f>IF($A142=0,$O141,IF($H142=1,$O141+1,IF($V142&lt;=1,$O141,0)))</f>
        <v/>
      </c>
      <c r="P142" s="38">
        <f>IF($A142=0,$P141,$P141+IF($B142=1,0,1))</f>
        <v/>
      </c>
      <c r="Q142" s="38">
        <f>IF($A142=0,$Q141,$Q141+IF($C142=1,0,1))</f>
        <v/>
      </c>
      <c r="R142" s="38">
        <f>IF($A142=0,$R141,$R141+IF($D142=1,0,1))</f>
        <v/>
      </c>
      <c r="S142" s="38">
        <f>IF($A142=0,$S141,$S141+IF($E142=1,0,1))</f>
        <v/>
      </c>
      <c r="T142" s="38">
        <f>IF($A142=0,$T141,$T141+IF($F142=1,0,1))</f>
        <v/>
      </c>
      <c r="U142" s="38">
        <f>IF($A142=0,$U141,$U141+IF($G142=1,0,1))</f>
        <v/>
      </c>
      <c r="V142" s="38">
        <f>IF($A142=0,$V141,$V141+IF($H142=1,0,1))</f>
        <v/>
      </c>
      <c r="W142" s="38">
        <f>SUM($B142:$H142)</f>
        <v/>
      </c>
      <c r="X142" s="38">
        <f>IF(AND($A142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142=1),1,0)+IF(AND($G$1=7,$C142=1),1,0)+IF(AND($H$1=7,$D142=1),1,0)+IF(AND($I$1=7,$E142=1),1,0)+IF(AND($J$1=7,$F142=1),1,0)+IF(AND($K$1=7,$G142=1),1,0)+IF(AND($L$1=7,$H142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2" s="38">
        <f>IF($B142=1,IF($F$1&lt;7,10,IF(AND($F$1=7,$I141=0,$P141&gt;1),15,IF($I141&gt;=20,15,IF($I141&gt;=6,13,10)))),0)+IF($C142=1,IF($G$1&lt;7,10,IF(AND($G$1=7,$J141=0,$Q141&gt;1),15,IF($J141&gt;=20,15,IF($J141&gt;=6,13,10)))),0)+IF($D142=1,IF($H$1&lt;7,10,IF(AND($H$1=7,$K141=0,$R141&gt;1),15,IF($K141&gt;=20,15,IF($K141&gt;=6,13,10)))),0)+IF($E142=1,IF($I$1&lt;7,10,IF(AND($I$1=7,$L141=0,$S141&gt;1),15,IF($L141&gt;=20,15,IF($L141&gt;=6,13,10)))),0)+IF($F142=1,IF($J$1&lt;7,10,IF(AND($J$1=7,$M141=0,$T141&gt;1),15,IF($M141&gt;=20,15,IF($M141&gt;=6,13,10)))),0)+IF($G142=1,IF($K$1&lt;7,10,IF(AND($K$1=7,$N141=0,$U141&gt;1),15,IF($N141&gt;=20,15,IF($N141&gt;=6,13,10)))),0)+IF($H142=1,IF($L$1&lt;7,10,IF(AND($L$1=7,$O141=0,$V141&gt;1),15,IF($O141&gt;=20,15,IF($O141&gt;=6,13,10)))),0)</f>
        <v/>
      </c>
      <c r="Z142" s="38">
        <f>$Z141+$Y142</f>
        <v/>
      </c>
      <c r="AA142" s="38">
        <f>IF(AND($B142=1,AND($F$1=7,$I141=0,$P141&gt;1)),1,0)+IF(AND($C142=1,AND($G$1=7,$J141=0,$Q141&gt;1)),1,0)+IF(AND($D142=1,AND($H$1=7,$K141=0,$R141&gt;1)),1,0)+IF(AND($E142=1,AND($I$1=7,$L141=0,$S141&gt;1)),1,0)+IF(AND($F142=1,AND($J$1=7,$M141=0,$T141&gt;1)),1,0)+IF(AND($G142=1,AND($K$1=7,$N141=0,$U141&gt;1)),1,0)+IF(AND($H142=1,AND($L$1=7,$O141=0,$V141&gt;1)),1,0)</f>
        <v/>
      </c>
      <c r="AB142" s="38">
        <f>IF(IFERROR('Май'!$I17,"")="",0,$AB141+1)</f>
        <v/>
      </c>
    </row>
    <row r="143" spans="1:28">
      <c r="A143" s="38">
        <f>IF($B$1&gt;=DATE(2026,5,13),1,0)</f>
        <v/>
      </c>
      <c r="B143" s="38">
        <f>IFERROR(IF('Май'!$B18=TRUE,1,0),0)</f>
        <v/>
      </c>
      <c r="C143" s="38">
        <f>IFERROR(IF('Май'!$C18=TRUE,1,0),0)</f>
        <v/>
      </c>
      <c r="D143" s="38">
        <f>IFERROR(IF('Май'!$D18=TRUE,1,0),0)</f>
        <v/>
      </c>
      <c r="E143" s="38">
        <f>IFERROR(IF('Май'!$E18=TRUE,1,0),0)</f>
        <v/>
      </c>
      <c r="F143" s="38">
        <f>IFERROR(IF('Май'!$F18=TRUE,1,0),0)</f>
        <v/>
      </c>
      <c r="G143" s="38">
        <f>IFERROR(IF('Май'!$G18=TRUE,1,0),0)</f>
        <v/>
      </c>
      <c r="H143" s="38">
        <f>IFERROR(IF('Май'!$H18=TRUE,1,0),0)</f>
        <v/>
      </c>
      <c r="I143" s="38">
        <f>IF($A143=0,$I142,IF($B143=1,$I142+1,IF($P143&lt;=1,$I142,0)))</f>
        <v/>
      </c>
      <c r="J143" s="38">
        <f>IF($A143=0,$J142,IF($C143=1,$J142+1,IF($Q143&lt;=1,$J142,0)))</f>
        <v/>
      </c>
      <c r="K143" s="38">
        <f>IF($A143=0,$K142,IF($D143=1,$K142+1,IF($R143&lt;=1,$K142,0)))</f>
        <v/>
      </c>
      <c r="L143" s="38">
        <f>IF($A143=0,$L142,IF($E143=1,$L142+1,IF($S143&lt;=1,$L142,0)))</f>
        <v/>
      </c>
      <c r="M143" s="38">
        <f>IF($A143=0,$M142,IF($F143=1,$M142+1,IF($T143&lt;=1,$M142,0)))</f>
        <v/>
      </c>
      <c r="N143" s="38">
        <f>IF($A143=0,$N142,IF($G143=1,$N142+1,IF($U143&lt;=1,$N142,0)))</f>
        <v/>
      </c>
      <c r="O143" s="38">
        <f>IF($A143=0,$O142,IF($H143=1,$O142+1,IF($V143&lt;=1,$O142,0)))</f>
        <v/>
      </c>
      <c r="P143" s="38">
        <f>IF($A143=0,$P142,$P142+IF($B143=1,0,1))</f>
        <v/>
      </c>
      <c r="Q143" s="38">
        <f>IF($A143=0,$Q142,$Q142+IF($C143=1,0,1))</f>
        <v/>
      </c>
      <c r="R143" s="38">
        <f>IF($A143=0,$R142,$R142+IF($D143=1,0,1))</f>
        <v/>
      </c>
      <c r="S143" s="38">
        <f>IF($A143=0,$S142,$S142+IF($E143=1,0,1))</f>
        <v/>
      </c>
      <c r="T143" s="38">
        <f>IF($A143=0,$T142,$T142+IF($F143=1,0,1))</f>
        <v/>
      </c>
      <c r="U143" s="38">
        <f>IF($A143=0,$U142,$U142+IF($G143=1,0,1))</f>
        <v/>
      </c>
      <c r="V143" s="38">
        <f>IF($A143=0,$V142,$V142+IF($H143=1,0,1))</f>
        <v/>
      </c>
      <c r="W143" s="38">
        <f>SUM($B143:$H143)</f>
        <v/>
      </c>
      <c r="X143" s="38">
        <f>IF(AND($A143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143=1),1,0)+IF(AND($G$1=7,$C143=1),1,0)+IF(AND($H$1=7,$D143=1),1,0)+IF(AND($I$1=7,$E143=1),1,0)+IF(AND($J$1=7,$F143=1),1,0)+IF(AND($K$1=7,$G143=1),1,0)+IF(AND($L$1=7,$H143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3" s="38">
        <f>IF($B143=1,IF($F$1&lt;7,10,IF(AND($F$1=7,$I142=0,$P142&gt;1),15,IF($I142&gt;=20,15,IF($I142&gt;=6,13,10)))),0)+IF($C143=1,IF($G$1&lt;7,10,IF(AND($G$1=7,$J142=0,$Q142&gt;1),15,IF($J142&gt;=20,15,IF($J142&gt;=6,13,10)))),0)+IF($D143=1,IF($H$1&lt;7,10,IF(AND($H$1=7,$K142=0,$R142&gt;1),15,IF($K142&gt;=20,15,IF($K142&gt;=6,13,10)))),0)+IF($E143=1,IF($I$1&lt;7,10,IF(AND($I$1=7,$L142=0,$S142&gt;1),15,IF($L142&gt;=20,15,IF($L142&gt;=6,13,10)))),0)+IF($F143=1,IF($J$1&lt;7,10,IF(AND($J$1=7,$M142=0,$T142&gt;1),15,IF($M142&gt;=20,15,IF($M142&gt;=6,13,10)))),0)+IF($G143=1,IF($K$1&lt;7,10,IF(AND($K$1=7,$N142=0,$U142&gt;1),15,IF($N142&gt;=20,15,IF($N142&gt;=6,13,10)))),0)+IF($H143=1,IF($L$1&lt;7,10,IF(AND($L$1=7,$O142=0,$V142&gt;1),15,IF($O142&gt;=20,15,IF($O142&gt;=6,13,10)))),0)</f>
        <v/>
      </c>
      <c r="Z143" s="38">
        <f>$Z142+$Y143</f>
        <v/>
      </c>
      <c r="AA143" s="38">
        <f>IF(AND($B143=1,AND($F$1=7,$I142=0,$P142&gt;1)),1,0)+IF(AND($C143=1,AND($G$1=7,$J142=0,$Q142&gt;1)),1,0)+IF(AND($D143=1,AND($H$1=7,$K142=0,$R142&gt;1)),1,0)+IF(AND($E143=1,AND($I$1=7,$L142=0,$S142&gt;1)),1,0)+IF(AND($F143=1,AND($J$1=7,$M142=0,$T142&gt;1)),1,0)+IF(AND($G143=1,AND($K$1=7,$N142=0,$U142&gt;1)),1,0)+IF(AND($H143=1,AND($L$1=7,$O142=0,$V142&gt;1)),1,0)</f>
        <v/>
      </c>
      <c r="AB143" s="38">
        <f>IF(IFERROR('Май'!$I18,"")="",0,$AB142+1)</f>
        <v/>
      </c>
    </row>
    <row r="144" spans="1:28">
      <c r="A144" s="38">
        <f>IF($B$1&gt;=DATE(2026,5,14),1,0)</f>
        <v/>
      </c>
      <c r="B144" s="38">
        <f>IFERROR(IF('Май'!$B19=TRUE,1,0),0)</f>
        <v/>
      </c>
      <c r="C144" s="38">
        <f>IFERROR(IF('Май'!$C19=TRUE,1,0),0)</f>
        <v/>
      </c>
      <c r="D144" s="38">
        <f>IFERROR(IF('Май'!$D19=TRUE,1,0),0)</f>
        <v/>
      </c>
      <c r="E144" s="38">
        <f>IFERROR(IF('Май'!$E19=TRUE,1,0),0)</f>
        <v/>
      </c>
      <c r="F144" s="38">
        <f>IFERROR(IF('Май'!$F19=TRUE,1,0),0)</f>
        <v/>
      </c>
      <c r="G144" s="38">
        <f>IFERROR(IF('Май'!$G19=TRUE,1,0),0)</f>
        <v/>
      </c>
      <c r="H144" s="38">
        <f>IFERROR(IF('Май'!$H19=TRUE,1,0),0)</f>
        <v/>
      </c>
      <c r="I144" s="38">
        <f>IF($A144=0,$I143,IF($B144=1,$I143+1,IF($P144&lt;=1,$I143,0)))</f>
        <v/>
      </c>
      <c r="J144" s="38">
        <f>IF($A144=0,$J143,IF($C144=1,$J143+1,IF($Q144&lt;=1,$J143,0)))</f>
        <v/>
      </c>
      <c r="K144" s="38">
        <f>IF($A144=0,$K143,IF($D144=1,$K143+1,IF($R144&lt;=1,$K143,0)))</f>
        <v/>
      </c>
      <c r="L144" s="38">
        <f>IF($A144=0,$L143,IF($E144=1,$L143+1,IF($S144&lt;=1,$L143,0)))</f>
        <v/>
      </c>
      <c r="M144" s="38">
        <f>IF($A144=0,$M143,IF($F144=1,$M143+1,IF($T144&lt;=1,$M143,0)))</f>
        <v/>
      </c>
      <c r="N144" s="38">
        <f>IF($A144=0,$N143,IF($G144=1,$N143+1,IF($U144&lt;=1,$N143,0)))</f>
        <v/>
      </c>
      <c r="O144" s="38">
        <f>IF($A144=0,$O143,IF($H144=1,$O143+1,IF($V144&lt;=1,$O143,0)))</f>
        <v/>
      </c>
      <c r="P144" s="38">
        <f>IF($A144=0,$P143,$P143+IF($B144=1,0,1))</f>
        <v/>
      </c>
      <c r="Q144" s="38">
        <f>IF($A144=0,$Q143,$Q143+IF($C144=1,0,1))</f>
        <v/>
      </c>
      <c r="R144" s="38">
        <f>IF($A144=0,$R143,$R143+IF($D144=1,0,1))</f>
        <v/>
      </c>
      <c r="S144" s="38">
        <f>IF($A144=0,$S143,$S143+IF($E144=1,0,1))</f>
        <v/>
      </c>
      <c r="T144" s="38">
        <f>IF($A144=0,$T143,$T143+IF($F144=1,0,1))</f>
        <v/>
      </c>
      <c r="U144" s="38">
        <f>IF($A144=0,$U143,$U143+IF($G144=1,0,1))</f>
        <v/>
      </c>
      <c r="V144" s="38">
        <f>IF($A144=0,$V143,$V143+IF($H144=1,0,1))</f>
        <v/>
      </c>
      <c r="W144" s="38">
        <f>SUM($B144:$H144)</f>
        <v/>
      </c>
      <c r="X144" s="38">
        <f>IF(AND($A144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144=1),1,0)+IF(AND($G$1=7,$C144=1),1,0)+IF(AND($H$1=7,$D144=1),1,0)+IF(AND($I$1=7,$E144=1),1,0)+IF(AND($J$1=7,$F144=1),1,0)+IF(AND($K$1=7,$G144=1),1,0)+IF(AND($L$1=7,$H144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4" s="38">
        <f>IF($B144=1,IF($F$1&lt;7,10,IF(AND($F$1=7,$I143=0,$P143&gt;1),15,IF($I143&gt;=20,15,IF($I143&gt;=6,13,10)))),0)+IF($C144=1,IF($G$1&lt;7,10,IF(AND($G$1=7,$J143=0,$Q143&gt;1),15,IF($J143&gt;=20,15,IF($J143&gt;=6,13,10)))),0)+IF($D144=1,IF($H$1&lt;7,10,IF(AND($H$1=7,$K143=0,$R143&gt;1),15,IF($K143&gt;=20,15,IF($K143&gt;=6,13,10)))),0)+IF($E144=1,IF($I$1&lt;7,10,IF(AND($I$1=7,$L143=0,$S143&gt;1),15,IF($L143&gt;=20,15,IF($L143&gt;=6,13,10)))),0)+IF($F144=1,IF($J$1&lt;7,10,IF(AND($J$1=7,$M143=0,$T143&gt;1),15,IF($M143&gt;=20,15,IF($M143&gt;=6,13,10)))),0)+IF($G144=1,IF($K$1&lt;7,10,IF(AND($K$1=7,$N143=0,$U143&gt;1),15,IF($N143&gt;=20,15,IF($N143&gt;=6,13,10)))),0)+IF($H144=1,IF($L$1&lt;7,10,IF(AND($L$1=7,$O143=0,$V143&gt;1),15,IF($O143&gt;=20,15,IF($O143&gt;=6,13,10)))),0)</f>
        <v/>
      </c>
      <c r="Z144" s="38">
        <f>$Z143+$Y144</f>
        <v/>
      </c>
      <c r="AA144" s="38">
        <f>IF(AND($B144=1,AND($F$1=7,$I143=0,$P143&gt;1)),1,0)+IF(AND($C144=1,AND($G$1=7,$J143=0,$Q143&gt;1)),1,0)+IF(AND($D144=1,AND($H$1=7,$K143=0,$R143&gt;1)),1,0)+IF(AND($E144=1,AND($I$1=7,$L143=0,$S143&gt;1)),1,0)+IF(AND($F144=1,AND($J$1=7,$M143=0,$T143&gt;1)),1,0)+IF(AND($G144=1,AND($K$1=7,$N143=0,$U143&gt;1)),1,0)+IF(AND($H144=1,AND($L$1=7,$O143=0,$V143&gt;1)),1,0)</f>
        <v/>
      </c>
      <c r="AB144" s="38">
        <f>IF(IFERROR('Май'!$I19,"")="",0,$AB143+1)</f>
        <v/>
      </c>
    </row>
    <row r="145" spans="1:28">
      <c r="A145" s="38">
        <f>IF($B$1&gt;=DATE(2026,5,15),1,0)</f>
        <v/>
      </c>
      <c r="B145" s="38">
        <f>IFERROR(IF('Май'!$B20=TRUE,1,0),0)</f>
        <v/>
      </c>
      <c r="C145" s="38">
        <f>IFERROR(IF('Май'!$C20=TRUE,1,0),0)</f>
        <v/>
      </c>
      <c r="D145" s="38">
        <f>IFERROR(IF('Май'!$D20=TRUE,1,0),0)</f>
        <v/>
      </c>
      <c r="E145" s="38">
        <f>IFERROR(IF('Май'!$E20=TRUE,1,0),0)</f>
        <v/>
      </c>
      <c r="F145" s="38">
        <f>IFERROR(IF('Май'!$F20=TRUE,1,0),0)</f>
        <v/>
      </c>
      <c r="G145" s="38">
        <f>IFERROR(IF('Май'!$G20=TRUE,1,0),0)</f>
        <v/>
      </c>
      <c r="H145" s="38">
        <f>IFERROR(IF('Май'!$H20=TRUE,1,0),0)</f>
        <v/>
      </c>
      <c r="I145" s="38">
        <f>IF($A145=0,$I144,IF($B145=1,$I144+1,IF($P145&lt;=1,$I144,0)))</f>
        <v/>
      </c>
      <c r="J145" s="38">
        <f>IF($A145=0,$J144,IF($C145=1,$J144+1,IF($Q145&lt;=1,$J144,0)))</f>
        <v/>
      </c>
      <c r="K145" s="38">
        <f>IF($A145=0,$K144,IF($D145=1,$K144+1,IF($R145&lt;=1,$K144,0)))</f>
        <v/>
      </c>
      <c r="L145" s="38">
        <f>IF($A145=0,$L144,IF($E145=1,$L144+1,IF($S145&lt;=1,$L144,0)))</f>
        <v/>
      </c>
      <c r="M145" s="38">
        <f>IF($A145=0,$M144,IF($F145=1,$M144+1,IF($T145&lt;=1,$M144,0)))</f>
        <v/>
      </c>
      <c r="N145" s="38">
        <f>IF($A145=0,$N144,IF($G145=1,$N144+1,IF($U145&lt;=1,$N144,0)))</f>
        <v/>
      </c>
      <c r="O145" s="38">
        <f>IF($A145=0,$O144,IF($H145=1,$O144+1,IF($V145&lt;=1,$O144,0)))</f>
        <v/>
      </c>
      <c r="P145" s="38">
        <f>IF($A145=0,$P144,$P144+IF($B145=1,0,1))</f>
        <v/>
      </c>
      <c r="Q145" s="38">
        <f>IF($A145=0,$Q144,$Q144+IF($C145=1,0,1))</f>
        <v/>
      </c>
      <c r="R145" s="38">
        <f>IF($A145=0,$R144,$R144+IF($D145=1,0,1))</f>
        <v/>
      </c>
      <c r="S145" s="38">
        <f>IF($A145=0,$S144,$S144+IF($E145=1,0,1))</f>
        <v/>
      </c>
      <c r="T145" s="38">
        <f>IF($A145=0,$T144,$T144+IF($F145=1,0,1))</f>
        <v/>
      </c>
      <c r="U145" s="38">
        <f>IF($A145=0,$U144,$U144+IF($G145=1,0,1))</f>
        <v/>
      </c>
      <c r="V145" s="38">
        <f>IF($A145=0,$V144,$V144+IF($H145=1,0,1))</f>
        <v/>
      </c>
      <c r="W145" s="38">
        <f>SUM($B145:$H145)</f>
        <v/>
      </c>
      <c r="X145" s="38">
        <f>IF(AND($A145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145=1),1,0)+IF(AND($G$1=7,$C145=1),1,0)+IF(AND($H$1=7,$D145=1),1,0)+IF(AND($I$1=7,$E145=1),1,0)+IF(AND($J$1=7,$F145=1),1,0)+IF(AND($K$1=7,$G145=1),1,0)+IF(AND($L$1=7,$H145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5" s="38">
        <f>IF($B145=1,IF($F$1&lt;7,10,IF(AND($F$1=7,$I144=0,$P144&gt;1),15,IF($I144&gt;=20,15,IF($I144&gt;=6,13,10)))),0)+IF($C145=1,IF($G$1&lt;7,10,IF(AND($G$1=7,$J144=0,$Q144&gt;1),15,IF($J144&gt;=20,15,IF($J144&gt;=6,13,10)))),0)+IF($D145=1,IF($H$1&lt;7,10,IF(AND($H$1=7,$K144=0,$R144&gt;1),15,IF($K144&gt;=20,15,IF($K144&gt;=6,13,10)))),0)+IF($E145=1,IF($I$1&lt;7,10,IF(AND($I$1=7,$L144=0,$S144&gt;1),15,IF($L144&gt;=20,15,IF($L144&gt;=6,13,10)))),0)+IF($F145=1,IF($J$1&lt;7,10,IF(AND($J$1=7,$M144=0,$T144&gt;1),15,IF($M144&gt;=20,15,IF($M144&gt;=6,13,10)))),0)+IF($G145=1,IF($K$1&lt;7,10,IF(AND($K$1=7,$N144=0,$U144&gt;1),15,IF($N144&gt;=20,15,IF($N144&gt;=6,13,10)))),0)+IF($H145=1,IF($L$1&lt;7,10,IF(AND($L$1=7,$O144=0,$V144&gt;1),15,IF($O144&gt;=20,15,IF($O144&gt;=6,13,10)))),0)</f>
        <v/>
      </c>
      <c r="Z145" s="38">
        <f>$Z144+$Y145</f>
        <v/>
      </c>
      <c r="AA145" s="38">
        <f>IF(AND($B145=1,AND($F$1=7,$I144=0,$P144&gt;1)),1,0)+IF(AND($C145=1,AND($G$1=7,$J144=0,$Q144&gt;1)),1,0)+IF(AND($D145=1,AND($H$1=7,$K144=0,$R144&gt;1)),1,0)+IF(AND($E145=1,AND($I$1=7,$L144=0,$S144&gt;1)),1,0)+IF(AND($F145=1,AND($J$1=7,$M144=0,$T144&gt;1)),1,0)+IF(AND($G145=1,AND($K$1=7,$N144=0,$U144&gt;1)),1,0)+IF(AND($H145=1,AND($L$1=7,$O144=0,$V144&gt;1)),1,0)</f>
        <v/>
      </c>
      <c r="AB145" s="38">
        <f>IF(IFERROR('Май'!$I20,"")="",0,$AB144+1)</f>
        <v/>
      </c>
    </row>
    <row r="146" spans="1:28">
      <c r="A146" s="38">
        <f>IF($B$1&gt;=DATE(2026,5,16),1,0)</f>
        <v/>
      </c>
      <c r="B146" s="38">
        <f>IFERROR(IF('Май'!$B21=TRUE,1,0),0)</f>
        <v/>
      </c>
      <c r="C146" s="38">
        <f>IFERROR(IF('Май'!$C21=TRUE,1,0),0)</f>
        <v/>
      </c>
      <c r="D146" s="38">
        <f>IFERROR(IF('Май'!$D21=TRUE,1,0),0)</f>
        <v/>
      </c>
      <c r="E146" s="38">
        <f>IFERROR(IF('Май'!$E21=TRUE,1,0),0)</f>
        <v/>
      </c>
      <c r="F146" s="38">
        <f>IFERROR(IF('Май'!$F21=TRUE,1,0),0)</f>
        <v/>
      </c>
      <c r="G146" s="38">
        <f>IFERROR(IF('Май'!$G21=TRUE,1,0),0)</f>
        <v/>
      </c>
      <c r="H146" s="38">
        <f>IFERROR(IF('Май'!$H21=TRUE,1,0),0)</f>
        <v/>
      </c>
      <c r="I146" s="38">
        <f>IF($A146=0,$I145,IF($B146=1,$I145+1,IF($P146&lt;=1,$I145,0)))</f>
        <v/>
      </c>
      <c r="J146" s="38">
        <f>IF($A146=0,$J145,IF($C146=1,$J145+1,IF($Q146&lt;=1,$J145,0)))</f>
        <v/>
      </c>
      <c r="K146" s="38">
        <f>IF($A146=0,$K145,IF($D146=1,$K145+1,IF($R146&lt;=1,$K145,0)))</f>
        <v/>
      </c>
      <c r="L146" s="38">
        <f>IF($A146=0,$L145,IF($E146=1,$L145+1,IF($S146&lt;=1,$L145,0)))</f>
        <v/>
      </c>
      <c r="M146" s="38">
        <f>IF($A146=0,$M145,IF($F146=1,$M145+1,IF($T146&lt;=1,$M145,0)))</f>
        <v/>
      </c>
      <c r="N146" s="38">
        <f>IF($A146=0,$N145,IF($G146=1,$N145+1,IF($U146&lt;=1,$N145,0)))</f>
        <v/>
      </c>
      <c r="O146" s="38">
        <f>IF($A146=0,$O145,IF($H146=1,$O145+1,IF($V146&lt;=1,$O145,0)))</f>
        <v/>
      </c>
      <c r="P146" s="38">
        <f>IF($A146=0,$P145,$P145+IF($B146=1,0,1))</f>
        <v/>
      </c>
      <c r="Q146" s="38">
        <f>IF($A146=0,$Q145,$Q145+IF($C146=1,0,1))</f>
        <v/>
      </c>
      <c r="R146" s="38">
        <f>IF($A146=0,$R145,$R145+IF($D146=1,0,1))</f>
        <v/>
      </c>
      <c r="S146" s="38">
        <f>IF($A146=0,$S145,$S145+IF($E146=1,0,1))</f>
        <v/>
      </c>
      <c r="T146" s="38">
        <f>IF($A146=0,$T145,$T145+IF($F146=1,0,1))</f>
        <v/>
      </c>
      <c r="U146" s="38">
        <f>IF($A146=0,$U145,$U145+IF($G146=1,0,1))</f>
        <v/>
      </c>
      <c r="V146" s="38">
        <f>IF($A146=0,$V145,$V145+IF($H146=1,0,1))</f>
        <v/>
      </c>
      <c r="W146" s="38">
        <f>SUM($B146:$H146)</f>
        <v/>
      </c>
      <c r="X146" s="38">
        <f>IF(AND($A146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146=1),1,0)+IF(AND($G$1=7,$C146=1),1,0)+IF(AND($H$1=7,$D146=1),1,0)+IF(AND($I$1=7,$E146=1),1,0)+IF(AND($J$1=7,$F146=1),1,0)+IF(AND($K$1=7,$G146=1),1,0)+IF(AND($L$1=7,$H146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6" s="38">
        <f>IF($B146=1,IF($F$1&lt;7,10,IF(AND($F$1=7,$I145=0,$P145&gt;1),15,IF($I145&gt;=20,15,IF($I145&gt;=6,13,10)))),0)+IF($C146=1,IF($G$1&lt;7,10,IF(AND($G$1=7,$J145=0,$Q145&gt;1),15,IF($J145&gt;=20,15,IF($J145&gt;=6,13,10)))),0)+IF($D146=1,IF($H$1&lt;7,10,IF(AND($H$1=7,$K145=0,$R145&gt;1),15,IF($K145&gt;=20,15,IF($K145&gt;=6,13,10)))),0)+IF($E146=1,IF($I$1&lt;7,10,IF(AND($I$1=7,$L145=0,$S145&gt;1),15,IF($L145&gt;=20,15,IF($L145&gt;=6,13,10)))),0)+IF($F146=1,IF($J$1&lt;7,10,IF(AND($J$1=7,$M145=0,$T145&gt;1),15,IF($M145&gt;=20,15,IF($M145&gt;=6,13,10)))),0)+IF($G146=1,IF($K$1&lt;7,10,IF(AND($K$1=7,$N145=0,$U145&gt;1),15,IF($N145&gt;=20,15,IF($N145&gt;=6,13,10)))),0)+IF($H146=1,IF($L$1&lt;7,10,IF(AND($L$1=7,$O145=0,$V145&gt;1),15,IF($O145&gt;=20,15,IF($O145&gt;=6,13,10)))),0)</f>
        <v/>
      </c>
      <c r="Z146" s="38">
        <f>$Z145+$Y146</f>
        <v/>
      </c>
      <c r="AA146" s="38">
        <f>IF(AND($B146=1,AND($F$1=7,$I145=0,$P145&gt;1)),1,0)+IF(AND($C146=1,AND($G$1=7,$J145=0,$Q145&gt;1)),1,0)+IF(AND($D146=1,AND($H$1=7,$K145=0,$R145&gt;1)),1,0)+IF(AND($E146=1,AND($I$1=7,$L145=0,$S145&gt;1)),1,0)+IF(AND($F146=1,AND($J$1=7,$M145=0,$T145&gt;1)),1,0)+IF(AND($G146=1,AND($K$1=7,$N145=0,$U145&gt;1)),1,0)+IF(AND($H146=1,AND($L$1=7,$O145=0,$V145&gt;1)),1,0)</f>
        <v/>
      </c>
      <c r="AB146" s="38">
        <f>IF(IFERROR('Май'!$I21,"")="",0,$AB145+1)</f>
        <v/>
      </c>
    </row>
    <row r="147" spans="1:28">
      <c r="A147" s="38">
        <f>IF($B$1&gt;=DATE(2026,5,17),1,0)</f>
        <v/>
      </c>
      <c r="B147" s="38">
        <f>IFERROR(IF('Май'!$B22=TRUE,1,0),0)</f>
        <v/>
      </c>
      <c r="C147" s="38">
        <f>IFERROR(IF('Май'!$C22=TRUE,1,0),0)</f>
        <v/>
      </c>
      <c r="D147" s="38">
        <f>IFERROR(IF('Май'!$D22=TRUE,1,0),0)</f>
        <v/>
      </c>
      <c r="E147" s="38">
        <f>IFERROR(IF('Май'!$E22=TRUE,1,0),0)</f>
        <v/>
      </c>
      <c r="F147" s="38">
        <f>IFERROR(IF('Май'!$F22=TRUE,1,0),0)</f>
        <v/>
      </c>
      <c r="G147" s="38">
        <f>IFERROR(IF('Май'!$G22=TRUE,1,0),0)</f>
        <v/>
      </c>
      <c r="H147" s="38">
        <f>IFERROR(IF('Май'!$H22=TRUE,1,0),0)</f>
        <v/>
      </c>
      <c r="I147" s="38">
        <f>IF($A147=0,$I146,IF($B147=1,$I146+1,IF($P147&lt;=1,$I146,0)))</f>
        <v/>
      </c>
      <c r="J147" s="38">
        <f>IF($A147=0,$J146,IF($C147=1,$J146+1,IF($Q147&lt;=1,$J146,0)))</f>
        <v/>
      </c>
      <c r="K147" s="38">
        <f>IF($A147=0,$K146,IF($D147=1,$K146+1,IF($R147&lt;=1,$K146,0)))</f>
        <v/>
      </c>
      <c r="L147" s="38">
        <f>IF($A147=0,$L146,IF($E147=1,$L146+1,IF($S147&lt;=1,$L146,0)))</f>
        <v/>
      </c>
      <c r="M147" s="38">
        <f>IF($A147=0,$M146,IF($F147=1,$M146+1,IF($T147&lt;=1,$M146,0)))</f>
        <v/>
      </c>
      <c r="N147" s="38">
        <f>IF($A147=0,$N146,IF($G147=1,$N146+1,IF($U147&lt;=1,$N146,0)))</f>
        <v/>
      </c>
      <c r="O147" s="38">
        <f>IF($A147=0,$O146,IF($H147=1,$O146+1,IF($V147&lt;=1,$O146,0)))</f>
        <v/>
      </c>
      <c r="P147" s="38">
        <f>IF($A147=0,$P146,$P146+IF($B147=1,0,1))</f>
        <v/>
      </c>
      <c r="Q147" s="38">
        <f>IF($A147=0,$Q146,$Q146+IF($C147=1,0,1))</f>
        <v/>
      </c>
      <c r="R147" s="38">
        <f>IF($A147=0,$R146,$R146+IF($D147=1,0,1))</f>
        <v/>
      </c>
      <c r="S147" s="38">
        <f>IF($A147=0,$S146,$S146+IF($E147=1,0,1))</f>
        <v/>
      </c>
      <c r="T147" s="38">
        <f>IF($A147=0,$T146,$T146+IF($F147=1,0,1))</f>
        <v/>
      </c>
      <c r="U147" s="38">
        <f>IF($A147=0,$U146,$U146+IF($G147=1,0,1))</f>
        <v/>
      </c>
      <c r="V147" s="38">
        <f>IF($A147=0,$V146,$V146+IF($H147=1,0,1))</f>
        <v/>
      </c>
      <c r="W147" s="38">
        <f>SUM($B147:$H147)</f>
        <v/>
      </c>
      <c r="X147" s="38">
        <f>IF(AND($A147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147=1),1,0)+IF(AND($G$1=7,$C147=1),1,0)+IF(AND($H$1=7,$D147=1),1,0)+IF(AND($I$1=7,$E147=1),1,0)+IF(AND($J$1=7,$F147=1),1,0)+IF(AND($K$1=7,$G147=1),1,0)+IF(AND($L$1=7,$H147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7" s="38">
        <f>IF($B147=1,IF($F$1&lt;7,10,IF(AND($F$1=7,$I146=0,$P146&gt;1),15,IF($I146&gt;=20,15,IF($I146&gt;=6,13,10)))),0)+IF($C147=1,IF($G$1&lt;7,10,IF(AND($G$1=7,$J146=0,$Q146&gt;1),15,IF($J146&gt;=20,15,IF($J146&gt;=6,13,10)))),0)+IF($D147=1,IF($H$1&lt;7,10,IF(AND($H$1=7,$K146=0,$R146&gt;1),15,IF($K146&gt;=20,15,IF($K146&gt;=6,13,10)))),0)+IF($E147=1,IF($I$1&lt;7,10,IF(AND($I$1=7,$L146=0,$S146&gt;1),15,IF($L146&gt;=20,15,IF($L146&gt;=6,13,10)))),0)+IF($F147=1,IF($J$1&lt;7,10,IF(AND($J$1=7,$M146=0,$T146&gt;1),15,IF($M146&gt;=20,15,IF($M146&gt;=6,13,10)))),0)+IF($G147=1,IF($K$1&lt;7,10,IF(AND($K$1=7,$N146=0,$U146&gt;1),15,IF($N146&gt;=20,15,IF($N146&gt;=6,13,10)))),0)+IF($H147=1,IF($L$1&lt;7,10,IF(AND($L$1=7,$O146=0,$V146&gt;1),15,IF($O146&gt;=20,15,IF($O146&gt;=6,13,10)))),0)</f>
        <v/>
      </c>
      <c r="Z147" s="38">
        <f>$Z146+$Y147</f>
        <v/>
      </c>
      <c r="AA147" s="38">
        <f>IF(AND($B147=1,AND($F$1=7,$I146=0,$P146&gt;1)),1,0)+IF(AND($C147=1,AND($G$1=7,$J146=0,$Q146&gt;1)),1,0)+IF(AND($D147=1,AND($H$1=7,$K146=0,$R146&gt;1)),1,0)+IF(AND($E147=1,AND($I$1=7,$L146=0,$S146&gt;1)),1,0)+IF(AND($F147=1,AND($J$1=7,$M146=0,$T146&gt;1)),1,0)+IF(AND($G147=1,AND($K$1=7,$N146=0,$U146&gt;1)),1,0)+IF(AND($H147=1,AND($L$1=7,$O146=0,$V146&gt;1)),1,0)</f>
        <v/>
      </c>
      <c r="AB147" s="38">
        <f>IF(IFERROR('Май'!$I22,"")="",0,$AB146+1)</f>
        <v/>
      </c>
    </row>
    <row r="148" spans="1:28">
      <c r="A148" s="38">
        <f>IF($B$1&gt;=DATE(2026,5,18),1,0)</f>
        <v/>
      </c>
      <c r="B148" s="38">
        <f>IFERROR(IF('Май'!$B23=TRUE,1,0),0)</f>
        <v/>
      </c>
      <c r="C148" s="38">
        <f>IFERROR(IF('Май'!$C23=TRUE,1,0),0)</f>
        <v/>
      </c>
      <c r="D148" s="38">
        <f>IFERROR(IF('Май'!$D23=TRUE,1,0),0)</f>
        <v/>
      </c>
      <c r="E148" s="38">
        <f>IFERROR(IF('Май'!$E23=TRUE,1,0),0)</f>
        <v/>
      </c>
      <c r="F148" s="38">
        <f>IFERROR(IF('Май'!$F23=TRUE,1,0),0)</f>
        <v/>
      </c>
      <c r="G148" s="38">
        <f>IFERROR(IF('Май'!$G23=TRUE,1,0),0)</f>
        <v/>
      </c>
      <c r="H148" s="38">
        <f>IFERROR(IF('Май'!$H23=TRUE,1,0),0)</f>
        <v/>
      </c>
      <c r="I148" s="38">
        <f>IF($A148=0,$I147,IF($B148=1,$I147+1,IF($P148&lt;=1,$I147,0)))</f>
        <v/>
      </c>
      <c r="J148" s="38">
        <f>IF($A148=0,$J147,IF($C148=1,$J147+1,IF($Q148&lt;=1,$J147,0)))</f>
        <v/>
      </c>
      <c r="K148" s="38">
        <f>IF($A148=0,$K147,IF($D148=1,$K147+1,IF($R148&lt;=1,$K147,0)))</f>
        <v/>
      </c>
      <c r="L148" s="38">
        <f>IF($A148=0,$L147,IF($E148=1,$L147+1,IF($S148&lt;=1,$L147,0)))</f>
        <v/>
      </c>
      <c r="M148" s="38">
        <f>IF($A148=0,$M147,IF($F148=1,$M147+1,IF($T148&lt;=1,$M147,0)))</f>
        <v/>
      </c>
      <c r="N148" s="38">
        <f>IF($A148=0,$N147,IF($G148=1,$N147+1,IF($U148&lt;=1,$N147,0)))</f>
        <v/>
      </c>
      <c r="O148" s="38">
        <f>IF($A148=0,$O147,IF($H148=1,$O147+1,IF($V148&lt;=1,$O147,0)))</f>
        <v/>
      </c>
      <c r="P148" s="38">
        <f>IF($A148=0,$P147,$P147+IF($B148=1,0,1))</f>
        <v/>
      </c>
      <c r="Q148" s="38">
        <f>IF($A148=0,$Q147,$Q147+IF($C148=1,0,1))</f>
        <v/>
      </c>
      <c r="R148" s="38">
        <f>IF($A148=0,$R147,$R147+IF($D148=1,0,1))</f>
        <v/>
      </c>
      <c r="S148" s="38">
        <f>IF($A148=0,$S147,$S147+IF($E148=1,0,1))</f>
        <v/>
      </c>
      <c r="T148" s="38">
        <f>IF($A148=0,$T147,$T147+IF($F148=1,0,1))</f>
        <v/>
      </c>
      <c r="U148" s="38">
        <f>IF($A148=0,$U147,$U147+IF($G148=1,0,1))</f>
        <v/>
      </c>
      <c r="V148" s="38">
        <f>IF($A148=0,$V147,$V147+IF($H148=1,0,1))</f>
        <v/>
      </c>
      <c r="W148" s="38">
        <f>SUM($B148:$H148)</f>
        <v/>
      </c>
      <c r="X148" s="38">
        <f>IF(AND($A148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148=1),1,0)+IF(AND($G$1=7,$C148=1),1,0)+IF(AND($H$1=7,$D148=1),1,0)+IF(AND($I$1=7,$E148=1),1,0)+IF(AND($J$1=7,$F148=1),1,0)+IF(AND($K$1=7,$G148=1),1,0)+IF(AND($L$1=7,$H148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8" s="38">
        <f>IF($B148=1,IF($F$1&lt;7,10,IF(AND($F$1=7,$I147=0,$P147&gt;1),15,IF($I147&gt;=20,15,IF($I147&gt;=6,13,10)))),0)+IF($C148=1,IF($G$1&lt;7,10,IF(AND($G$1=7,$J147=0,$Q147&gt;1),15,IF($J147&gt;=20,15,IF($J147&gt;=6,13,10)))),0)+IF($D148=1,IF($H$1&lt;7,10,IF(AND($H$1=7,$K147=0,$R147&gt;1),15,IF($K147&gt;=20,15,IF($K147&gt;=6,13,10)))),0)+IF($E148=1,IF($I$1&lt;7,10,IF(AND($I$1=7,$L147=0,$S147&gt;1),15,IF($L147&gt;=20,15,IF($L147&gt;=6,13,10)))),0)+IF($F148=1,IF($J$1&lt;7,10,IF(AND($J$1=7,$M147=0,$T147&gt;1),15,IF($M147&gt;=20,15,IF($M147&gt;=6,13,10)))),0)+IF($G148=1,IF($K$1&lt;7,10,IF(AND($K$1=7,$N147=0,$U147&gt;1),15,IF($N147&gt;=20,15,IF($N147&gt;=6,13,10)))),0)+IF($H148=1,IF($L$1&lt;7,10,IF(AND($L$1=7,$O147=0,$V147&gt;1),15,IF($O147&gt;=20,15,IF($O147&gt;=6,13,10)))),0)</f>
        <v/>
      </c>
      <c r="Z148" s="38">
        <f>$Z147+$Y148</f>
        <v/>
      </c>
      <c r="AA148" s="38">
        <f>IF(AND($B148=1,AND($F$1=7,$I147=0,$P147&gt;1)),1,0)+IF(AND($C148=1,AND($G$1=7,$J147=0,$Q147&gt;1)),1,0)+IF(AND($D148=1,AND($H$1=7,$K147=0,$R147&gt;1)),1,0)+IF(AND($E148=1,AND($I$1=7,$L147=0,$S147&gt;1)),1,0)+IF(AND($F148=1,AND($J$1=7,$M147=0,$T147&gt;1)),1,0)+IF(AND($G148=1,AND($K$1=7,$N147=0,$U147&gt;1)),1,0)+IF(AND($H148=1,AND($L$1=7,$O147=0,$V147&gt;1)),1,0)</f>
        <v/>
      </c>
      <c r="AB148" s="38">
        <f>IF(IFERROR('Май'!$I23,"")="",0,$AB147+1)</f>
        <v/>
      </c>
    </row>
    <row r="149" spans="1:28">
      <c r="A149" s="38">
        <f>IF($B$1&gt;=DATE(2026,5,19),1,0)</f>
        <v/>
      </c>
      <c r="B149" s="38">
        <f>IFERROR(IF('Май'!$B24=TRUE,1,0),0)</f>
        <v/>
      </c>
      <c r="C149" s="38">
        <f>IFERROR(IF('Май'!$C24=TRUE,1,0),0)</f>
        <v/>
      </c>
      <c r="D149" s="38">
        <f>IFERROR(IF('Май'!$D24=TRUE,1,0),0)</f>
        <v/>
      </c>
      <c r="E149" s="38">
        <f>IFERROR(IF('Май'!$E24=TRUE,1,0),0)</f>
        <v/>
      </c>
      <c r="F149" s="38">
        <f>IFERROR(IF('Май'!$F24=TRUE,1,0),0)</f>
        <v/>
      </c>
      <c r="G149" s="38">
        <f>IFERROR(IF('Май'!$G24=TRUE,1,0),0)</f>
        <v/>
      </c>
      <c r="H149" s="38">
        <f>IFERROR(IF('Май'!$H24=TRUE,1,0),0)</f>
        <v/>
      </c>
      <c r="I149" s="38">
        <f>IF($A149=0,$I148,IF($B149=1,$I148+1,IF($P149&lt;=1,$I148,0)))</f>
        <v/>
      </c>
      <c r="J149" s="38">
        <f>IF($A149=0,$J148,IF($C149=1,$J148+1,IF($Q149&lt;=1,$J148,0)))</f>
        <v/>
      </c>
      <c r="K149" s="38">
        <f>IF($A149=0,$K148,IF($D149=1,$K148+1,IF($R149&lt;=1,$K148,0)))</f>
        <v/>
      </c>
      <c r="L149" s="38">
        <f>IF($A149=0,$L148,IF($E149=1,$L148+1,IF($S149&lt;=1,$L148,0)))</f>
        <v/>
      </c>
      <c r="M149" s="38">
        <f>IF($A149=0,$M148,IF($F149=1,$M148+1,IF($T149&lt;=1,$M148,0)))</f>
        <v/>
      </c>
      <c r="N149" s="38">
        <f>IF($A149=0,$N148,IF($G149=1,$N148+1,IF($U149&lt;=1,$N148,0)))</f>
        <v/>
      </c>
      <c r="O149" s="38">
        <f>IF($A149=0,$O148,IF($H149=1,$O148+1,IF($V149&lt;=1,$O148,0)))</f>
        <v/>
      </c>
      <c r="P149" s="38">
        <f>IF($A149=0,$P148,$P148+IF($B149=1,0,1))</f>
        <v/>
      </c>
      <c r="Q149" s="38">
        <f>IF($A149=0,$Q148,$Q148+IF($C149=1,0,1))</f>
        <v/>
      </c>
      <c r="R149" s="38">
        <f>IF($A149=0,$R148,$R148+IF($D149=1,0,1))</f>
        <v/>
      </c>
      <c r="S149" s="38">
        <f>IF($A149=0,$S148,$S148+IF($E149=1,0,1))</f>
        <v/>
      </c>
      <c r="T149" s="38">
        <f>IF($A149=0,$T148,$T148+IF($F149=1,0,1))</f>
        <v/>
      </c>
      <c r="U149" s="38">
        <f>IF($A149=0,$U148,$U148+IF($G149=1,0,1))</f>
        <v/>
      </c>
      <c r="V149" s="38">
        <f>IF($A149=0,$V148,$V148+IF($H149=1,0,1))</f>
        <v/>
      </c>
      <c r="W149" s="38">
        <f>SUM($B149:$H149)</f>
        <v/>
      </c>
      <c r="X149" s="38">
        <f>IF(AND($A149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149=1),1,0)+IF(AND($G$1=7,$C149=1),1,0)+IF(AND($H$1=7,$D149=1),1,0)+IF(AND($I$1=7,$E149=1),1,0)+IF(AND($J$1=7,$F149=1),1,0)+IF(AND($K$1=7,$G149=1),1,0)+IF(AND($L$1=7,$H149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9" s="38">
        <f>IF($B149=1,IF($F$1&lt;7,10,IF(AND($F$1=7,$I148=0,$P148&gt;1),15,IF($I148&gt;=20,15,IF($I148&gt;=6,13,10)))),0)+IF($C149=1,IF($G$1&lt;7,10,IF(AND($G$1=7,$J148=0,$Q148&gt;1),15,IF($J148&gt;=20,15,IF($J148&gt;=6,13,10)))),0)+IF($D149=1,IF($H$1&lt;7,10,IF(AND($H$1=7,$K148=0,$R148&gt;1),15,IF($K148&gt;=20,15,IF($K148&gt;=6,13,10)))),0)+IF($E149=1,IF($I$1&lt;7,10,IF(AND($I$1=7,$L148=0,$S148&gt;1),15,IF($L148&gt;=20,15,IF($L148&gt;=6,13,10)))),0)+IF($F149=1,IF($J$1&lt;7,10,IF(AND($J$1=7,$M148=0,$T148&gt;1),15,IF($M148&gt;=20,15,IF($M148&gt;=6,13,10)))),0)+IF($G149=1,IF($K$1&lt;7,10,IF(AND($K$1=7,$N148=0,$U148&gt;1),15,IF($N148&gt;=20,15,IF($N148&gt;=6,13,10)))),0)+IF($H149=1,IF($L$1&lt;7,10,IF(AND($L$1=7,$O148=0,$V148&gt;1),15,IF($O148&gt;=20,15,IF($O148&gt;=6,13,10)))),0)</f>
        <v/>
      </c>
      <c r="Z149" s="38">
        <f>$Z148+$Y149</f>
        <v/>
      </c>
      <c r="AA149" s="38">
        <f>IF(AND($B149=1,AND($F$1=7,$I148=0,$P148&gt;1)),1,0)+IF(AND($C149=1,AND($G$1=7,$J148=0,$Q148&gt;1)),1,0)+IF(AND($D149=1,AND($H$1=7,$K148=0,$R148&gt;1)),1,0)+IF(AND($E149=1,AND($I$1=7,$L148=0,$S148&gt;1)),1,0)+IF(AND($F149=1,AND($J$1=7,$M148=0,$T148&gt;1)),1,0)+IF(AND($G149=1,AND($K$1=7,$N148=0,$U148&gt;1)),1,0)+IF(AND($H149=1,AND($L$1=7,$O148=0,$V148&gt;1)),1,0)</f>
        <v/>
      </c>
      <c r="AB149" s="38">
        <f>IF(IFERROR('Май'!$I24,"")="",0,$AB148+1)</f>
        <v/>
      </c>
    </row>
    <row r="150" spans="1:28">
      <c r="A150" s="38">
        <f>IF($B$1&gt;=DATE(2026,5,20),1,0)</f>
        <v/>
      </c>
      <c r="B150" s="38">
        <f>IFERROR(IF('Май'!$B25=TRUE,1,0),0)</f>
        <v/>
      </c>
      <c r="C150" s="38">
        <f>IFERROR(IF('Май'!$C25=TRUE,1,0),0)</f>
        <v/>
      </c>
      <c r="D150" s="38">
        <f>IFERROR(IF('Май'!$D25=TRUE,1,0),0)</f>
        <v/>
      </c>
      <c r="E150" s="38">
        <f>IFERROR(IF('Май'!$E25=TRUE,1,0),0)</f>
        <v/>
      </c>
      <c r="F150" s="38">
        <f>IFERROR(IF('Май'!$F25=TRUE,1,0),0)</f>
        <v/>
      </c>
      <c r="G150" s="38">
        <f>IFERROR(IF('Май'!$G25=TRUE,1,0),0)</f>
        <v/>
      </c>
      <c r="H150" s="38">
        <f>IFERROR(IF('Май'!$H25=TRUE,1,0),0)</f>
        <v/>
      </c>
      <c r="I150" s="38">
        <f>IF($A150=0,$I149,IF($B150=1,$I149+1,IF($P150&lt;=1,$I149,0)))</f>
        <v/>
      </c>
      <c r="J150" s="38">
        <f>IF($A150=0,$J149,IF($C150=1,$J149+1,IF($Q150&lt;=1,$J149,0)))</f>
        <v/>
      </c>
      <c r="K150" s="38">
        <f>IF($A150=0,$K149,IF($D150=1,$K149+1,IF($R150&lt;=1,$K149,0)))</f>
        <v/>
      </c>
      <c r="L150" s="38">
        <f>IF($A150=0,$L149,IF($E150=1,$L149+1,IF($S150&lt;=1,$L149,0)))</f>
        <v/>
      </c>
      <c r="M150" s="38">
        <f>IF($A150=0,$M149,IF($F150=1,$M149+1,IF($T150&lt;=1,$M149,0)))</f>
        <v/>
      </c>
      <c r="N150" s="38">
        <f>IF($A150=0,$N149,IF($G150=1,$N149+1,IF($U150&lt;=1,$N149,0)))</f>
        <v/>
      </c>
      <c r="O150" s="38">
        <f>IF($A150=0,$O149,IF($H150=1,$O149+1,IF($V150&lt;=1,$O149,0)))</f>
        <v/>
      </c>
      <c r="P150" s="38">
        <f>IF($A150=0,$P149,$P149+IF($B150=1,0,1))</f>
        <v/>
      </c>
      <c r="Q150" s="38">
        <f>IF($A150=0,$Q149,$Q149+IF($C150=1,0,1))</f>
        <v/>
      </c>
      <c r="R150" s="38">
        <f>IF($A150=0,$R149,$R149+IF($D150=1,0,1))</f>
        <v/>
      </c>
      <c r="S150" s="38">
        <f>IF($A150=0,$S149,$S149+IF($E150=1,0,1))</f>
        <v/>
      </c>
      <c r="T150" s="38">
        <f>IF($A150=0,$T149,$T149+IF($F150=1,0,1))</f>
        <v/>
      </c>
      <c r="U150" s="38">
        <f>IF($A150=0,$U149,$U149+IF($G150=1,0,1))</f>
        <v/>
      </c>
      <c r="V150" s="38">
        <f>IF($A150=0,$V149,$V149+IF($H150=1,0,1))</f>
        <v/>
      </c>
      <c r="W150" s="38">
        <f>SUM($B150:$H150)</f>
        <v/>
      </c>
      <c r="X150" s="38">
        <f>IF(AND($A150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150=1),1,0)+IF(AND($G$1=7,$C150=1),1,0)+IF(AND($H$1=7,$D150=1),1,0)+IF(AND($I$1=7,$E150=1),1,0)+IF(AND($J$1=7,$F150=1),1,0)+IF(AND($K$1=7,$G150=1),1,0)+IF(AND($L$1=7,$H150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0" s="38">
        <f>IF($B150=1,IF($F$1&lt;7,10,IF(AND($F$1=7,$I149=0,$P149&gt;1),15,IF($I149&gt;=20,15,IF($I149&gt;=6,13,10)))),0)+IF($C150=1,IF($G$1&lt;7,10,IF(AND($G$1=7,$J149=0,$Q149&gt;1),15,IF($J149&gt;=20,15,IF($J149&gt;=6,13,10)))),0)+IF($D150=1,IF($H$1&lt;7,10,IF(AND($H$1=7,$K149=0,$R149&gt;1),15,IF($K149&gt;=20,15,IF($K149&gt;=6,13,10)))),0)+IF($E150=1,IF($I$1&lt;7,10,IF(AND($I$1=7,$L149=0,$S149&gt;1),15,IF($L149&gt;=20,15,IF($L149&gt;=6,13,10)))),0)+IF($F150=1,IF($J$1&lt;7,10,IF(AND($J$1=7,$M149=0,$T149&gt;1),15,IF($M149&gt;=20,15,IF($M149&gt;=6,13,10)))),0)+IF($G150=1,IF($K$1&lt;7,10,IF(AND($K$1=7,$N149=0,$U149&gt;1),15,IF($N149&gt;=20,15,IF($N149&gt;=6,13,10)))),0)+IF($H150=1,IF($L$1&lt;7,10,IF(AND($L$1=7,$O149=0,$V149&gt;1),15,IF($O149&gt;=20,15,IF($O149&gt;=6,13,10)))),0)</f>
        <v/>
      </c>
      <c r="Z150" s="38">
        <f>$Z149+$Y150</f>
        <v/>
      </c>
      <c r="AA150" s="38">
        <f>IF(AND($B150=1,AND($F$1=7,$I149=0,$P149&gt;1)),1,0)+IF(AND($C150=1,AND($G$1=7,$J149=0,$Q149&gt;1)),1,0)+IF(AND($D150=1,AND($H$1=7,$K149=0,$R149&gt;1)),1,0)+IF(AND($E150=1,AND($I$1=7,$L149=0,$S149&gt;1)),1,0)+IF(AND($F150=1,AND($J$1=7,$M149=0,$T149&gt;1)),1,0)+IF(AND($G150=1,AND($K$1=7,$N149=0,$U149&gt;1)),1,0)+IF(AND($H150=1,AND($L$1=7,$O149=0,$V149&gt;1)),1,0)</f>
        <v/>
      </c>
      <c r="AB150" s="38">
        <f>IF(IFERROR('Май'!$I25,"")="",0,$AB149+1)</f>
        <v/>
      </c>
    </row>
    <row r="151" spans="1:28">
      <c r="A151" s="38">
        <f>IF($B$1&gt;=DATE(2026,5,21),1,0)</f>
        <v/>
      </c>
      <c r="B151" s="38">
        <f>IFERROR(IF('Май'!$B26=TRUE,1,0),0)</f>
        <v/>
      </c>
      <c r="C151" s="38">
        <f>IFERROR(IF('Май'!$C26=TRUE,1,0),0)</f>
        <v/>
      </c>
      <c r="D151" s="38">
        <f>IFERROR(IF('Май'!$D26=TRUE,1,0),0)</f>
        <v/>
      </c>
      <c r="E151" s="38">
        <f>IFERROR(IF('Май'!$E26=TRUE,1,0),0)</f>
        <v/>
      </c>
      <c r="F151" s="38">
        <f>IFERROR(IF('Май'!$F26=TRUE,1,0),0)</f>
        <v/>
      </c>
      <c r="G151" s="38">
        <f>IFERROR(IF('Май'!$G26=TRUE,1,0),0)</f>
        <v/>
      </c>
      <c r="H151" s="38">
        <f>IFERROR(IF('Май'!$H26=TRUE,1,0),0)</f>
        <v/>
      </c>
      <c r="I151" s="38">
        <f>IF($A151=0,$I150,IF($B151=1,$I150+1,IF($P151&lt;=1,$I150,0)))</f>
        <v/>
      </c>
      <c r="J151" s="38">
        <f>IF($A151=0,$J150,IF($C151=1,$J150+1,IF($Q151&lt;=1,$J150,0)))</f>
        <v/>
      </c>
      <c r="K151" s="38">
        <f>IF($A151=0,$K150,IF($D151=1,$K150+1,IF($R151&lt;=1,$K150,0)))</f>
        <v/>
      </c>
      <c r="L151" s="38">
        <f>IF($A151=0,$L150,IF($E151=1,$L150+1,IF($S151&lt;=1,$L150,0)))</f>
        <v/>
      </c>
      <c r="M151" s="38">
        <f>IF($A151=0,$M150,IF($F151=1,$M150+1,IF($T151&lt;=1,$M150,0)))</f>
        <v/>
      </c>
      <c r="N151" s="38">
        <f>IF($A151=0,$N150,IF($G151=1,$N150+1,IF($U151&lt;=1,$N150,0)))</f>
        <v/>
      </c>
      <c r="O151" s="38">
        <f>IF($A151=0,$O150,IF($H151=1,$O150+1,IF($V151&lt;=1,$O150,0)))</f>
        <v/>
      </c>
      <c r="P151" s="38">
        <f>IF($A151=0,$P150,$P150+IF($B151=1,0,1))</f>
        <v/>
      </c>
      <c r="Q151" s="38">
        <f>IF($A151=0,$Q150,$Q150+IF($C151=1,0,1))</f>
        <v/>
      </c>
      <c r="R151" s="38">
        <f>IF($A151=0,$R150,$R150+IF($D151=1,0,1))</f>
        <v/>
      </c>
      <c r="S151" s="38">
        <f>IF($A151=0,$S150,$S150+IF($E151=1,0,1))</f>
        <v/>
      </c>
      <c r="T151" s="38">
        <f>IF($A151=0,$T150,$T150+IF($F151=1,0,1))</f>
        <v/>
      </c>
      <c r="U151" s="38">
        <f>IF($A151=0,$U150,$U150+IF($G151=1,0,1))</f>
        <v/>
      </c>
      <c r="V151" s="38">
        <f>IF($A151=0,$V150,$V150+IF($H151=1,0,1))</f>
        <v/>
      </c>
      <c r="W151" s="38">
        <f>SUM($B151:$H151)</f>
        <v/>
      </c>
      <c r="X151" s="38">
        <f>IF(AND($A151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151=1),1,0)+IF(AND($G$1=7,$C151=1),1,0)+IF(AND($H$1=7,$D151=1),1,0)+IF(AND($I$1=7,$E151=1),1,0)+IF(AND($J$1=7,$F151=1),1,0)+IF(AND($K$1=7,$G151=1),1,0)+IF(AND($L$1=7,$H151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1" s="38">
        <f>IF($B151=1,IF($F$1&lt;7,10,IF(AND($F$1=7,$I150=0,$P150&gt;1),15,IF($I150&gt;=20,15,IF($I150&gt;=6,13,10)))),0)+IF($C151=1,IF($G$1&lt;7,10,IF(AND($G$1=7,$J150=0,$Q150&gt;1),15,IF($J150&gt;=20,15,IF($J150&gt;=6,13,10)))),0)+IF($D151=1,IF($H$1&lt;7,10,IF(AND($H$1=7,$K150=0,$R150&gt;1),15,IF($K150&gt;=20,15,IF($K150&gt;=6,13,10)))),0)+IF($E151=1,IF($I$1&lt;7,10,IF(AND($I$1=7,$L150=0,$S150&gt;1),15,IF($L150&gt;=20,15,IF($L150&gt;=6,13,10)))),0)+IF($F151=1,IF($J$1&lt;7,10,IF(AND($J$1=7,$M150=0,$T150&gt;1),15,IF($M150&gt;=20,15,IF($M150&gt;=6,13,10)))),0)+IF($G151=1,IF($K$1&lt;7,10,IF(AND($K$1=7,$N150=0,$U150&gt;1),15,IF($N150&gt;=20,15,IF($N150&gt;=6,13,10)))),0)+IF($H151=1,IF($L$1&lt;7,10,IF(AND($L$1=7,$O150=0,$V150&gt;1),15,IF($O150&gt;=20,15,IF($O150&gt;=6,13,10)))),0)</f>
        <v/>
      </c>
      <c r="Z151" s="38">
        <f>$Z150+$Y151</f>
        <v/>
      </c>
      <c r="AA151" s="38">
        <f>IF(AND($B151=1,AND($F$1=7,$I150=0,$P150&gt;1)),1,0)+IF(AND($C151=1,AND($G$1=7,$J150=0,$Q150&gt;1)),1,0)+IF(AND($D151=1,AND($H$1=7,$K150=0,$R150&gt;1)),1,0)+IF(AND($E151=1,AND($I$1=7,$L150=0,$S150&gt;1)),1,0)+IF(AND($F151=1,AND($J$1=7,$M150=0,$T150&gt;1)),1,0)+IF(AND($G151=1,AND($K$1=7,$N150=0,$U150&gt;1)),1,0)+IF(AND($H151=1,AND($L$1=7,$O150=0,$V150&gt;1)),1,0)</f>
        <v/>
      </c>
      <c r="AB151" s="38">
        <f>IF(IFERROR('Май'!$I26,"")="",0,$AB150+1)</f>
        <v/>
      </c>
    </row>
    <row r="152" spans="1:28">
      <c r="A152" s="38">
        <f>IF($B$1&gt;=DATE(2026,5,22),1,0)</f>
        <v/>
      </c>
      <c r="B152" s="38">
        <f>IFERROR(IF('Май'!$B27=TRUE,1,0),0)</f>
        <v/>
      </c>
      <c r="C152" s="38">
        <f>IFERROR(IF('Май'!$C27=TRUE,1,0),0)</f>
        <v/>
      </c>
      <c r="D152" s="38">
        <f>IFERROR(IF('Май'!$D27=TRUE,1,0),0)</f>
        <v/>
      </c>
      <c r="E152" s="38">
        <f>IFERROR(IF('Май'!$E27=TRUE,1,0),0)</f>
        <v/>
      </c>
      <c r="F152" s="38">
        <f>IFERROR(IF('Май'!$F27=TRUE,1,0),0)</f>
        <v/>
      </c>
      <c r="G152" s="38">
        <f>IFERROR(IF('Май'!$G27=TRUE,1,0),0)</f>
        <v/>
      </c>
      <c r="H152" s="38">
        <f>IFERROR(IF('Май'!$H27=TRUE,1,0),0)</f>
        <v/>
      </c>
      <c r="I152" s="38">
        <f>IF($A152=0,$I151,IF($B152=1,$I151+1,IF($P152&lt;=1,$I151,0)))</f>
        <v/>
      </c>
      <c r="J152" s="38">
        <f>IF($A152=0,$J151,IF($C152=1,$J151+1,IF($Q152&lt;=1,$J151,0)))</f>
        <v/>
      </c>
      <c r="K152" s="38">
        <f>IF($A152=0,$K151,IF($D152=1,$K151+1,IF($R152&lt;=1,$K151,0)))</f>
        <v/>
      </c>
      <c r="L152" s="38">
        <f>IF($A152=0,$L151,IF($E152=1,$L151+1,IF($S152&lt;=1,$L151,0)))</f>
        <v/>
      </c>
      <c r="M152" s="38">
        <f>IF($A152=0,$M151,IF($F152=1,$M151+1,IF($T152&lt;=1,$M151,0)))</f>
        <v/>
      </c>
      <c r="N152" s="38">
        <f>IF($A152=0,$N151,IF($G152=1,$N151+1,IF($U152&lt;=1,$N151,0)))</f>
        <v/>
      </c>
      <c r="O152" s="38">
        <f>IF($A152=0,$O151,IF($H152=1,$O151+1,IF($V152&lt;=1,$O151,0)))</f>
        <v/>
      </c>
      <c r="P152" s="38">
        <f>IF($A152=0,$P151,$P151+IF($B152=1,0,1))</f>
        <v/>
      </c>
      <c r="Q152" s="38">
        <f>IF($A152=0,$Q151,$Q151+IF($C152=1,0,1))</f>
        <v/>
      </c>
      <c r="R152" s="38">
        <f>IF($A152=0,$R151,$R151+IF($D152=1,0,1))</f>
        <v/>
      </c>
      <c r="S152" s="38">
        <f>IF($A152=0,$S151,$S151+IF($E152=1,0,1))</f>
        <v/>
      </c>
      <c r="T152" s="38">
        <f>IF($A152=0,$T151,$T151+IF($F152=1,0,1))</f>
        <v/>
      </c>
      <c r="U152" s="38">
        <f>IF($A152=0,$U151,$U151+IF($G152=1,0,1))</f>
        <v/>
      </c>
      <c r="V152" s="38">
        <f>IF($A152=0,$V151,$V151+IF($H152=1,0,1))</f>
        <v/>
      </c>
      <c r="W152" s="38">
        <f>SUM($B152:$H152)</f>
        <v/>
      </c>
      <c r="X152" s="38">
        <f>IF(AND($A152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152=1),1,0)+IF(AND($G$1=7,$C152=1),1,0)+IF(AND($H$1=7,$D152=1),1,0)+IF(AND($I$1=7,$E152=1),1,0)+IF(AND($J$1=7,$F152=1),1,0)+IF(AND($K$1=7,$G152=1),1,0)+IF(AND($L$1=7,$H152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2" s="38">
        <f>IF($B152=1,IF($F$1&lt;7,10,IF(AND($F$1=7,$I151=0,$P151&gt;1),15,IF($I151&gt;=20,15,IF($I151&gt;=6,13,10)))),0)+IF($C152=1,IF($G$1&lt;7,10,IF(AND($G$1=7,$J151=0,$Q151&gt;1),15,IF($J151&gt;=20,15,IF($J151&gt;=6,13,10)))),0)+IF($D152=1,IF($H$1&lt;7,10,IF(AND($H$1=7,$K151=0,$R151&gt;1),15,IF($K151&gt;=20,15,IF($K151&gt;=6,13,10)))),0)+IF($E152=1,IF($I$1&lt;7,10,IF(AND($I$1=7,$L151=0,$S151&gt;1),15,IF($L151&gt;=20,15,IF($L151&gt;=6,13,10)))),0)+IF($F152=1,IF($J$1&lt;7,10,IF(AND($J$1=7,$M151=0,$T151&gt;1),15,IF($M151&gt;=20,15,IF($M151&gt;=6,13,10)))),0)+IF($G152=1,IF($K$1&lt;7,10,IF(AND($K$1=7,$N151=0,$U151&gt;1),15,IF($N151&gt;=20,15,IF($N151&gt;=6,13,10)))),0)+IF($H152=1,IF($L$1&lt;7,10,IF(AND($L$1=7,$O151=0,$V151&gt;1),15,IF($O151&gt;=20,15,IF($O151&gt;=6,13,10)))),0)</f>
        <v/>
      </c>
      <c r="Z152" s="38">
        <f>$Z151+$Y152</f>
        <v/>
      </c>
      <c r="AA152" s="38">
        <f>IF(AND($B152=1,AND($F$1=7,$I151=0,$P151&gt;1)),1,0)+IF(AND($C152=1,AND($G$1=7,$J151=0,$Q151&gt;1)),1,0)+IF(AND($D152=1,AND($H$1=7,$K151=0,$R151&gt;1)),1,0)+IF(AND($E152=1,AND($I$1=7,$L151=0,$S151&gt;1)),1,0)+IF(AND($F152=1,AND($J$1=7,$M151=0,$T151&gt;1)),1,0)+IF(AND($G152=1,AND($K$1=7,$N151=0,$U151&gt;1)),1,0)+IF(AND($H152=1,AND($L$1=7,$O151=0,$V151&gt;1)),1,0)</f>
        <v/>
      </c>
      <c r="AB152" s="38">
        <f>IF(IFERROR('Май'!$I27,"")="",0,$AB151+1)</f>
        <v/>
      </c>
    </row>
    <row r="153" spans="1:28">
      <c r="A153" s="38">
        <f>IF($B$1&gt;=DATE(2026,5,23),1,0)</f>
        <v/>
      </c>
      <c r="B153" s="38">
        <f>IFERROR(IF('Май'!$B28=TRUE,1,0),0)</f>
        <v/>
      </c>
      <c r="C153" s="38">
        <f>IFERROR(IF('Май'!$C28=TRUE,1,0),0)</f>
        <v/>
      </c>
      <c r="D153" s="38">
        <f>IFERROR(IF('Май'!$D28=TRUE,1,0),0)</f>
        <v/>
      </c>
      <c r="E153" s="38">
        <f>IFERROR(IF('Май'!$E28=TRUE,1,0),0)</f>
        <v/>
      </c>
      <c r="F153" s="38">
        <f>IFERROR(IF('Май'!$F28=TRUE,1,0),0)</f>
        <v/>
      </c>
      <c r="G153" s="38">
        <f>IFERROR(IF('Май'!$G28=TRUE,1,0),0)</f>
        <v/>
      </c>
      <c r="H153" s="38">
        <f>IFERROR(IF('Май'!$H28=TRUE,1,0),0)</f>
        <v/>
      </c>
      <c r="I153" s="38">
        <f>IF($A153=0,$I152,IF($B153=1,$I152+1,IF($P153&lt;=1,$I152,0)))</f>
        <v/>
      </c>
      <c r="J153" s="38">
        <f>IF($A153=0,$J152,IF($C153=1,$J152+1,IF($Q153&lt;=1,$J152,0)))</f>
        <v/>
      </c>
      <c r="K153" s="38">
        <f>IF($A153=0,$K152,IF($D153=1,$K152+1,IF($R153&lt;=1,$K152,0)))</f>
        <v/>
      </c>
      <c r="L153" s="38">
        <f>IF($A153=0,$L152,IF($E153=1,$L152+1,IF($S153&lt;=1,$L152,0)))</f>
        <v/>
      </c>
      <c r="M153" s="38">
        <f>IF($A153=0,$M152,IF($F153=1,$M152+1,IF($T153&lt;=1,$M152,0)))</f>
        <v/>
      </c>
      <c r="N153" s="38">
        <f>IF($A153=0,$N152,IF($G153=1,$N152+1,IF($U153&lt;=1,$N152,0)))</f>
        <v/>
      </c>
      <c r="O153" s="38">
        <f>IF($A153=0,$O152,IF($H153=1,$O152+1,IF($V153&lt;=1,$O152,0)))</f>
        <v/>
      </c>
      <c r="P153" s="38">
        <f>IF($A153=0,$P152,$P152+IF($B153=1,0,1))</f>
        <v/>
      </c>
      <c r="Q153" s="38">
        <f>IF($A153=0,$Q152,$Q152+IF($C153=1,0,1))</f>
        <v/>
      </c>
      <c r="R153" s="38">
        <f>IF($A153=0,$R152,$R152+IF($D153=1,0,1))</f>
        <v/>
      </c>
      <c r="S153" s="38">
        <f>IF($A153=0,$S152,$S152+IF($E153=1,0,1))</f>
        <v/>
      </c>
      <c r="T153" s="38">
        <f>IF($A153=0,$T152,$T152+IF($F153=1,0,1))</f>
        <v/>
      </c>
      <c r="U153" s="38">
        <f>IF($A153=0,$U152,$U152+IF($G153=1,0,1))</f>
        <v/>
      </c>
      <c r="V153" s="38">
        <f>IF($A153=0,$V152,$V152+IF($H153=1,0,1))</f>
        <v/>
      </c>
      <c r="W153" s="38">
        <f>SUM($B153:$H153)</f>
        <v/>
      </c>
      <c r="X153" s="38">
        <f>IF(AND($A153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153=1),1,0)+IF(AND($G$1=7,$C153=1),1,0)+IF(AND($H$1=7,$D153=1),1,0)+IF(AND($I$1=7,$E153=1),1,0)+IF(AND($J$1=7,$F153=1),1,0)+IF(AND($K$1=7,$G153=1),1,0)+IF(AND($L$1=7,$H153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3" s="38">
        <f>IF($B153=1,IF($F$1&lt;7,10,IF(AND($F$1=7,$I152=0,$P152&gt;1),15,IF($I152&gt;=20,15,IF($I152&gt;=6,13,10)))),0)+IF($C153=1,IF($G$1&lt;7,10,IF(AND($G$1=7,$J152=0,$Q152&gt;1),15,IF($J152&gt;=20,15,IF($J152&gt;=6,13,10)))),0)+IF($D153=1,IF($H$1&lt;7,10,IF(AND($H$1=7,$K152=0,$R152&gt;1),15,IF($K152&gt;=20,15,IF($K152&gt;=6,13,10)))),0)+IF($E153=1,IF($I$1&lt;7,10,IF(AND($I$1=7,$L152=0,$S152&gt;1),15,IF($L152&gt;=20,15,IF($L152&gt;=6,13,10)))),0)+IF($F153=1,IF($J$1&lt;7,10,IF(AND($J$1=7,$M152=0,$T152&gt;1),15,IF($M152&gt;=20,15,IF($M152&gt;=6,13,10)))),0)+IF($G153=1,IF($K$1&lt;7,10,IF(AND($K$1=7,$N152=0,$U152&gt;1),15,IF($N152&gt;=20,15,IF($N152&gt;=6,13,10)))),0)+IF($H153=1,IF($L$1&lt;7,10,IF(AND($L$1=7,$O152=0,$V152&gt;1),15,IF($O152&gt;=20,15,IF($O152&gt;=6,13,10)))),0)</f>
        <v/>
      </c>
      <c r="Z153" s="38">
        <f>$Z152+$Y153</f>
        <v/>
      </c>
      <c r="AA153" s="38">
        <f>IF(AND($B153=1,AND($F$1=7,$I152=0,$P152&gt;1)),1,0)+IF(AND($C153=1,AND($G$1=7,$J152=0,$Q152&gt;1)),1,0)+IF(AND($D153=1,AND($H$1=7,$K152=0,$R152&gt;1)),1,0)+IF(AND($E153=1,AND($I$1=7,$L152=0,$S152&gt;1)),1,0)+IF(AND($F153=1,AND($J$1=7,$M152=0,$T152&gt;1)),1,0)+IF(AND($G153=1,AND($K$1=7,$N152=0,$U152&gt;1)),1,0)+IF(AND($H153=1,AND($L$1=7,$O152=0,$V152&gt;1)),1,0)</f>
        <v/>
      </c>
      <c r="AB153" s="38">
        <f>IF(IFERROR('Май'!$I28,"")="",0,$AB152+1)</f>
        <v/>
      </c>
    </row>
    <row r="154" spans="1:28">
      <c r="A154" s="38">
        <f>IF($B$1&gt;=DATE(2026,5,24),1,0)</f>
        <v/>
      </c>
      <c r="B154" s="38">
        <f>IFERROR(IF('Май'!$B29=TRUE,1,0),0)</f>
        <v/>
      </c>
      <c r="C154" s="38">
        <f>IFERROR(IF('Май'!$C29=TRUE,1,0),0)</f>
        <v/>
      </c>
      <c r="D154" s="38">
        <f>IFERROR(IF('Май'!$D29=TRUE,1,0),0)</f>
        <v/>
      </c>
      <c r="E154" s="38">
        <f>IFERROR(IF('Май'!$E29=TRUE,1,0),0)</f>
        <v/>
      </c>
      <c r="F154" s="38">
        <f>IFERROR(IF('Май'!$F29=TRUE,1,0),0)</f>
        <v/>
      </c>
      <c r="G154" s="38">
        <f>IFERROR(IF('Май'!$G29=TRUE,1,0),0)</f>
        <v/>
      </c>
      <c r="H154" s="38">
        <f>IFERROR(IF('Май'!$H29=TRUE,1,0),0)</f>
        <v/>
      </c>
      <c r="I154" s="38">
        <f>IF($A154=0,$I153,IF($B154=1,$I153+1,IF($P154&lt;=1,$I153,0)))</f>
        <v/>
      </c>
      <c r="J154" s="38">
        <f>IF($A154=0,$J153,IF($C154=1,$J153+1,IF($Q154&lt;=1,$J153,0)))</f>
        <v/>
      </c>
      <c r="K154" s="38">
        <f>IF($A154=0,$K153,IF($D154=1,$K153+1,IF($R154&lt;=1,$K153,0)))</f>
        <v/>
      </c>
      <c r="L154" s="38">
        <f>IF($A154=0,$L153,IF($E154=1,$L153+1,IF($S154&lt;=1,$L153,0)))</f>
        <v/>
      </c>
      <c r="M154" s="38">
        <f>IF($A154=0,$M153,IF($F154=1,$M153+1,IF($T154&lt;=1,$M153,0)))</f>
        <v/>
      </c>
      <c r="N154" s="38">
        <f>IF($A154=0,$N153,IF($G154=1,$N153+1,IF($U154&lt;=1,$N153,0)))</f>
        <v/>
      </c>
      <c r="O154" s="38">
        <f>IF($A154=0,$O153,IF($H154=1,$O153+1,IF($V154&lt;=1,$O153,0)))</f>
        <v/>
      </c>
      <c r="P154" s="38">
        <f>IF($A154=0,$P153,$P153+IF($B154=1,0,1))</f>
        <v/>
      </c>
      <c r="Q154" s="38">
        <f>IF($A154=0,$Q153,$Q153+IF($C154=1,0,1))</f>
        <v/>
      </c>
      <c r="R154" s="38">
        <f>IF($A154=0,$R153,$R153+IF($D154=1,0,1))</f>
        <v/>
      </c>
      <c r="S154" s="38">
        <f>IF($A154=0,$S153,$S153+IF($E154=1,0,1))</f>
        <v/>
      </c>
      <c r="T154" s="38">
        <f>IF($A154=0,$T153,$T153+IF($F154=1,0,1))</f>
        <v/>
      </c>
      <c r="U154" s="38">
        <f>IF($A154=0,$U153,$U153+IF($G154=1,0,1))</f>
        <v/>
      </c>
      <c r="V154" s="38">
        <f>IF($A154=0,$V153,$V153+IF($H154=1,0,1))</f>
        <v/>
      </c>
      <c r="W154" s="38">
        <f>SUM($B154:$H154)</f>
        <v/>
      </c>
      <c r="X154" s="38">
        <f>IF(AND($A154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154=1),1,0)+IF(AND($G$1=7,$C154=1),1,0)+IF(AND($H$1=7,$D154=1),1,0)+IF(AND($I$1=7,$E154=1),1,0)+IF(AND($J$1=7,$F154=1),1,0)+IF(AND($K$1=7,$G154=1),1,0)+IF(AND($L$1=7,$H154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4" s="38">
        <f>IF($B154=1,IF($F$1&lt;7,10,IF(AND($F$1=7,$I153=0,$P153&gt;1),15,IF($I153&gt;=20,15,IF($I153&gt;=6,13,10)))),0)+IF($C154=1,IF($G$1&lt;7,10,IF(AND($G$1=7,$J153=0,$Q153&gt;1),15,IF($J153&gt;=20,15,IF($J153&gt;=6,13,10)))),0)+IF($D154=1,IF($H$1&lt;7,10,IF(AND($H$1=7,$K153=0,$R153&gt;1),15,IF($K153&gt;=20,15,IF($K153&gt;=6,13,10)))),0)+IF($E154=1,IF($I$1&lt;7,10,IF(AND($I$1=7,$L153=0,$S153&gt;1),15,IF($L153&gt;=20,15,IF($L153&gt;=6,13,10)))),0)+IF($F154=1,IF($J$1&lt;7,10,IF(AND($J$1=7,$M153=0,$T153&gt;1),15,IF($M153&gt;=20,15,IF($M153&gt;=6,13,10)))),0)+IF($G154=1,IF($K$1&lt;7,10,IF(AND($K$1=7,$N153=0,$U153&gt;1),15,IF($N153&gt;=20,15,IF($N153&gt;=6,13,10)))),0)+IF($H154=1,IF($L$1&lt;7,10,IF(AND($L$1=7,$O153=0,$V153&gt;1),15,IF($O153&gt;=20,15,IF($O153&gt;=6,13,10)))),0)</f>
        <v/>
      </c>
      <c r="Z154" s="38">
        <f>$Z153+$Y154</f>
        <v/>
      </c>
      <c r="AA154" s="38">
        <f>IF(AND($B154=1,AND($F$1=7,$I153=0,$P153&gt;1)),1,0)+IF(AND($C154=1,AND($G$1=7,$J153=0,$Q153&gt;1)),1,0)+IF(AND($D154=1,AND($H$1=7,$K153=0,$R153&gt;1)),1,0)+IF(AND($E154=1,AND($I$1=7,$L153=0,$S153&gt;1)),1,0)+IF(AND($F154=1,AND($J$1=7,$M153=0,$T153&gt;1)),1,0)+IF(AND($G154=1,AND($K$1=7,$N153=0,$U153&gt;1)),1,0)+IF(AND($H154=1,AND($L$1=7,$O153=0,$V153&gt;1)),1,0)</f>
        <v/>
      </c>
      <c r="AB154" s="38">
        <f>IF(IFERROR('Май'!$I29,"")="",0,$AB153+1)</f>
        <v/>
      </c>
    </row>
    <row r="155" spans="1:28">
      <c r="A155" s="38">
        <f>IF($B$1&gt;=DATE(2026,5,25),1,0)</f>
        <v/>
      </c>
      <c r="B155" s="38">
        <f>IFERROR(IF('Май'!$B30=TRUE,1,0),0)</f>
        <v/>
      </c>
      <c r="C155" s="38">
        <f>IFERROR(IF('Май'!$C30=TRUE,1,0),0)</f>
        <v/>
      </c>
      <c r="D155" s="38">
        <f>IFERROR(IF('Май'!$D30=TRUE,1,0),0)</f>
        <v/>
      </c>
      <c r="E155" s="38">
        <f>IFERROR(IF('Май'!$E30=TRUE,1,0),0)</f>
        <v/>
      </c>
      <c r="F155" s="38">
        <f>IFERROR(IF('Май'!$F30=TRUE,1,0),0)</f>
        <v/>
      </c>
      <c r="G155" s="38">
        <f>IFERROR(IF('Май'!$G30=TRUE,1,0),0)</f>
        <v/>
      </c>
      <c r="H155" s="38">
        <f>IFERROR(IF('Май'!$H30=TRUE,1,0),0)</f>
        <v/>
      </c>
      <c r="I155" s="38">
        <f>IF($A155=0,$I154,IF($B155=1,$I154+1,IF($P155&lt;=1,$I154,0)))</f>
        <v/>
      </c>
      <c r="J155" s="38">
        <f>IF($A155=0,$J154,IF($C155=1,$J154+1,IF($Q155&lt;=1,$J154,0)))</f>
        <v/>
      </c>
      <c r="K155" s="38">
        <f>IF($A155=0,$K154,IF($D155=1,$K154+1,IF($R155&lt;=1,$K154,0)))</f>
        <v/>
      </c>
      <c r="L155" s="38">
        <f>IF($A155=0,$L154,IF($E155=1,$L154+1,IF($S155&lt;=1,$L154,0)))</f>
        <v/>
      </c>
      <c r="M155" s="38">
        <f>IF($A155=0,$M154,IF($F155=1,$M154+1,IF($T155&lt;=1,$M154,0)))</f>
        <v/>
      </c>
      <c r="N155" s="38">
        <f>IF($A155=0,$N154,IF($G155=1,$N154+1,IF($U155&lt;=1,$N154,0)))</f>
        <v/>
      </c>
      <c r="O155" s="38">
        <f>IF($A155=0,$O154,IF($H155=1,$O154+1,IF($V155&lt;=1,$O154,0)))</f>
        <v/>
      </c>
      <c r="P155" s="38">
        <f>IF($A155=0,$P154,$P154+IF($B155=1,0,1))</f>
        <v/>
      </c>
      <c r="Q155" s="38">
        <f>IF($A155=0,$Q154,$Q154+IF($C155=1,0,1))</f>
        <v/>
      </c>
      <c r="R155" s="38">
        <f>IF($A155=0,$R154,$R154+IF($D155=1,0,1))</f>
        <v/>
      </c>
      <c r="S155" s="38">
        <f>IF($A155=0,$S154,$S154+IF($E155=1,0,1))</f>
        <v/>
      </c>
      <c r="T155" s="38">
        <f>IF($A155=0,$T154,$T154+IF($F155=1,0,1))</f>
        <v/>
      </c>
      <c r="U155" s="38">
        <f>IF($A155=0,$U154,$U154+IF($G155=1,0,1))</f>
        <v/>
      </c>
      <c r="V155" s="38">
        <f>IF($A155=0,$V154,$V154+IF($H155=1,0,1))</f>
        <v/>
      </c>
      <c r="W155" s="38">
        <f>SUM($B155:$H155)</f>
        <v/>
      </c>
      <c r="X155" s="38">
        <f>IF(AND($A155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155=1),1,0)+IF(AND($G$1=7,$C155=1),1,0)+IF(AND($H$1=7,$D155=1),1,0)+IF(AND($I$1=7,$E155=1),1,0)+IF(AND($J$1=7,$F155=1),1,0)+IF(AND($K$1=7,$G155=1),1,0)+IF(AND($L$1=7,$H155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5" s="38">
        <f>IF($B155=1,IF($F$1&lt;7,10,IF(AND($F$1=7,$I154=0,$P154&gt;1),15,IF($I154&gt;=20,15,IF($I154&gt;=6,13,10)))),0)+IF($C155=1,IF($G$1&lt;7,10,IF(AND($G$1=7,$J154=0,$Q154&gt;1),15,IF($J154&gt;=20,15,IF($J154&gt;=6,13,10)))),0)+IF($D155=1,IF($H$1&lt;7,10,IF(AND($H$1=7,$K154=0,$R154&gt;1),15,IF($K154&gt;=20,15,IF($K154&gt;=6,13,10)))),0)+IF($E155=1,IF($I$1&lt;7,10,IF(AND($I$1=7,$L154=0,$S154&gt;1),15,IF($L154&gt;=20,15,IF($L154&gt;=6,13,10)))),0)+IF($F155=1,IF($J$1&lt;7,10,IF(AND($J$1=7,$M154=0,$T154&gt;1),15,IF($M154&gt;=20,15,IF($M154&gt;=6,13,10)))),0)+IF($G155=1,IF($K$1&lt;7,10,IF(AND($K$1=7,$N154=0,$U154&gt;1),15,IF($N154&gt;=20,15,IF($N154&gt;=6,13,10)))),0)+IF($H155=1,IF($L$1&lt;7,10,IF(AND($L$1=7,$O154=0,$V154&gt;1),15,IF($O154&gt;=20,15,IF($O154&gt;=6,13,10)))),0)</f>
        <v/>
      </c>
      <c r="Z155" s="38">
        <f>$Z154+$Y155</f>
        <v/>
      </c>
      <c r="AA155" s="38">
        <f>IF(AND($B155=1,AND($F$1=7,$I154=0,$P154&gt;1)),1,0)+IF(AND($C155=1,AND($G$1=7,$J154=0,$Q154&gt;1)),1,0)+IF(AND($D155=1,AND($H$1=7,$K154=0,$R154&gt;1)),1,0)+IF(AND($E155=1,AND($I$1=7,$L154=0,$S154&gt;1)),1,0)+IF(AND($F155=1,AND($J$1=7,$M154=0,$T154&gt;1)),1,0)+IF(AND($G155=1,AND($K$1=7,$N154=0,$U154&gt;1)),1,0)+IF(AND($H155=1,AND($L$1=7,$O154=0,$V154&gt;1)),1,0)</f>
        <v/>
      </c>
      <c r="AB155" s="38">
        <f>IF(IFERROR('Май'!$I30,"")="",0,$AB154+1)</f>
        <v/>
      </c>
    </row>
    <row r="156" spans="1:28">
      <c r="A156" s="38">
        <f>IF($B$1&gt;=DATE(2026,5,26),1,0)</f>
        <v/>
      </c>
      <c r="B156" s="38">
        <f>IFERROR(IF('Май'!$B31=TRUE,1,0),0)</f>
        <v/>
      </c>
      <c r="C156" s="38">
        <f>IFERROR(IF('Май'!$C31=TRUE,1,0),0)</f>
        <v/>
      </c>
      <c r="D156" s="38">
        <f>IFERROR(IF('Май'!$D31=TRUE,1,0),0)</f>
        <v/>
      </c>
      <c r="E156" s="38">
        <f>IFERROR(IF('Май'!$E31=TRUE,1,0),0)</f>
        <v/>
      </c>
      <c r="F156" s="38">
        <f>IFERROR(IF('Май'!$F31=TRUE,1,0),0)</f>
        <v/>
      </c>
      <c r="G156" s="38">
        <f>IFERROR(IF('Май'!$G31=TRUE,1,0),0)</f>
        <v/>
      </c>
      <c r="H156" s="38">
        <f>IFERROR(IF('Май'!$H31=TRUE,1,0),0)</f>
        <v/>
      </c>
      <c r="I156" s="38">
        <f>IF($A156=0,$I155,IF($B156=1,$I155+1,IF($P156&lt;=1,$I155,0)))</f>
        <v/>
      </c>
      <c r="J156" s="38">
        <f>IF($A156=0,$J155,IF($C156=1,$J155+1,IF($Q156&lt;=1,$J155,0)))</f>
        <v/>
      </c>
      <c r="K156" s="38">
        <f>IF($A156=0,$K155,IF($D156=1,$K155+1,IF($R156&lt;=1,$K155,0)))</f>
        <v/>
      </c>
      <c r="L156" s="38">
        <f>IF($A156=0,$L155,IF($E156=1,$L155+1,IF($S156&lt;=1,$L155,0)))</f>
        <v/>
      </c>
      <c r="M156" s="38">
        <f>IF($A156=0,$M155,IF($F156=1,$M155+1,IF($T156&lt;=1,$M155,0)))</f>
        <v/>
      </c>
      <c r="N156" s="38">
        <f>IF($A156=0,$N155,IF($G156=1,$N155+1,IF($U156&lt;=1,$N155,0)))</f>
        <v/>
      </c>
      <c r="O156" s="38">
        <f>IF($A156=0,$O155,IF($H156=1,$O155+1,IF($V156&lt;=1,$O155,0)))</f>
        <v/>
      </c>
      <c r="P156" s="38">
        <f>IF($A156=0,$P155,$P155+IF($B156=1,0,1))</f>
        <v/>
      </c>
      <c r="Q156" s="38">
        <f>IF($A156=0,$Q155,$Q155+IF($C156=1,0,1))</f>
        <v/>
      </c>
      <c r="R156" s="38">
        <f>IF($A156=0,$R155,$R155+IF($D156=1,0,1))</f>
        <v/>
      </c>
      <c r="S156" s="38">
        <f>IF($A156=0,$S155,$S155+IF($E156=1,0,1))</f>
        <v/>
      </c>
      <c r="T156" s="38">
        <f>IF($A156=0,$T155,$T155+IF($F156=1,0,1))</f>
        <v/>
      </c>
      <c r="U156" s="38">
        <f>IF($A156=0,$U155,$U155+IF($G156=1,0,1))</f>
        <v/>
      </c>
      <c r="V156" s="38">
        <f>IF($A156=0,$V155,$V155+IF($H156=1,0,1))</f>
        <v/>
      </c>
      <c r="W156" s="38">
        <f>SUM($B156:$H156)</f>
        <v/>
      </c>
      <c r="X156" s="38">
        <f>IF(AND($A156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156=1),1,0)+IF(AND($G$1=7,$C156=1),1,0)+IF(AND($H$1=7,$D156=1),1,0)+IF(AND($I$1=7,$E156=1),1,0)+IF(AND($J$1=7,$F156=1),1,0)+IF(AND($K$1=7,$G156=1),1,0)+IF(AND($L$1=7,$H156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6" s="38">
        <f>IF($B156=1,IF($F$1&lt;7,10,IF(AND($F$1=7,$I155=0,$P155&gt;1),15,IF($I155&gt;=20,15,IF($I155&gt;=6,13,10)))),0)+IF($C156=1,IF($G$1&lt;7,10,IF(AND($G$1=7,$J155=0,$Q155&gt;1),15,IF($J155&gt;=20,15,IF($J155&gt;=6,13,10)))),0)+IF($D156=1,IF($H$1&lt;7,10,IF(AND($H$1=7,$K155=0,$R155&gt;1),15,IF($K155&gt;=20,15,IF($K155&gt;=6,13,10)))),0)+IF($E156=1,IF($I$1&lt;7,10,IF(AND($I$1=7,$L155=0,$S155&gt;1),15,IF($L155&gt;=20,15,IF($L155&gt;=6,13,10)))),0)+IF($F156=1,IF($J$1&lt;7,10,IF(AND($J$1=7,$M155=0,$T155&gt;1),15,IF($M155&gt;=20,15,IF($M155&gt;=6,13,10)))),0)+IF($G156=1,IF($K$1&lt;7,10,IF(AND($K$1=7,$N155=0,$U155&gt;1),15,IF($N155&gt;=20,15,IF($N155&gt;=6,13,10)))),0)+IF($H156=1,IF($L$1&lt;7,10,IF(AND($L$1=7,$O155=0,$V155&gt;1),15,IF($O155&gt;=20,15,IF($O155&gt;=6,13,10)))),0)</f>
        <v/>
      </c>
      <c r="Z156" s="38">
        <f>$Z155+$Y156</f>
        <v/>
      </c>
      <c r="AA156" s="38">
        <f>IF(AND($B156=1,AND($F$1=7,$I155=0,$P155&gt;1)),1,0)+IF(AND($C156=1,AND($G$1=7,$J155=0,$Q155&gt;1)),1,0)+IF(AND($D156=1,AND($H$1=7,$K155=0,$R155&gt;1)),1,0)+IF(AND($E156=1,AND($I$1=7,$L155=0,$S155&gt;1)),1,0)+IF(AND($F156=1,AND($J$1=7,$M155=0,$T155&gt;1)),1,0)+IF(AND($G156=1,AND($K$1=7,$N155=0,$U155&gt;1)),1,0)+IF(AND($H156=1,AND($L$1=7,$O155=0,$V155&gt;1)),1,0)</f>
        <v/>
      </c>
      <c r="AB156" s="38">
        <f>IF(IFERROR('Май'!$I31,"")="",0,$AB155+1)</f>
        <v/>
      </c>
    </row>
    <row r="157" spans="1:28">
      <c r="A157" s="38">
        <f>IF($B$1&gt;=DATE(2026,5,27),1,0)</f>
        <v/>
      </c>
      <c r="B157" s="38">
        <f>IFERROR(IF('Май'!$B32=TRUE,1,0),0)</f>
        <v/>
      </c>
      <c r="C157" s="38">
        <f>IFERROR(IF('Май'!$C32=TRUE,1,0),0)</f>
        <v/>
      </c>
      <c r="D157" s="38">
        <f>IFERROR(IF('Май'!$D32=TRUE,1,0),0)</f>
        <v/>
      </c>
      <c r="E157" s="38">
        <f>IFERROR(IF('Май'!$E32=TRUE,1,0),0)</f>
        <v/>
      </c>
      <c r="F157" s="38">
        <f>IFERROR(IF('Май'!$F32=TRUE,1,0),0)</f>
        <v/>
      </c>
      <c r="G157" s="38">
        <f>IFERROR(IF('Май'!$G32=TRUE,1,0),0)</f>
        <v/>
      </c>
      <c r="H157" s="38">
        <f>IFERROR(IF('Май'!$H32=TRUE,1,0),0)</f>
        <v/>
      </c>
      <c r="I157" s="38">
        <f>IF($A157=0,$I156,IF($B157=1,$I156+1,IF($P157&lt;=1,$I156,0)))</f>
        <v/>
      </c>
      <c r="J157" s="38">
        <f>IF($A157=0,$J156,IF($C157=1,$J156+1,IF($Q157&lt;=1,$J156,0)))</f>
        <v/>
      </c>
      <c r="K157" s="38">
        <f>IF($A157=0,$K156,IF($D157=1,$K156+1,IF($R157&lt;=1,$K156,0)))</f>
        <v/>
      </c>
      <c r="L157" s="38">
        <f>IF($A157=0,$L156,IF($E157=1,$L156+1,IF($S157&lt;=1,$L156,0)))</f>
        <v/>
      </c>
      <c r="M157" s="38">
        <f>IF($A157=0,$M156,IF($F157=1,$M156+1,IF($T157&lt;=1,$M156,0)))</f>
        <v/>
      </c>
      <c r="N157" s="38">
        <f>IF($A157=0,$N156,IF($G157=1,$N156+1,IF($U157&lt;=1,$N156,0)))</f>
        <v/>
      </c>
      <c r="O157" s="38">
        <f>IF($A157=0,$O156,IF($H157=1,$O156+1,IF($V157&lt;=1,$O156,0)))</f>
        <v/>
      </c>
      <c r="P157" s="38">
        <f>IF($A157=0,$P156,$P156+IF($B157=1,0,1))</f>
        <v/>
      </c>
      <c r="Q157" s="38">
        <f>IF($A157=0,$Q156,$Q156+IF($C157=1,0,1))</f>
        <v/>
      </c>
      <c r="R157" s="38">
        <f>IF($A157=0,$R156,$R156+IF($D157=1,0,1))</f>
        <v/>
      </c>
      <c r="S157" s="38">
        <f>IF($A157=0,$S156,$S156+IF($E157=1,0,1))</f>
        <v/>
      </c>
      <c r="T157" s="38">
        <f>IF($A157=0,$T156,$T156+IF($F157=1,0,1))</f>
        <v/>
      </c>
      <c r="U157" s="38">
        <f>IF($A157=0,$U156,$U156+IF($G157=1,0,1))</f>
        <v/>
      </c>
      <c r="V157" s="38">
        <f>IF($A157=0,$V156,$V156+IF($H157=1,0,1))</f>
        <v/>
      </c>
      <c r="W157" s="38">
        <f>SUM($B157:$H157)</f>
        <v/>
      </c>
      <c r="X157" s="38">
        <f>IF(AND($A157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157=1),1,0)+IF(AND($G$1=7,$C157=1),1,0)+IF(AND($H$1=7,$D157=1),1,0)+IF(AND($I$1=7,$E157=1),1,0)+IF(AND($J$1=7,$F157=1),1,0)+IF(AND($K$1=7,$G157=1),1,0)+IF(AND($L$1=7,$H157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7" s="38">
        <f>IF($B157=1,IF($F$1&lt;7,10,IF(AND($F$1=7,$I156=0,$P156&gt;1),15,IF($I156&gt;=20,15,IF($I156&gt;=6,13,10)))),0)+IF($C157=1,IF($G$1&lt;7,10,IF(AND($G$1=7,$J156=0,$Q156&gt;1),15,IF($J156&gt;=20,15,IF($J156&gt;=6,13,10)))),0)+IF($D157=1,IF($H$1&lt;7,10,IF(AND($H$1=7,$K156=0,$R156&gt;1),15,IF($K156&gt;=20,15,IF($K156&gt;=6,13,10)))),0)+IF($E157=1,IF($I$1&lt;7,10,IF(AND($I$1=7,$L156=0,$S156&gt;1),15,IF($L156&gt;=20,15,IF($L156&gt;=6,13,10)))),0)+IF($F157=1,IF($J$1&lt;7,10,IF(AND($J$1=7,$M156=0,$T156&gt;1),15,IF($M156&gt;=20,15,IF($M156&gt;=6,13,10)))),0)+IF($G157=1,IF($K$1&lt;7,10,IF(AND($K$1=7,$N156=0,$U156&gt;1),15,IF($N156&gt;=20,15,IF($N156&gt;=6,13,10)))),0)+IF($H157=1,IF($L$1&lt;7,10,IF(AND($L$1=7,$O156=0,$V156&gt;1),15,IF($O156&gt;=20,15,IF($O156&gt;=6,13,10)))),0)</f>
        <v/>
      </c>
      <c r="Z157" s="38">
        <f>$Z156+$Y157</f>
        <v/>
      </c>
      <c r="AA157" s="38">
        <f>IF(AND($B157=1,AND($F$1=7,$I156=0,$P156&gt;1)),1,0)+IF(AND($C157=1,AND($G$1=7,$J156=0,$Q156&gt;1)),1,0)+IF(AND($D157=1,AND($H$1=7,$K156=0,$R156&gt;1)),1,0)+IF(AND($E157=1,AND($I$1=7,$L156=0,$S156&gt;1)),1,0)+IF(AND($F157=1,AND($J$1=7,$M156=0,$T156&gt;1)),1,0)+IF(AND($G157=1,AND($K$1=7,$N156=0,$U156&gt;1)),1,0)+IF(AND($H157=1,AND($L$1=7,$O156=0,$V156&gt;1)),1,0)</f>
        <v/>
      </c>
      <c r="AB157" s="38">
        <f>IF(IFERROR('Май'!$I32,"")="",0,$AB156+1)</f>
        <v/>
      </c>
    </row>
    <row r="158" spans="1:28">
      <c r="A158" s="38">
        <f>IF($B$1&gt;=DATE(2026,5,28),1,0)</f>
        <v/>
      </c>
      <c r="B158" s="38">
        <f>IFERROR(IF('Май'!$B33=TRUE,1,0),0)</f>
        <v/>
      </c>
      <c r="C158" s="38">
        <f>IFERROR(IF('Май'!$C33=TRUE,1,0),0)</f>
        <v/>
      </c>
      <c r="D158" s="38">
        <f>IFERROR(IF('Май'!$D33=TRUE,1,0),0)</f>
        <v/>
      </c>
      <c r="E158" s="38">
        <f>IFERROR(IF('Май'!$E33=TRUE,1,0),0)</f>
        <v/>
      </c>
      <c r="F158" s="38">
        <f>IFERROR(IF('Май'!$F33=TRUE,1,0),0)</f>
        <v/>
      </c>
      <c r="G158" s="38">
        <f>IFERROR(IF('Май'!$G33=TRUE,1,0),0)</f>
        <v/>
      </c>
      <c r="H158" s="38">
        <f>IFERROR(IF('Май'!$H33=TRUE,1,0),0)</f>
        <v/>
      </c>
      <c r="I158" s="38">
        <f>IF($A158=0,$I157,IF($B158=1,$I157+1,IF($P158&lt;=1,$I157,0)))</f>
        <v/>
      </c>
      <c r="J158" s="38">
        <f>IF($A158=0,$J157,IF($C158=1,$J157+1,IF($Q158&lt;=1,$J157,0)))</f>
        <v/>
      </c>
      <c r="K158" s="38">
        <f>IF($A158=0,$K157,IF($D158=1,$K157+1,IF($R158&lt;=1,$K157,0)))</f>
        <v/>
      </c>
      <c r="L158" s="38">
        <f>IF($A158=0,$L157,IF($E158=1,$L157+1,IF($S158&lt;=1,$L157,0)))</f>
        <v/>
      </c>
      <c r="M158" s="38">
        <f>IF($A158=0,$M157,IF($F158=1,$M157+1,IF($T158&lt;=1,$M157,0)))</f>
        <v/>
      </c>
      <c r="N158" s="38">
        <f>IF($A158=0,$N157,IF($G158=1,$N157+1,IF($U158&lt;=1,$N157,0)))</f>
        <v/>
      </c>
      <c r="O158" s="38">
        <f>IF($A158=0,$O157,IF($H158=1,$O157+1,IF($V158&lt;=1,$O157,0)))</f>
        <v/>
      </c>
      <c r="P158" s="38">
        <f>IF($A158=0,$P157,$P157+IF($B158=1,0,1))</f>
        <v/>
      </c>
      <c r="Q158" s="38">
        <f>IF($A158=0,$Q157,$Q157+IF($C158=1,0,1))</f>
        <v/>
      </c>
      <c r="R158" s="38">
        <f>IF($A158=0,$R157,$R157+IF($D158=1,0,1))</f>
        <v/>
      </c>
      <c r="S158" s="38">
        <f>IF($A158=0,$S157,$S157+IF($E158=1,0,1))</f>
        <v/>
      </c>
      <c r="T158" s="38">
        <f>IF($A158=0,$T157,$T157+IF($F158=1,0,1))</f>
        <v/>
      </c>
      <c r="U158" s="38">
        <f>IF($A158=0,$U157,$U157+IF($G158=1,0,1))</f>
        <v/>
      </c>
      <c r="V158" s="38">
        <f>IF($A158=0,$V157,$V157+IF($H158=1,0,1))</f>
        <v/>
      </c>
      <c r="W158" s="38">
        <f>SUM($B158:$H158)</f>
        <v/>
      </c>
      <c r="X158" s="38">
        <f>IF(AND($A158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158=1),1,0)+IF(AND($G$1=7,$C158=1),1,0)+IF(AND($H$1=7,$D158=1),1,0)+IF(AND($I$1=7,$E158=1),1,0)+IF(AND($J$1=7,$F158=1),1,0)+IF(AND($K$1=7,$G158=1),1,0)+IF(AND($L$1=7,$H158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8" s="38">
        <f>IF($B158=1,IF($F$1&lt;7,10,IF(AND($F$1=7,$I157=0,$P157&gt;1),15,IF($I157&gt;=20,15,IF($I157&gt;=6,13,10)))),0)+IF($C158=1,IF($G$1&lt;7,10,IF(AND($G$1=7,$J157=0,$Q157&gt;1),15,IF($J157&gt;=20,15,IF($J157&gt;=6,13,10)))),0)+IF($D158=1,IF($H$1&lt;7,10,IF(AND($H$1=7,$K157=0,$R157&gt;1),15,IF($K157&gt;=20,15,IF($K157&gt;=6,13,10)))),0)+IF($E158=1,IF($I$1&lt;7,10,IF(AND($I$1=7,$L157=0,$S157&gt;1),15,IF($L157&gt;=20,15,IF($L157&gt;=6,13,10)))),0)+IF($F158=1,IF($J$1&lt;7,10,IF(AND($J$1=7,$M157=0,$T157&gt;1),15,IF($M157&gt;=20,15,IF($M157&gt;=6,13,10)))),0)+IF($G158=1,IF($K$1&lt;7,10,IF(AND($K$1=7,$N157=0,$U157&gt;1),15,IF($N157&gt;=20,15,IF($N157&gt;=6,13,10)))),0)+IF($H158=1,IF($L$1&lt;7,10,IF(AND($L$1=7,$O157=0,$V157&gt;1),15,IF($O157&gt;=20,15,IF($O157&gt;=6,13,10)))),0)</f>
        <v/>
      </c>
      <c r="Z158" s="38">
        <f>$Z157+$Y158</f>
        <v/>
      </c>
      <c r="AA158" s="38">
        <f>IF(AND($B158=1,AND($F$1=7,$I157=0,$P157&gt;1)),1,0)+IF(AND($C158=1,AND($G$1=7,$J157=0,$Q157&gt;1)),1,0)+IF(AND($D158=1,AND($H$1=7,$K157=0,$R157&gt;1)),1,0)+IF(AND($E158=1,AND($I$1=7,$L157=0,$S157&gt;1)),1,0)+IF(AND($F158=1,AND($J$1=7,$M157=0,$T157&gt;1)),1,0)+IF(AND($G158=1,AND($K$1=7,$N157=0,$U157&gt;1)),1,0)+IF(AND($H158=1,AND($L$1=7,$O157=0,$V157&gt;1)),1,0)</f>
        <v/>
      </c>
      <c r="AB158" s="38">
        <f>IF(IFERROR('Май'!$I33,"")="",0,$AB157+1)</f>
        <v/>
      </c>
    </row>
    <row r="159" spans="1:28">
      <c r="A159" s="38">
        <f>IF($B$1&gt;=DATE(2026,5,29),1,0)</f>
        <v/>
      </c>
      <c r="B159" s="38">
        <f>IFERROR(IF('Май'!$B34=TRUE,1,0),0)</f>
        <v/>
      </c>
      <c r="C159" s="38">
        <f>IFERROR(IF('Май'!$C34=TRUE,1,0),0)</f>
        <v/>
      </c>
      <c r="D159" s="38">
        <f>IFERROR(IF('Май'!$D34=TRUE,1,0),0)</f>
        <v/>
      </c>
      <c r="E159" s="38">
        <f>IFERROR(IF('Май'!$E34=TRUE,1,0),0)</f>
        <v/>
      </c>
      <c r="F159" s="38">
        <f>IFERROR(IF('Май'!$F34=TRUE,1,0),0)</f>
        <v/>
      </c>
      <c r="G159" s="38">
        <f>IFERROR(IF('Май'!$G34=TRUE,1,0),0)</f>
        <v/>
      </c>
      <c r="H159" s="38">
        <f>IFERROR(IF('Май'!$H34=TRUE,1,0),0)</f>
        <v/>
      </c>
      <c r="I159" s="38">
        <f>IF($A159=0,$I158,IF($B159=1,$I158+1,IF($P159&lt;=1,$I158,0)))</f>
        <v/>
      </c>
      <c r="J159" s="38">
        <f>IF($A159=0,$J158,IF($C159=1,$J158+1,IF($Q159&lt;=1,$J158,0)))</f>
        <v/>
      </c>
      <c r="K159" s="38">
        <f>IF($A159=0,$K158,IF($D159=1,$K158+1,IF($R159&lt;=1,$K158,0)))</f>
        <v/>
      </c>
      <c r="L159" s="38">
        <f>IF($A159=0,$L158,IF($E159=1,$L158+1,IF($S159&lt;=1,$L158,0)))</f>
        <v/>
      </c>
      <c r="M159" s="38">
        <f>IF($A159=0,$M158,IF($F159=1,$M158+1,IF($T159&lt;=1,$M158,0)))</f>
        <v/>
      </c>
      <c r="N159" s="38">
        <f>IF($A159=0,$N158,IF($G159=1,$N158+1,IF($U159&lt;=1,$N158,0)))</f>
        <v/>
      </c>
      <c r="O159" s="38">
        <f>IF($A159=0,$O158,IF($H159=1,$O158+1,IF($V159&lt;=1,$O158,0)))</f>
        <v/>
      </c>
      <c r="P159" s="38">
        <f>IF($A159=0,$P158,$P158+IF($B159=1,0,1))</f>
        <v/>
      </c>
      <c r="Q159" s="38">
        <f>IF($A159=0,$Q158,$Q158+IF($C159=1,0,1))</f>
        <v/>
      </c>
      <c r="R159" s="38">
        <f>IF($A159=0,$R158,$R158+IF($D159=1,0,1))</f>
        <v/>
      </c>
      <c r="S159" s="38">
        <f>IF($A159=0,$S158,$S158+IF($E159=1,0,1))</f>
        <v/>
      </c>
      <c r="T159" s="38">
        <f>IF($A159=0,$T158,$T158+IF($F159=1,0,1))</f>
        <v/>
      </c>
      <c r="U159" s="38">
        <f>IF($A159=0,$U158,$U158+IF($G159=1,0,1))</f>
        <v/>
      </c>
      <c r="V159" s="38">
        <f>IF($A159=0,$V158,$V158+IF($H159=1,0,1))</f>
        <v/>
      </c>
      <c r="W159" s="38">
        <f>SUM($B159:$H159)</f>
        <v/>
      </c>
      <c r="X159" s="38">
        <f>IF(AND($A159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159=1),1,0)+IF(AND($G$1=7,$C159=1),1,0)+IF(AND($H$1=7,$D159=1),1,0)+IF(AND($I$1=7,$E159=1),1,0)+IF(AND($J$1=7,$F159=1),1,0)+IF(AND($K$1=7,$G159=1),1,0)+IF(AND($L$1=7,$H159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9" s="38">
        <f>IF($B159=1,IF($F$1&lt;7,10,IF(AND($F$1=7,$I158=0,$P158&gt;1),15,IF($I158&gt;=20,15,IF($I158&gt;=6,13,10)))),0)+IF($C159=1,IF($G$1&lt;7,10,IF(AND($G$1=7,$J158=0,$Q158&gt;1),15,IF($J158&gt;=20,15,IF($J158&gt;=6,13,10)))),0)+IF($D159=1,IF($H$1&lt;7,10,IF(AND($H$1=7,$K158=0,$R158&gt;1),15,IF($K158&gt;=20,15,IF($K158&gt;=6,13,10)))),0)+IF($E159=1,IF($I$1&lt;7,10,IF(AND($I$1=7,$L158=0,$S158&gt;1),15,IF($L158&gt;=20,15,IF($L158&gt;=6,13,10)))),0)+IF($F159=1,IF($J$1&lt;7,10,IF(AND($J$1=7,$M158=0,$T158&gt;1),15,IF($M158&gt;=20,15,IF($M158&gt;=6,13,10)))),0)+IF($G159=1,IF($K$1&lt;7,10,IF(AND($K$1=7,$N158=0,$U158&gt;1),15,IF($N158&gt;=20,15,IF($N158&gt;=6,13,10)))),0)+IF($H159=1,IF($L$1&lt;7,10,IF(AND($L$1=7,$O158=0,$V158&gt;1),15,IF($O158&gt;=20,15,IF($O158&gt;=6,13,10)))),0)</f>
        <v/>
      </c>
      <c r="Z159" s="38">
        <f>$Z158+$Y159</f>
        <v/>
      </c>
      <c r="AA159" s="38">
        <f>IF(AND($B159=1,AND($F$1=7,$I158=0,$P158&gt;1)),1,0)+IF(AND($C159=1,AND($G$1=7,$J158=0,$Q158&gt;1)),1,0)+IF(AND($D159=1,AND($H$1=7,$K158=0,$R158&gt;1)),1,0)+IF(AND($E159=1,AND($I$1=7,$L158=0,$S158&gt;1)),1,0)+IF(AND($F159=1,AND($J$1=7,$M158=0,$T158&gt;1)),1,0)+IF(AND($G159=1,AND($K$1=7,$N158=0,$U158&gt;1)),1,0)+IF(AND($H159=1,AND($L$1=7,$O158=0,$V158&gt;1)),1,0)</f>
        <v/>
      </c>
      <c r="AB159" s="38">
        <f>IF(IFERROR('Май'!$I34,"")="",0,$AB158+1)</f>
        <v/>
      </c>
    </row>
    <row r="160" spans="1:28">
      <c r="A160" s="38">
        <f>IF($B$1&gt;=DATE(2026,5,30),1,0)</f>
        <v/>
      </c>
      <c r="B160" s="38">
        <f>IFERROR(IF('Май'!$B35=TRUE,1,0),0)</f>
        <v/>
      </c>
      <c r="C160" s="38">
        <f>IFERROR(IF('Май'!$C35=TRUE,1,0),0)</f>
        <v/>
      </c>
      <c r="D160" s="38">
        <f>IFERROR(IF('Май'!$D35=TRUE,1,0),0)</f>
        <v/>
      </c>
      <c r="E160" s="38">
        <f>IFERROR(IF('Май'!$E35=TRUE,1,0),0)</f>
        <v/>
      </c>
      <c r="F160" s="38">
        <f>IFERROR(IF('Май'!$F35=TRUE,1,0),0)</f>
        <v/>
      </c>
      <c r="G160" s="38">
        <f>IFERROR(IF('Май'!$G35=TRUE,1,0),0)</f>
        <v/>
      </c>
      <c r="H160" s="38">
        <f>IFERROR(IF('Май'!$H35=TRUE,1,0),0)</f>
        <v/>
      </c>
      <c r="I160" s="38">
        <f>IF($A160=0,$I159,IF($B160=1,$I159+1,IF($P160&lt;=1,$I159,0)))</f>
        <v/>
      </c>
      <c r="J160" s="38">
        <f>IF($A160=0,$J159,IF($C160=1,$J159+1,IF($Q160&lt;=1,$J159,0)))</f>
        <v/>
      </c>
      <c r="K160" s="38">
        <f>IF($A160=0,$K159,IF($D160=1,$K159+1,IF($R160&lt;=1,$K159,0)))</f>
        <v/>
      </c>
      <c r="L160" s="38">
        <f>IF($A160=0,$L159,IF($E160=1,$L159+1,IF($S160&lt;=1,$L159,0)))</f>
        <v/>
      </c>
      <c r="M160" s="38">
        <f>IF($A160=0,$M159,IF($F160=1,$M159+1,IF($T160&lt;=1,$M159,0)))</f>
        <v/>
      </c>
      <c r="N160" s="38">
        <f>IF($A160=0,$N159,IF($G160=1,$N159+1,IF($U160&lt;=1,$N159,0)))</f>
        <v/>
      </c>
      <c r="O160" s="38">
        <f>IF($A160=0,$O159,IF($H160=1,$O159+1,IF($V160&lt;=1,$O159,0)))</f>
        <v/>
      </c>
      <c r="P160" s="38">
        <f>IF($A160=0,$P159,$P159+IF($B160=1,0,1))</f>
        <v/>
      </c>
      <c r="Q160" s="38">
        <f>IF($A160=0,$Q159,$Q159+IF($C160=1,0,1))</f>
        <v/>
      </c>
      <c r="R160" s="38">
        <f>IF($A160=0,$R159,$R159+IF($D160=1,0,1))</f>
        <v/>
      </c>
      <c r="S160" s="38">
        <f>IF($A160=0,$S159,$S159+IF($E160=1,0,1))</f>
        <v/>
      </c>
      <c r="T160" s="38">
        <f>IF($A160=0,$T159,$T159+IF($F160=1,0,1))</f>
        <v/>
      </c>
      <c r="U160" s="38">
        <f>IF($A160=0,$U159,$U159+IF($G160=1,0,1))</f>
        <v/>
      </c>
      <c r="V160" s="38">
        <f>IF($A160=0,$V159,$V159+IF($H160=1,0,1))</f>
        <v/>
      </c>
      <c r="W160" s="38">
        <f>SUM($B160:$H160)</f>
        <v/>
      </c>
      <c r="X160" s="38">
        <f>IF(AND($A160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160=1),1,0)+IF(AND($G$1=7,$C160=1),1,0)+IF(AND($H$1=7,$D160=1),1,0)+IF(AND($I$1=7,$E160=1),1,0)+IF(AND($J$1=7,$F160=1),1,0)+IF(AND($K$1=7,$G160=1),1,0)+IF(AND($L$1=7,$H160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0" s="38">
        <f>IF($B160=1,IF($F$1&lt;7,10,IF(AND($F$1=7,$I159=0,$P159&gt;1),15,IF($I159&gt;=20,15,IF($I159&gt;=6,13,10)))),0)+IF($C160=1,IF($G$1&lt;7,10,IF(AND($G$1=7,$J159=0,$Q159&gt;1),15,IF($J159&gt;=20,15,IF($J159&gt;=6,13,10)))),0)+IF($D160=1,IF($H$1&lt;7,10,IF(AND($H$1=7,$K159=0,$R159&gt;1),15,IF($K159&gt;=20,15,IF($K159&gt;=6,13,10)))),0)+IF($E160=1,IF($I$1&lt;7,10,IF(AND($I$1=7,$L159=0,$S159&gt;1),15,IF($L159&gt;=20,15,IF($L159&gt;=6,13,10)))),0)+IF($F160=1,IF($J$1&lt;7,10,IF(AND($J$1=7,$M159=0,$T159&gt;1),15,IF($M159&gt;=20,15,IF($M159&gt;=6,13,10)))),0)+IF($G160=1,IF($K$1&lt;7,10,IF(AND($K$1=7,$N159=0,$U159&gt;1),15,IF($N159&gt;=20,15,IF($N159&gt;=6,13,10)))),0)+IF($H160=1,IF($L$1&lt;7,10,IF(AND($L$1=7,$O159=0,$V159&gt;1),15,IF($O159&gt;=20,15,IF($O159&gt;=6,13,10)))),0)</f>
        <v/>
      </c>
      <c r="Z160" s="38">
        <f>$Z159+$Y160</f>
        <v/>
      </c>
      <c r="AA160" s="38">
        <f>IF(AND($B160=1,AND($F$1=7,$I159=0,$P159&gt;1)),1,0)+IF(AND($C160=1,AND($G$1=7,$J159=0,$Q159&gt;1)),1,0)+IF(AND($D160=1,AND($H$1=7,$K159=0,$R159&gt;1)),1,0)+IF(AND($E160=1,AND($I$1=7,$L159=0,$S159&gt;1)),1,0)+IF(AND($F160=1,AND($J$1=7,$M159=0,$T159&gt;1)),1,0)+IF(AND($G160=1,AND($K$1=7,$N159=0,$U159&gt;1)),1,0)+IF(AND($H160=1,AND($L$1=7,$O159=0,$V159&gt;1)),1,0)</f>
        <v/>
      </c>
      <c r="AB160" s="38">
        <f>IF(IFERROR('Май'!$I35,"")="",0,$AB159+1)</f>
        <v/>
      </c>
    </row>
    <row r="161" spans="1:28">
      <c r="A161" s="38">
        <f>IF($B$1&gt;=DATE(2026,5,31),1,0)</f>
        <v/>
      </c>
      <c r="B161" s="38">
        <f>IFERROR(IF('Май'!$B36=TRUE,1,0),0)</f>
        <v/>
      </c>
      <c r="C161" s="38">
        <f>IFERROR(IF('Май'!$C36=TRUE,1,0),0)</f>
        <v/>
      </c>
      <c r="D161" s="38">
        <f>IFERROR(IF('Май'!$D36=TRUE,1,0),0)</f>
        <v/>
      </c>
      <c r="E161" s="38">
        <f>IFERROR(IF('Май'!$E36=TRUE,1,0),0)</f>
        <v/>
      </c>
      <c r="F161" s="38">
        <f>IFERROR(IF('Май'!$F36=TRUE,1,0),0)</f>
        <v/>
      </c>
      <c r="G161" s="38">
        <f>IFERROR(IF('Май'!$G36=TRUE,1,0),0)</f>
        <v/>
      </c>
      <c r="H161" s="38">
        <f>IFERROR(IF('Май'!$H36=TRUE,1,0),0)</f>
        <v/>
      </c>
      <c r="I161" s="38">
        <f>IF($A161=0,$I160,IF($B161=1,$I160+1,IF($P161&lt;=1,$I160,0)))</f>
        <v/>
      </c>
      <c r="J161" s="38">
        <f>IF($A161=0,$J160,IF($C161=1,$J160+1,IF($Q161&lt;=1,$J160,0)))</f>
        <v/>
      </c>
      <c r="K161" s="38">
        <f>IF($A161=0,$K160,IF($D161=1,$K160+1,IF($R161&lt;=1,$K160,0)))</f>
        <v/>
      </c>
      <c r="L161" s="38">
        <f>IF($A161=0,$L160,IF($E161=1,$L160+1,IF($S161&lt;=1,$L160,0)))</f>
        <v/>
      </c>
      <c r="M161" s="38">
        <f>IF($A161=0,$M160,IF($F161=1,$M160+1,IF($T161&lt;=1,$M160,0)))</f>
        <v/>
      </c>
      <c r="N161" s="38">
        <f>IF($A161=0,$N160,IF($G161=1,$N160+1,IF($U161&lt;=1,$N160,0)))</f>
        <v/>
      </c>
      <c r="O161" s="38">
        <f>IF($A161=0,$O160,IF($H161=1,$O160+1,IF($V161&lt;=1,$O160,0)))</f>
        <v/>
      </c>
      <c r="P161" s="38">
        <f>IF($A161=0,$P160,$P160+IF($B161=1,0,1))</f>
        <v/>
      </c>
      <c r="Q161" s="38">
        <f>IF($A161=0,$Q160,$Q160+IF($C161=1,0,1))</f>
        <v/>
      </c>
      <c r="R161" s="38">
        <f>IF($A161=0,$R160,$R160+IF($D161=1,0,1))</f>
        <v/>
      </c>
      <c r="S161" s="38">
        <f>IF($A161=0,$S160,$S160+IF($E161=1,0,1))</f>
        <v/>
      </c>
      <c r="T161" s="38">
        <f>IF($A161=0,$T160,$T160+IF($F161=1,0,1))</f>
        <v/>
      </c>
      <c r="U161" s="38">
        <f>IF($A161=0,$U160,$U160+IF($G161=1,0,1))</f>
        <v/>
      </c>
      <c r="V161" s="38">
        <f>IF($A161=0,$V160,$V160+IF($H161=1,0,1))</f>
        <v/>
      </c>
      <c r="W161" s="38">
        <f>SUM($B161:$H161)</f>
        <v/>
      </c>
      <c r="X161" s="38">
        <f>IF(AND($A161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161=1),1,0)+IF(AND($G$1=7,$C161=1),1,0)+IF(AND($H$1=7,$D161=1),1,0)+IF(AND($I$1=7,$E161=1),1,0)+IF(AND($J$1=7,$F161=1),1,0)+IF(AND($K$1=7,$G161=1),1,0)+IF(AND($L$1=7,$H161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1" s="38">
        <f>IF($B161=1,IF($F$1&lt;7,10,IF(AND($F$1=7,$I160=0,$P160&gt;1),15,IF($I160&gt;=20,15,IF($I160&gt;=6,13,10)))),0)+IF($C161=1,IF($G$1&lt;7,10,IF(AND($G$1=7,$J160=0,$Q160&gt;1),15,IF($J160&gt;=20,15,IF($J160&gt;=6,13,10)))),0)+IF($D161=1,IF($H$1&lt;7,10,IF(AND($H$1=7,$K160=0,$R160&gt;1),15,IF($K160&gt;=20,15,IF($K160&gt;=6,13,10)))),0)+IF($E161=1,IF($I$1&lt;7,10,IF(AND($I$1=7,$L160=0,$S160&gt;1),15,IF($L160&gt;=20,15,IF($L160&gt;=6,13,10)))),0)+IF($F161=1,IF($J$1&lt;7,10,IF(AND($J$1=7,$M160=0,$T160&gt;1),15,IF($M160&gt;=20,15,IF($M160&gt;=6,13,10)))),0)+IF($G161=1,IF($K$1&lt;7,10,IF(AND($K$1=7,$N160=0,$U160&gt;1),15,IF($N160&gt;=20,15,IF($N160&gt;=6,13,10)))),0)+IF($H161=1,IF($L$1&lt;7,10,IF(AND($L$1=7,$O160=0,$V160&gt;1),15,IF($O160&gt;=20,15,IF($O160&gt;=6,13,10)))),0)</f>
        <v/>
      </c>
      <c r="Z161" s="38">
        <f>$Z160+$Y161</f>
        <v/>
      </c>
      <c r="AA161" s="38">
        <f>IF(AND($B161=1,AND($F$1=7,$I160=0,$P160&gt;1)),1,0)+IF(AND($C161=1,AND($G$1=7,$J160=0,$Q160&gt;1)),1,0)+IF(AND($D161=1,AND($H$1=7,$K160=0,$R160&gt;1)),1,0)+IF(AND($E161=1,AND($I$1=7,$L160=0,$S160&gt;1)),1,0)+IF(AND($F161=1,AND($J$1=7,$M160=0,$T160&gt;1)),1,0)+IF(AND($G161=1,AND($K$1=7,$N160=0,$U160&gt;1)),1,0)+IF(AND($H161=1,AND($L$1=7,$O160=0,$V160&gt;1)),1,0)</f>
        <v/>
      </c>
      <c r="AB161" s="38">
        <f>IF(IFERROR('Май'!$I36,"")="",0,$AB160+1)</f>
        <v/>
      </c>
    </row>
    <row r="162" spans="1:28">
      <c r="A162" s="38">
        <f>IF($B$1&gt;=DATE(2026,6,1),1,0)</f>
        <v/>
      </c>
      <c r="B162" s="38">
        <f>IFERROR(IF('Июн'!$B6=TRUE,1,0),0)</f>
        <v/>
      </c>
      <c r="C162" s="38">
        <f>IFERROR(IF('Июн'!$C6=TRUE,1,0),0)</f>
        <v/>
      </c>
      <c r="D162" s="38">
        <f>IFERROR(IF('Июн'!$D6=TRUE,1,0),0)</f>
        <v/>
      </c>
      <c r="E162" s="38">
        <f>IFERROR(IF('Июн'!$E6=TRUE,1,0),0)</f>
        <v/>
      </c>
      <c r="F162" s="38">
        <f>IFERROR(IF('Июн'!$F6=TRUE,1,0),0)</f>
        <v/>
      </c>
      <c r="G162" s="38">
        <f>IFERROR(IF('Июн'!$G6=TRUE,1,0),0)</f>
        <v/>
      </c>
      <c r="H162" s="38">
        <f>IFERROR(IF('Июн'!$H6=TRUE,1,0),0)</f>
        <v/>
      </c>
      <c r="I162" s="38">
        <f>IF($A162=0,$I161,IF($B162=1,$I161+1,IF($P162&lt;=1,$I161,0)))</f>
        <v/>
      </c>
      <c r="J162" s="38">
        <f>IF($A162=0,$J161,IF($C162=1,$J161+1,IF($Q162&lt;=1,$J161,0)))</f>
        <v/>
      </c>
      <c r="K162" s="38">
        <f>IF($A162=0,$K161,IF($D162=1,$K161+1,IF($R162&lt;=1,$K161,0)))</f>
        <v/>
      </c>
      <c r="L162" s="38">
        <f>IF($A162=0,$L161,IF($E162=1,$L161+1,IF($S162&lt;=1,$L161,0)))</f>
        <v/>
      </c>
      <c r="M162" s="38">
        <f>IF($A162=0,$M161,IF($F162=1,$M161+1,IF($T162&lt;=1,$M161,0)))</f>
        <v/>
      </c>
      <c r="N162" s="38">
        <f>IF($A162=0,$N161,IF($G162=1,$N161+1,IF($U162&lt;=1,$N161,0)))</f>
        <v/>
      </c>
      <c r="O162" s="38">
        <f>IF($A162=0,$O161,IF($H162=1,$O161+1,IF($V162&lt;=1,$O161,0)))</f>
        <v/>
      </c>
      <c r="P162" s="38">
        <f>IF($A162=0,0,0+IF($B162=1,0,1))</f>
        <v/>
      </c>
      <c r="Q162" s="38">
        <f>IF($A162=0,0,0+IF($C162=1,0,1))</f>
        <v/>
      </c>
      <c r="R162" s="38">
        <f>IF($A162=0,0,0+IF($D162=1,0,1))</f>
        <v/>
      </c>
      <c r="S162" s="38">
        <f>IF($A162=0,0,0+IF($E162=1,0,1))</f>
        <v/>
      </c>
      <c r="T162" s="38">
        <f>IF($A162=0,0,0+IF($F162=1,0,1))</f>
        <v/>
      </c>
      <c r="U162" s="38">
        <f>IF($A162=0,0,0+IF($G162=1,0,1))</f>
        <v/>
      </c>
      <c r="V162" s="38">
        <f>IF($A162=0,0,0+IF($H162=1,0,1))</f>
        <v/>
      </c>
      <c r="W162" s="38">
        <f>SUM($B162:$H162)</f>
        <v/>
      </c>
      <c r="X162" s="38">
        <f>IF(AND($A162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162=1),1,0)+IF(AND($G$1=7,$C162=1),1,0)+IF(AND($H$1=7,$D162=1),1,0)+IF(AND($I$1=7,$E162=1),1,0)+IF(AND($J$1=7,$F162=1),1,0)+IF(AND($K$1=7,$G162=1),1,0)+IF(AND($L$1=7,$H162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2" s="38">
        <f>IF($B162=1,IF($F$1&lt;7,10,IF(AND($F$1=7,$I161=0,0&gt;1),15,IF($I161&gt;=20,15,IF($I161&gt;=6,13,10)))),0)+IF($C162=1,IF($G$1&lt;7,10,IF(AND($G$1=7,$J161=0,0&gt;1),15,IF($J161&gt;=20,15,IF($J161&gt;=6,13,10)))),0)+IF($D162=1,IF($H$1&lt;7,10,IF(AND($H$1=7,$K161=0,0&gt;1),15,IF($K161&gt;=20,15,IF($K161&gt;=6,13,10)))),0)+IF($E162=1,IF($I$1&lt;7,10,IF(AND($I$1=7,$L161=0,0&gt;1),15,IF($L161&gt;=20,15,IF($L161&gt;=6,13,10)))),0)+IF($F162=1,IF($J$1&lt;7,10,IF(AND($J$1=7,$M161=0,0&gt;1),15,IF($M161&gt;=20,15,IF($M161&gt;=6,13,10)))),0)+IF($G162=1,IF($K$1&lt;7,10,IF(AND($K$1=7,$N161=0,0&gt;1),15,IF($N161&gt;=20,15,IF($N161&gt;=6,13,10)))),0)+IF($H162=1,IF($L$1&lt;7,10,IF(AND($L$1=7,$O161=0,0&gt;1),15,IF($O161&gt;=20,15,IF($O161&gt;=6,13,10)))),0)</f>
        <v/>
      </c>
      <c r="Z162" s="38">
        <f>$Z161+$Y162</f>
        <v/>
      </c>
      <c r="AA162" s="38">
        <f>IF(AND($B162=1,AND($F$1=7,$I161=0,0&gt;1)),1,0)+IF(AND($C162=1,AND($G$1=7,$J161=0,0&gt;1)),1,0)+IF(AND($D162=1,AND($H$1=7,$K161=0,0&gt;1)),1,0)+IF(AND($E162=1,AND($I$1=7,$L161=0,0&gt;1)),1,0)+IF(AND($F162=1,AND($J$1=7,$M161=0,0&gt;1)),1,0)+IF(AND($G162=1,AND($K$1=7,$N161=0,0&gt;1)),1,0)+IF(AND($H162=1,AND($L$1=7,$O161=0,0&gt;1)),1,0)</f>
        <v/>
      </c>
      <c r="AB162" s="38">
        <f>IF(IFERROR('Июн'!$I6,"")="",0,$AB161+1)</f>
        <v/>
      </c>
    </row>
    <row r="163" spans="1:28">
      <c r="A163" s="38">
        <f>IF($B$1&gt;=DATE(2026,6,2),1,0)</f>
        <v/>
      </c>
      <c r="B163" s="38">
        <f>IFERROR(IF('Июн'!$B7=TRUE,1,0),0)</f>
        <v/>
      </c>
      <c r="C163" s="38">
        <f>IFERROR(IF('Июн'!$C7=TRUE,1,0),0)</f>
        <v/>
      </c>
      <c r="D163" s="38">
        <f>IFERROR(IF('Июн'!$D7=TRUE,1,0),0)</f>
        <v/>
      </c>
      <c r="E163" s="38">
        <f>IFERROR(IF('Июн'!$E7=TRUE,1,0),0)</f>
        <v/>
      </c>
      <c r="F163" s="38">
        <f>IFERROR(IF('Июн'!$F7=TRUE,1,0),0)</f>
        <v/>
      </c>
      <c r="G163" s="38">
        <f>IFERROR(IF('Июн'!$G7=TRUE,1,0),0)</f>
        <v/>
      </c>
      <c r="H163" s="38">
        <f>IFERROR(IF('Июн'!$H7=TRUE,1,0),0)</f>
        <v/>
      </c>
      <c r="I163" s="38">
        <f>IF($A163=0,$I162,IF($B163=1,$I162+1,IF($P163&lt;=1,$I162,0)))</f>
        <v/>
      </c>
      <c r="J163" s="38">
        <f>IF($A163=0,$J162,IF($C163=1,$J162+1,IF($Q163&lt;=1,$J162,0)))</f>
        <v/>
      </c>
      <c r="K163" s="38">
        <f>IF($A163=0,$K162,IF($D163=1,$K162+1,IF($R163&lt;=1,$K162,0)))</f>
        <v/>
      </c>
      <c r="L163" s="38">
        <f>IF($A163=0,$L162,IF($E163=1,$L162+1,IF($S163&lt;=1,$L162,0)))</f>
        <v/>
      </c>
      <c r="M163" s="38">
        <f>IF($A163=0,$M162,IF($F163=1,$M162+1,IF($T163&lt;=1,$M162,0)))</f>
        <v/>
      </c>
      <c r="N163" s="38">
        <f>IF($A163=0,$N162,IF($G163=1,$N162+1,IF($U163&lt;=1,$N162,0)))</f>
        <v/>
      </c>
      <c r="O163" s="38">
        <f>IF($A163=0,$O162,IF($H163=1,$O162+1,IF($V163&lt;=1,$O162,0)))</f>
        <v/>
      </c>
      <c r="P163" s="38">
        <f>IF($A163=0,$P162,$P162+IF($B163=1,0,1))</f>
        <v/>
      </c>
      <c r="Q163" s="38">
        <f>IF($A163=0,$Q162,$Q162+IF($C163=1,0,1))</f>
        <v/>
      </c>
      <c r="R163" s="38">
        <f>IF($A163=0,$R162,$R162+IF($D163=1,0,1))</f>
        <v/>
      </c>
      <c r="S163" s="38">
        <f>IF($A163=0,$S162,$S162+IF($E163=1,0,1))</f>
        <v/>
      </c>
      <c r="T163" s="38">
        <f>IF($A163=0,$T162,$T162+IF($F163=1,0,1))</f>
        <v/>
      </c>
      <c r="U163" s="38">
        <f>IF($A163=0,$U162,$U162+IF($G163=1,0,1))</f>
        <v/>
      </c>
      <c r="V163" s="38">
        <f>IF($A163=0,$V162,$V162+IF($H163=1,0,1))</f>
        <v/>
      </c>
      <c r="W163" s="38">
        <f>SUM($B163:$H163)</f>
        <v/>
      </c>
      <c r="X163" s="38">
        <f>IF(AND($A163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163=1),1,0)+IF(AND($G$1=7,$C163=1),1,0)+IF(AND($H$1=7,$D163=1),1,0)+IF(AND($I$1=7,$E163=1),1,0)+IF(AND($J$1=7,$F163=1),1,0)+IF(AND($K$1=7,$G163=1),1,0)+IF(AND($L$1=7,$H163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3" s="38">
        <f>IF($B163=1,IF($F$1&lt;7,10,IF(AND($F$1=7,$I162=0,$P162&gt;1),15,IF($I162&gt;=20,15,IF($I162&gt;=6,13,10)))),0)+IF($C163=1,IF($G$1&lt;7,10,IF(AND($G$1=7,$J162=0,$Q162&gt;1),15,IF($J162&gt;=20,15,IF($J162&gt;=6,13,10)))),0)+IF($D163=1,IF($H$1&lt;7,10,IF(AND($H$1=7,$K162=0,$R162&gt;1),15,IF($K162&gt;=20,15,IF($K162&gt;=6,13,10)))),0)+IF($E163=1,IF($I$1&lt;7,10,IF(AND($I$1=7,$L162=0,$S162&gt;1),15,IF($L162&gt;=20,15,IF($L162&gt;=6,13,10)))),0)+IF($F163=1,IF($J$1&lt;7,10,IF(AND($J$1=7,$M162=0,$T162&gt;1),15,IF($M162&gt;=20,15,IF($M162&gt;=6,13,10)))),0)+IF($G163=1,IF($K$1&lt;7,10,IF(AND($K$1=7,$N162=0,$U162&gt;1),15,IF($N162&gt;=20,15,IF($N162&gt;=6,13,10)))),0)+IF($H163=1,IF($L$1&lt;7,10,IF(AND($L$1=7,$O162=0,$V162&gt;1),15,IF($O162&gt;=20,15,IF($O162&gt;=6,13,10)))),0)</f>
        <v/>
      </c>
      <c r="Z163" s="38">
        <f>$Z162+$Y163</f>
        <v/>
      </c>
      <c r="AA163" s="38">
        <f>IF(AND($B163=1,AND($F$1=7,$I162=0,$P162&gt;1)),1,0)+IF(AND($C163=1,AND($G$1=7,$J162=0,$Q162&gt;1)),1,0)+IF(AND($D163=1,AND($H$1=7,$K162=0,$R162&gt;1)),1,0)+IF(AND($E163=1,AND($I$1=7,$L162=0,$S162&gt;1)),1,0)+IF(AND($F163=1,AND($J$1=7,$M162=0,$T162&gt;1)),1,0)+IF(AND($G163=1,AND($K$1=7,$N162=0,$U162&gt;1)),1,0)+IF(AND($H163=1,AND($L$1=7,$O162=0,$V162&gt;1)),1,0)</f>
        <v/>
      </c>
      <c r="AB163" s="38">
        <f>IF(IFERROR('Июн'!$I7,"")="",0,$AB162+1)</f>
        <v/>
      </c>
    </row>
    <row r="164" spans="1:28">
      <c r="A164" s="38">
        <f>IF($B$1&gt;=DATE(2026,6,3),1,0)</f>
        <v/>
      </c>
      <c r="B164" s="38">
        <f>IFERROR(IF('Июн'!$B8=TRUE,1,0),0)</f>
        <v/>
      </c>
      <c r="C164" s="38">
        <f>IFERROR(IF('Июн'!$C8=TRUE,1,0),0)</f>
        <v/>
      </c>
      <c r="D164" s="38">
        <f>IFERROR(IF('Июн'!$D8=TRUE,1,0),0)</f>
        <v/>
      </c>
      <c r="E164" s="38">
        <f>IFERROR(IF('Июн'!$E8=TRUE,1,0),0)</f>
        <v/>
      </c>
      <c r="F164" s="38">
        <f>IFERROR(IF('Июн'!$F8=TRUE,1,0),0)</f>
        <v/>
      </c>
      <c r="G164" s="38">
        <f>IFERROR(IF('Июн'!$G8=TRUE,1,0),0)</f>
        <v/>
      </c>
      <c r="H164" s="38">
        <f>IFERROR(IF('Июн'!$H8=TRUE,1,0),0)</f>
        <v/>
      </c>
      <c r="I164" s="38">
        <f>IF($A164=0,$I163,IF($B164=1,$I163+1,IF($P164&lt;=1,$I163,0)))</f>
        <v/>
      </c>
      <c r="J164" s="38">
        <f>IF($A164=0,$J163,IF($C164=1,$J163+1,IF($Q164&lt;=1,$J163,0)))</f>
        <v/>
      </c>
      <c r="K164" s="38">
        <f>IF($A164=0,$K163,IF($D164=1,$K163+1,IF($R164&lt;=1,$K163,0)))</f>
        <v/>
      </c>
      <c r="L164" s="38">
        <f>IF($A164=0,$L163,IF($E164=1,$L163+1,IF($S164&lt;=1,$L163,0)))</f>
        <v/>
      </c>
      <c r="M164" s="38">
        <f>IF($A164=0,$M163,IF($F164=1,$M163+1,IF($T164&lt;=1,$M163,0)))</f>
        <v/>
      </c>
      <c r="N164" s="38">
        <f>IF($A164=0,$N163,IF($G164=1,$N163+1,IF($U164&lt;=1,$N163,0)))</f>
        <v/>
      </c>
      <c r="O164" s="38">
        <f>IF($A164=0,$O163,IF($H164=1,$O163+1,IF($V164&lt;=1,$O163,0)))</f>
        <v/>
      </c>
      <c r="P164" s="38">
        <f>IF($A164=0,$P163,$P163+IF($B164=1,0,1))</f>
        <v/>
      </c>
      <c r="Q164" s="38">
        <f>IF($A164=0,$Q163,$Q163+IF($C164=1,0,1))</f>
        <v/>
      </c>
      <c r="R164" s="38">
        <f>IF($A164=0,$R163,$R163+IF($D164=1,0,1))</f>
        <v/>
      </c>
      <c r="S164" s="38">
        <f>IF($A164=0,$S163,$S163+IF($E164=1,0,1))</f>
        <v/>
      </c>
      <c r="T164" s="38">
        <f>IF($A164=0,$T163,$T163+IF($F164=1,0,1))</f>
        <v/>
      </c>
      <c r="U164" s="38">
        <f>IF($A164=0,$U163,$U163+IF($G164=1,0,1))</f>
        <v/>
      </c>
      <c r="V164" s="38">
        <f>IF($A164=0,$V163,$V163+IF($H164=1,0,1))</f>
        <v/>
      </c>
      <c r="W164" s="38">
        <f>SUM($B164:$H164)</f>
        <v/>
      </c>
      <c r="X164" s="38">
        <f>IF(AND($A164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164=1),1,0)+IF(AND($G$1=7,$C164=1),1,0)+IF(AND($H$1=7,$D164=1),1,0)+IF(AND($I$1=7,$E164=1),1,0)+IF(AND($J$1=7,$F164=1),1,0)+IF(AND($K$1=7,$G164=1),1,0)+IF(AND($L$1=7,$H164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4" s="38">
        <f>IF($B164=1,IF($F$1&lt;7,10,IF(AND($F$1=7,$I163=0,$P163&gt;1),15,IF($I163&gt;=20,15,IF($I163&gt;=6,13,10)))),0)+IF($C164=1,IF($G$1&lt;7,10,IF(AND($G$1=7,$J163=0,$Q163&gt;1),15,IF($J163&gt;=20,15,IF($J163&gt;=6,13,10)))),0)+IF($D164=1,IF($H$1&lt;7,10,IF(AND($H$1=7,$K163=0,$R163&gt;1),15,IF($K163&gt;=20,15,IF($K163&gt;=6,13,10)))),0)+IF($E164=1,IF($I$1&lt;7,10,IF(AND($I$1=7,$L163=0,$S163&gt;1),15,IF($L163&gt;=20,15,IF($L163&gt;=6,13,10)))),0)+IF($F164=1,IF($J$1&lt;7,10,IF(AND($J$1=7,$M163=0,$T163&gt;1),15,IF($M163&gt;=20,15,IF($M163&gt;=6,13,10)))),0)+IF($G164=1,IF($K$1&lt;7,10,IF(AND($K$1=7,$N163=0,$U163&gt;1),15,IF($N163&gt;=20,15,IF($N163&gt;=6,13,10)))),0)+IF($H164=1,IF($L$1&lt;7,10,IF(AND($L$1=7,$O163=0,$V163&gt;1),15,IF($O163&gt;=20,15,IF($O163&gt;=6,13,10)))),0)</f>
        <v/>
      </c>
      <c r="Z164" s="38">
        <f>$Z163+$Y164</f>
        <v/>
      </c>
      <c r="AA164" s="38">
        <f>IF(AND($B164=1,AND($F$1=7,$I163=0,$P163&gt;1)),1,0)+IF(AND($C164=1,AND($G$1=7,$J163=0,$Q163&gt;1)),1,0)+IF(AND($D164=1,AND($H$1=7,$K163=0,$R163&gt;1)),1,0)+IF(AND($E164=1,AND($I$1=7,$L163=0,$S163&gt;1)),1,0)+IF(AND($F164=1,AND($J$1=7,$M163=0,$T163&gt;1)),1,0)+IF(AND($G164=1,AND($K$1=7,$N163=0,$U163&gt;1)),1,0)+IF(AND($H164=1,AND($L$1=7,$O163=0,$V163&gt;1)),1,0)</f>
        <v/>
      </c>
      <c r="AB164" s="38">
        <f>IF(IFERROR('Июн'!$I8,"")="",0,$AB163+1)</f>
        <v/>
      </c>
    </row>
    <row r="165" spans="1:28">
      <c r="A165" s="38">
        <f>IF($B$1&gt;=DATE(2026,6,4),1,0)</f>
        <v/>
      </c>
      <c r="B165" s="38">
        <f>IFERROR(IF('Июн'!$B9=TRUE,1,0),0)</f>
        <v/>
      </c>
      <c r="C165" s="38">
        <f>IFERROR(IF('Июн'!$C9=TRUE,1,0),0)</f>
        <v/>
      </c>
      <c r="D165" s="38">
        <f>IFERROR(IF('Июн'!$D9=TRUE,1,0),0)</f>
        <v/>
      </c>
      <c r="E165" s="38">
        <f>IFERROR(IF('Июн'!$E9=TRUE,1,0),0)</f>
        <v/>
      </c>
      <c r="F165" s="38">
        <f>IFERROR(IF('Июн'!$F9=TRUE,1,0),0)</f>
        <v/>
      </c>
      <c r="G165" s="38">
        <f>IFERROR(IF('Июн'!$G9=TRUE,1,0),0)</f>
        <v/>
      </c>
      <c r="H165" s="38">
        <f>IFERROR(IF('Июн'!$H9=TRUE,1,0),0)</f>
        <v/>
      </c>
      <c r="I165" s="38">
        <f>IF($A165=0,$I164,IF($B165=1,$I164+1,IF($P165&lt;=1,$I164,0)))</f>
        <v/>
      </c>
      <c r="J165" s="38">
        <f>IF($A165=0,$J164,IF($C165=1,$J164+1,IF($Q165&lt;=1,$J164,0)))</f>
        <v/>
      </c>
      <c r="K165" s="38">
        <f>IF($A165=0,$K164,IF($D165=1,$K164+1,IF($R165&lt;=1,$K164,0)))</f>
        <v/>
      </c>
      <c r="L165" s="38">
        <f>IF($A165=0,$L164,IF($E165=1,$L164+1,IF($S165&lt;=1,$L164,0)))</f>
        <v/>
      </c>
      <c r="M165" s="38">
        <f>IF($A165=0,$M164,IF($F165=1,$M164+1,IF($T165&lt;=1,$M164,0)))</f>
        <v/>
      </c>
      <c r="N165" s="38">
        <f>IF($A165=0,$N164,IF($G165=1,$N164+1,IF($U165&lt;=1,$N164,0)))</f>
        <v/>
      </c>
      <c r="O165" s="38">
        <f>IF($A165=0,$O164,IF($H165=1,$O164+1,IF($V165&lt;=1,$O164,0)))</f>
        <v/>
      </c>
      <c r="P165" s="38">
        <f>IF($A165=0,$P164,$P164+IF($B165=1,0,1))</f>
        <v/>
      </c>
      <c r="Q165" s="38">
        <f>IF($A165=0,$Q164,$Q164+IF($C165=1,0,1))</f>
        <v/>
      </c>
      <c r="R165" s="38">
        <f>IF($A165=0,$R164,$R164+IF($D165=1,0,1))</f>
        <v/>
      </c>
      <c r="S165" s="38">
        <f>IF($A165=0,$S164,$S164+IF($E165=1,0,1))</f>
        <v/>
      </c>
      <c r="T165" s="38">
        <f>IF($A165=0,$T164,$T164+IF($F165=1,0,1))</f>
        <v/>
      </c>
      <c r="U165" s="38">
        <f>IF($A165=0,$U164,$U164+IF($G165=1,0,1))</f>
        <v/>
      </c>
      <c r="V165" s="38">
        <f>IF($A165=0,$V164,$V164+IF($H165=1,0,1))</f>
        <v/>
      </c>
      <c r="W165" s="38">
        <f>SUM($B165:$H165)</f>
        <v/>
      </c>
      <c r="X165" s="38">
        <f>IF(AND($A165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165=1),1,0)+IF(AND($G$1=7,$C165=1),1,0)+IF(AND($H$1=7,$D165=1),1,0)+IF(AND($I$1=7,$E165=1),1,0)+IF(AND($J$1=7,$F165=1),1,0)+IF(AND($K$1=7,$G165=1),1,0)+IF(AND($L$1=7,$H165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5" s="38">
        <f>IF($B165=1,IF($F$1&lt;7,10,IF(AND($F$1=7,$I164=0,$P164&gt;1),15,IF($I164&gt;=20,15,IF($I164&gt;=6,13,10)))),0)+IF($C165=1,IF($G$1&lt;7,10,IF(AND($G$1=7,$J164=0,$Q164&gt;1),15,IF($J164&gt;=20,15,IF($J164&gt;=6,13,10)))),0)+IF($D165=1,IF($H$1&lt;7,10,IF(AND($H$1=7,$K164=0,$R164&gt;1),15,IF($K164&gt;=20,15,IF($K164&gt;=6,13,10)))),0)+IF($E165=1,IF($I$1&lt;7,10,IF(AND($I$1=7,$L164=0,$S164&gt;1),15,IF($L164&gt;=20,15,IF($L164&gt;=6,13,10)))),0)+IF($F165=1,IF($J$1&lt;7,10,IF(AND($J$1=7,$M164=0,$T164&gt;1),15,IF($M164&gt;=20,15,IF($M164&gt;=6,13,10)))),0)+IF($G165=1,IF($K$1&lt;7,10,IF(AND($K$1=7,$N164=0,$U164&gt;1),15,IF($N164&gt;=20,15,IF($N164&gt;=6,13,10)))),0)+IF($H165=1,IF($L$1&lt;7,10,IF(AND($L$1=7,$O164=0,$V164&gt;1),15,IF($O164&gt;=20,15,IF($O164&gt;=6,13,10)))),0)</f>
        <v/>
      </c>
      <c r="Z165" s="38">
        <f>$Z164+$Y165</f>
        <v/>
      </c>
      <c r="AA165" s="38">
        <f>IF(AND($B165=1,AND($F$1=7,$I164=0,$P164&gt;1)),1,0)+IF(AND($C165=1,AND($G$1=7,$J164=0,$Q164&gt;1)),1,0)+IF(AND($D165=1,AND($H$1=7,$K164=0,$R164&gt;1)),1,0)+IF(AND($E165=1,AND($I$1=7,$L164=0,$S164&gt;1)),1,0)+IF(AND($F165=1,AND($J$1=7,$M164=0,$T164&gt;1)),1,0)+IF(AND($G165=1,AND($K$1=7,$N164=0,$U164&gt;1)),1,0)+IF(AND($H165=1,AND($L$1=7,$O164=0,$V164&gt;1)),1,0)</f>
        <v/>
      </c>
      <c r="AB165" s="38">
        <f>IF(IFERROR('Июн'!$I9,"")="",0,$AB164+1)</f>
        <v/>
      </c>
    </row>
    <row r="166" spans="1:28">
      <c r="A166" s="38">
        <f>IF($B$1&gt;=DATE(2026,6,5),1,0)</f>
        <v/>
      </c>
      <c r="B166" s="38">
        <f>IFERROR(IF('Июн'!$B10=TRUE,1,0),0)</f>
        <v/>
      </c>
      <c r="C166" s="38">
        <f>IFERROR(IF('Июн'!$C10=TRUE,1,0),0)</f>
        <v/>
      </c>
      <c r="D166" s="38">
        <f>IFERROR(IF('Июн'!$D10=TRUE,1,0),0)</f>
        <v/>
      </c>
      <c r="E166" s="38">
        <f>IFERROR(IF('Июн'!$E10=TRUE,1,0),0)</f>
        <v/>
      </c>
      <c r="F166" s="38">
        <f>IFERROR(IF('Июн'!$F10=TRUE,1,0),0)</f>
        <v/>
      </c>
      <c r="G166" s="38">
        <f>IFERROR(IF('Июн'!$G10=TRUE,1,0),0)</f>
        <v/>
      </c>
      <c r="H166" s="38">
        <f>IFERROR(IF('Июн'!$H10=TRUE,1,0),0)</f>
        <v/>
      </c>
      <c r="I166" s="38">
        <f>IF($A166=0,$I165,IF($B166=1,$I165+1,IF($P166&lt;=1,$I165,0)))</f>
        <v/>
      </c>
      <c r="J166" s="38">
        <f>IF($A166=0,$J165,IF($C166=1,$J165+1,IF($Q166&lt;=1,$J165,0)))</f>
        <v/>
      </c>
      <c r="K166" s="38">
        <f>IF($A166=0,$K165,IF($D166=1,$K165+1,IF($R166&lt;=1,$K165,0)))</f>
        <v/>
      </c>
      <c r="L166" s="38">
        <f>IF($A166=0,$L165,IF($E166=1,$L165+1,IF($S166&lt;=1,$L165,0)))</f>
        <v/>
      </c>
      <c r="M166" s="38">
        <f>IF($A166=0,$M165,IF($F166=1,$M165+1,IF($T166&lt;=1,$M165,0)))</f>
        <v/>
      </c>
      <c r="N166" s="38">
        <f>IF($A166=0,$N165,IF($G166=1,$N165+1,IF($U166&lt;=1,$N165,0)))</f>
        <v/>
      </c>
      <c r="O166" s="38">
        <f>IF($A166=0,$O165,IF($H166=1,$O165+1,IF($V166&lt;=1,$O165,0)))</f>
        <v/>
      </c>
      <c r="P166" s="38">
        <f>IF($A166=0,$P165,$P165+IF($B166=1,0,1))</f>
        <v/>
      </c>
      <c r="Q166" s="38">
        <f>IF($A166=0,$Q165,$Q165+IF($C166=1,0,1))</f>
        <v/>
      </c>
      <c r="R166" s="38">
        <f>IF($A166=0,$R165,$R165+IF($D166=1,0,1))</f>
        <v/>
      </c>
      <c r="S166" s="38">
        <f>IF($A166=0,$S165,$S165+IF($E166=1,0,1))</f>
        <v/>
      </c>
      <c r="T166" s="38">
        <f>IF($A166=0,$T165,$T165+IF($F166=1,0,1))</f>
        <v/>
      </c>
      <c r="U166" s="38">
        <f>IF($A166=0,$U165,$U165+IF($G166=1,0,1))</f>
        <v/>
      </c>
      <c r="V166" s="38">
        <f>IF($A166=0,$V165,$V165+IF($H166=1,0,1))</f>
        <v/>
      </c>
      <c r="W166" s="38">
        <f>SUM($B166:$H166)</f>
        <v/>
      </c>
      <c r="X166" s="38">
        <f>IF(AND($A166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166=1),1,0)+IF(AND($G$1=7,$C166=1),1,0)+IF(AND($H$1=7,$D166=1),1,0)+IF(AND($I$1=7,$E166=1),1,0)+IF(AND($J$1=7,$F166=1),1,0)+IF(AND($K$1=7,$G166=1),1,0)+IF(AND($L$1=7,$H166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6" s="38">
        <f>IF($B166=1,IF($F$1&lt;7,10,IF(AND($F$1=7,$I165=0,$P165&gt;1),15,IF($I165&gt;=20,15,IF($I165&gt;=6,13,10)))),0)+IF($C166=1,IF($G$1&lt;7,10,IF(AND($G$1=7,$J165=0,$Q165&gt;1),15,IF($J165&gt;=20,15,IF($J165&gt;=6,13,10)))),0)+IF($D166=1,IF($H$1&lt;7,10,IF(AND($H$1=7,$K165=0,$R165&gt;1),15,IF($K165&gt;=20,15,IF($K165&gt;=6,13,10)))),0)+IF($E166=1,IF($I$1&lt;7,10,IF(AND($I$1=7,$L165=0,$S165&gt;1),15,IF($L165&gt;=20,15,IF($L165&gt;=6,13,10)))),0)+IF($F166=1,IF($J$1&lt;7,10,IF(AND($J$1=7,$M165=0,$T165&gt;1),15,IF($M165&gt;=20,15,IF($M165&gt;=6,13,10)))),0)+IF($G166=1,IF($K$1&lt;7,10,IF(AND($K$1=7,$N165=0,$U165&gt;1),15,IF($N165&gt;=20,15,IF($N165&gt;=6,13,10)))),0)+IF($H166=1,IF($L$1&lt;7,10,IF(AND($L$1=7,$O165=0,$V165&gt;1),15,IF($O165&gt;=20,15,IF($O165&gt;=6,13,10)))),0)</f>
        <v/>
      </c>
      <c r="Z166" s="38">
        <f>$Z165+$Y166</f>
        <v/>
      </c>
      <c r="AA166" s="38">
        <f>IF(AND($B166=1,AND($F$1=7,$I165=0,$P165&gt;1)),1,0)+IF(AND($C166=1,AND($G$1=7,$J165=0,$Q165&gt;1)),1,0)+IF(AND($D166=1,AND($H$1=7,$K165=0,$R165&gt;1)),1,0)+IF(AND($E166=1,AND($I$1=7,$L165=0,$S165&gt;1)),1,0)+IF(AND($F166=1,AND($J$1=7,$M165=0,$T165&gt;1)),1,0)+IF(AND($G166=1,AND($K$1=7,$N165=0,$U165&gt;1)),1,0)+IF(AND($H166=1,AND($L$1=7,$O165=0,$V165&gt;1)),1,0)</f>
        <v/>
      </c>
      <c r="AB166" s="38">
        <f>IF(IFERROR('Июн'!$I10,"")="",0,$AB165+1)</f>
        <v/>
      </c>
    </row>
    <row r="167" spans="1:28">
      <c r="A167" s="38">
        <f>IF($B$1&gt;=DATE(2026,6,6),1,0)</f>
        <v/>
      </c>
      <c r="B167" s="38">
        <f>IFERROR(IF('Июн'!$B11=TRUE,1,0),0)</f>
        <v/>
      </c>
      <c r="C167" s="38">
        <f>IFERROR(IF('Июн'!$C11=TRUE,1,0),0)</f>
        <v/>
      </c>
      <c r="D167" s="38">
        <f>IFERROR(IF('Июн'!$D11=TRUE,1,0),0)</f>
        <v/>
      </c>
      <c r="E167" s="38">
        <f>IFERROR(IF('Июн'!$E11=TRUE,1,0),0)</f>
        <v/>
      </c>
      <c r="F167" s="38">
        <f>IFERROR(IF('Июн'!$F11=TRUE,1,0),0)</f>
        <v/>
      </c>
      <c r="G167" s="38">
        <f>IFERROR(IF('Июн'!$G11=TRUE,1,0),0)</f>
        <v/>
      </c>
      <c r="H167" s="38">
        <f>IFERROR(IF('Июн'!$H11=TRUE,1,0),0)</f>
        <v/>
      </c>
      <c r="I167" s="38">
        <f>IF($A167=0,$I166,IF($B167=1,$I166+1,IF($P167&lt;=1,$I166,0)))</f>
        <v/>
      </c>
      <c r="J167" s="38">
        <f>IF($A167=0,$J166,IF($C167=1,$J166+1,IF($Q167&lt;=1,$J166,0)))</f>
        <v/>
      </c>
      <c r="K167" s="38">
        <f>IF($A167=0,$K166,IF($D167=1,$K166+1,IF($R167&lt;=1,$K166,0)))</f>
        <v/>
      </c>
      <c r="L167" s="38">
        <f>IF($A167=0,$L166,IF($E167=1,$L166+1,IF($S167&lt;=1,$L166,0)))</f>
        <v/>
      </c>
      <c r="M167" s="38">
        <f>IF($A167=0,$M166,IF($F167=1,$M166+1,IF($T167&lt;=1,$M166,0)))</f>
        <v/>
      </c>
      <c r="N167" s="38">
        <f>IF($A167=0,$N166,IF($G167=1,$N166+1,IF($U167&lt;=1,$N166,0)))</f>
        <v/>
      </c>
      <c r="O167" s="38">
        <f>IF($A167=0,$O166,IF($H167=1,$O166+1,IF($V167&lt;=1,$O166,0)))</f>
        <v/>
      </c>
      <c r="P167" s="38">
        <f>IF($A167=0,$P166,$P166+IF($B167=1,0,1))</f>
        <v/>
      </c>
      <c r="Q167" s="38">
        <f>IF($A167=0,$Q166,$Q166+IF($C167=1,0,1))</f>
        <v/>
      </c>
      <c r="R167" s="38">
        <f>IF($A167=0,$R166,$R166+IF($D167=1,0,1))</f>
        <v/>
      </c>
      <c r="S167" s="38">
        <f>IF($A167=0,$S166,$S166+IF($E167=1,0,1))</f>
        <v/>
      </c>
      <c r="T167" s="38">
        <f>IF($A167=0,$T166,$T166+IF($F167=1,0,1))</f>
        <v/>
      </c>
      <c r="U167" s="38">
        <f>IF($A167=0,$U166,$U166+IF($G167=1,0,1))</f>
        <v/>
      </c>
      <c r="V167" s="38">
        <f>IF($A167=0,$V166,$V166+IF($H167=1,0,1))</f>
        <v/>
      </c>
      <c r="W167" s="38">
        <f>SUM($B167:$H167)</f>
        <v/>
      </c>
      <c r="X167" s="38">
        <f>IF(AND($A167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167=1),1,0)+IF(AND($G$1=7,$C167=1),1,0)+IF(AND($H$1=7,$D167=1),1,0)+IF(AND($I$1=7,$E167=1),1,0)+IF(AND($J$1=7,$F167=1),1,0)+IF(AND($K$1=7,$G167=1),1,0)+IF(AND($L$1=7,$H167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7" s="38">
        <f>IF($B167=1,IF($F$1&lt;7,10,IF(AND($F$1=7,$I166=0,$P166&gt;1),15,IF($I166&gt;=20,15,IF($I166&gt;=6,13,10)))),0)+IF($C167=1,IF($G$1&lt;7,10,IF(AND($G$1=7,$J166=0,$Q166&gt;1),15,IF($J166&gt;=20,15,IF($J166&gt;=6,13,10)))),0)+IF($D167=1,IF($H$1&lt;7,10,IF(AND($H$1=7,$K166=0,$R166&gt;1),15,IF($K166&gt;=20,15,IF($K166&gt;=6,13,10)))),0)+IF($E167=1,IF($I$1&lt;7,10,IF(AND($I$1=7,$L166=0,$S166&gt;1),15,IF($L166&gt;=20,15,IF($L166&gt;=6,13,10)))),0)+IF($F167=1,IF($J$1&lt;7,10,IF(AND($J$1=7,$M166=0,$T166&gt;1),15,IF($M166&gt;=20,15,IF($M166&gt;=6,13,10)))),0)+IF($G167=1,IF($K$1&lt;7,10,IF(AND($K$1=7,$N166=0,$U166&gt;1),15,IF($N166&gt;=20,15,IF($N166&gt;=6,13,10)))),0)+IF($H167=1,IF($L$1&lt;7,10,IF(AND($L$1=7,$O166=0,$V166&gt;1),15,IF($O166&gt;=20,15,IF($O166&gt;=6,13,10)))),0)</f>
        <v/>
      </c>
      <c r="Z167" s="38">
        <f>$Z166+$Y167</f>
        <v/>
      </c>
      <c r="AA167" s="38">
        <f>IF(AND($B167=1,AND($F$1=7,$I166=0,$P166&gt;1)),1,0)+IF(AND($C167=1,AND($G$1=7,$J166=0,$Q166&gt;1)),1,0)+IF(AND($D167=1,AND($H$1=7,$K166=0,$R166&gt;1)),1,0)+IF(AND($E167=1,AND($I$1=7,$L166=0,$S166&gt;1)),1,0)+IF(AND($F167=1,AND($J$1=7,$M166=0,$T166&gt;1)),1,0)+IF(AND($G167=1,AND($K$1=7,$N166=0,$U166&gt;1)),1,0)+IF(AND($H167=1,AND($L$1=7,$O166=0,$V166&gt;1)),1,0)</f>
        <v/>
      </c>
      <c r="AB167" s="38">
        <f>IF(IFERROR('Июн'!$I11,"")="",0,$AB166+1)</f>
        <v/>
      </c>
    </row>
    <row r="168" spans="1:28">
      <c r="A168" s="38">
        <f>IF($B$1&gt;=DATE(2026,6,7),1,0)</f>
        <v/>
      </c>
      <c r="B168" s="38">
        <f>IFERROR(IF('Июн'!$B12=TRUE,1,0),0)</f>
        <v/>
      </c>
      <c r="C168" s="38">
        <f>IFERROR(IF('Июн'!$C12=TRUE,1,0),0)</f>
        <v/>
      </c>
      <c r="D168" s="38">
        <f>IFERROR(IF('Июн'!$D12=TRUE,1,0),0)</f>
        <v/>
      </c>
      <c r="E168" s="38">
        <f>IFERROR(IF('Июн'!$E12=TRUE,1,0),0)</f>
        <v/>
      </c>
      <c r="F168" s="38">
        <f>IFERROR(IF('Июн'!$F12=TRUE,1,0),0)</f>
        <v/>
      </c>
      <c r="G168" s="38">
        <f>IFERROR(IF('Июн'!$G12=TRUE,1,0),0)</f>
        <v/>
      </c>
      <c r="H168" s="38">
        <f>IFERROR(IF('Июн'!$H12=TRUE,1,0),0)</f>
        <v/>
      </c>
      <c r="I168" s="38">
        <f>IF($A168=0,$I167,IF($B168=1,$I167+1,IF($P168&lt;=1,$I167,0)))</f>
        <v/>
      </c>
      <c r="J168" s="38">
        <f>IF($A168=0,$J167,IF($C168=1,$J167+1,IF($Q168&lt;=1,$J167,0)))</f>
        <v/>
      </c>
      <c r="K168" s="38">
        <f>IF($A168=0,$K167,IF($D168=1,$K167+1,IF($R168&lt;=1,$K167,0)))</f>
        <v/>
      </c>
      <c r="L168" s="38">
        <f>IF($A168=0,$L167,IF($E168=1,$L167+1,IF($S168&lt;=1,$L167,0)))</f>
        <v/>
      </c>
      <c r="M168" s="38">
        <f>IF($A168=0,$M167,IF($F168=1,$M167+1,IF($T168&lt;=1,$M167,0)))</f>
        <v/>
      </c>
      <c r="N168" s="38">
        <f>IF($A168=0,$N167,IF($G168=1,$N167+1,IF($U168&lt;=1,$N167,0)))</f>
        <v/>
      </c>
      <c r="O168" s="38">
        <f>IF($A168=0,$O167,IF($H168=1,$O167+1,IF($V168&lt;=1,$O167,0)))</f>
        <v/>
      </c>
      <c r="P168" s="38">
        <f>IF($A168=0,$P167,$P167+IF($B168=1,0,1))</f>
        <v/>
      </c>
      <c r="Q168" s="38">
        <f>IF($A168=0,$Q167,$Q167+IF($C168=1,0,1))</f>
        <v/>
      </c>
      <c r="R168" s="38">
        <f>IF($A168=0,$R167,$R167+IF($D168=1,0,1))</f>
        <v/>
      </c>
      <c r="S168" s="38">
        <f>IF($A168=0,$S167,$S167+IF($E168=1,0,1))</f>
        <v/>
      </c>
      <c r="T168" s="38">
        <f>IF($A168=0,$T167,$T167+IF($F168=1,0,1))</f>
        <v/>
      </c>
      <c r="U168" s="38">
        <f>IF($A168=0,$U167,$U167+IF($G168=1,0,1))</f>
        <v/>
      </c>
      <c r="V168" s="38">
        <f>IF($A168=0,$V167,$V167+IF($H168=1,0,1))</f>
        <v/>
      </c>
      <c r="W168" s="38">
        <f>SUM($B168:$H168)</f>
        <v/>
      </c>
      <c r="X168" s="38">
        <f>IF(AND($A168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168=1),1,0)+IF(AND($G$1=7,$C168=1),1,0)+IF(AND($H$1=7,$D168=1),1,0)+IF(AND($I$1=7,$E168=1),1,0)+IF(AND($J$1=7,$F168=1),1,0)+IF(AND($K$1=7,$G168=1),1,0)+IF(AND($L$1=7,$H168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8" s="38">
        <f>IF($B168=1,IF($F$1&lt;7,10,IF(AND($F$1=7,$I167=0,$P167&gt;1),15,IF($I167&gt;=20,15,IF($I167&gt;=6,13,10)))),0)+IF($C168=1,IF($G$1&lt;7,10,IF(AND($G$1=7,$J167=0,$Q167&gt;1),15,IF($J167&gt;=20,15,IF($J167&gt;=6,13,10)))),0)+IF($D168=1,IF($H$1&lt;7,10,IF(AND($H$1=7,$K167=0,$R167&gt;1),15,IF($K167&gt;=20,15,IF($K167&gt;=6,13,10)))),0)+IF($E168=1,IF($I$1&lt;7,10,IF(AND($I$1=7,$L167=0,$S167&gt;1),15,IF($L167&gt;=20,15,IF($L167&gt;=6,13,10)))),0)+IF($F168=1,IF($J$1&lt;7,10,IF(AND($J$1=7,$M167=0,$T167&gt;1),15,IF($M167&gt;=20,15,IF($M167&gt;=6,13,10)))),0)+IF($G168=1,IF($K$1&lt;7,10,IF(AND($K$1=7,$N167=0,$U167&gt;1),15,IF($N167&gt;=20,15,IF($N167&gt;=6,13,10)))),0)+IF($H168=1,IF($L$1&lt;7,10,IF(AND($L$1=7,$O167=0,$V167&gt;1),15,IF($O167&gt;=20,15,IF($O167&gt;=6,13,10)))),0)</f>
        <v/>
      </c>
      <c r="Z168" s="38">
        <f>$Z167+$Y168</f>
        <v/>
      </c>
      <c r="AA168" s="38">
        <f>IF(AND($B168=1,AND($F$1=7,$I167=0,$P167&gt;1)),1,0)+IF(AND($C168=1,AND($G$1=7,$J167=0,$Q167&gt;1)),1,0)+IF(AND($D168=1,AND($H$1=7,$K167=0,$R167&gt;1)),1,0)+IF(AND($E168=1,AND($I$1=7,$L167=0,$S167&gt;1)),1,0)+IF(AND($F168=1,AND($J$1=7,$M167=0,$T167&gt;1)),1,0)+IF(AND($G168=1,AND($K$1=7,$N167=0,$U167&gt;1)),1,0)+IF(AND($H168=1,AND($L$1=7,$O167=0,$V167&gt;1)),1,0)</f>
        <v/>
      </c>
      <c r="AB168" s="38">
        <f>IF(IFERROR('Июн'!$I12,"")="",0,$AB167+1)</f>
        <v/>
      </c>
    </row>
    <row r="169" spans="1:28">
      <c r="A169" s="38">
        <f>IF($B$1&gt;=DATE(2026,6,8),1,0)</f>
        <v/>
      </c>
      <c r="B169" s="38">
        <f>IFERROR(IF('Июн'!$B13=TRUE,1,0),0)</f>
        <v/>
      </c>
      <c r="C169" s="38">
        <f>IFERROR(IF('Июн'!$C13=TRUE,1,0),0)</f>
        <v/>
      </c>
      <c r="D169" s="38">
        <f>IFERROR(IF('Июн'!$D13=TRUE,1,0),0)</f>
        <v/>
      </c>
      <c r="E169" s="38">
        <f>IFERROR(IF('Июн'!$E13=TRUE,1,0),0)</f>
        <v/>
      </c>
      <c r="F169" s="38">
        <f>IFERROR(IF('Июн'!$F13=TRUE,1,0),0)</f>
        <v/>
      </c>
      <c r="G169" s="38">
        <f>IFERROR(IF('Июн'!$G13=TRUE,1,0),0)</f>
        <v/>
      </c>
      <c r="H169" s="38">
        <f>IFERROR(IF('Июн'!$H13=TRUE,1,0),0)</f>
        <v/>
      </c>
      <c r="I169" s="38">
        <f>IF($A169=0,$I168,IF($B169=1,$I168+1,IF($P169&lt;=1,$I168,0)))</f>
        <v/>
      </c>
      <c r="J169" s="38">
        <f>IF($A169=0,$J168,IF($C169=1,$J168+1,IF($Q169&lt;=1,$J168,0)))</f>
        <v/>
      </c>
      <c r="K169" s="38">
        <f>IF($A169=0,$K168,IF($D169=1,$K168+1,IF($R169&lt;=1,$K168,0)))</f>
        <v/>
      </c>
      <c r="L169" s="38">
        <f>IF($A169=0,$L168,IF($E169=1,$L168+1,IF($S169&lt;=1,$L168,0)))</f>
        <v/>
      </c>
      <c r="M169" s="38">
        <f>IF($A169=0,$M168,IF($F169=1,$M168+1,IF($T169&lt;=1,$M168,0)))</f>
        <v/>
      </c>
      <c r="N169" s="38">
        <f>IF($A169=0,$N168,IF($G169=1,$N168+1,IF($U169&lt;=1,$N168,0)))</f>
        <v/>
      </c>
      <c r="O169" s="38">
        <f>IF($A169=0,$O168,IF($H169=1,$O168+1,IF($V169&lt;=1,$O168,0)))</f>
        <v/>
      </c>
      <c r="P169" s="38">
        <f>IF($A169=0,$P168,$P168+IF($B169=1,0,1))</f>
        <v/>
      </c>
      <c r="Q169" s="38">
        <f>IF($A169=0,$Q168,$Q168+IF($C169=1,0,1))</f>
        <v/>
      </c>
      <c r="R169" s="38">
        <f>IF($A169=0,$R168,$R168+IF($D169=1,0,1))</f>
        <v/>
      </c>
      <c r="S169" s="38">
        <f>IF($A169=0,$S168,$S168+IF($E169=1,0,1))</f>
        <v/>
      </c>
      <c r="T169" s="38">
        <f>IF($A169=0,$T168,$T168+IF($F169=1,0,1))</f>
        <v/>
      </c>
      <c r="U169" s="38">
        <f>IF($A169=0,$U168,$U168+IF($G169=1,0,1))</f>
        <v/>
      </c>
      <c r="V169" s="38">
        <f>IF($A169=0,$V168,$V168+IF($H169=1,0,1))</f>
        <v/>
      </c>
      <c r="W169" s="38">
        <f>SUM($B169:$H169)</f>
        <v/>
      </c>
      <c r="X169" s="38">
        <f>IF(AND($A169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169=1),1,0)+IF(AND($G$1=7,$C169=1),1,0)+IF(AND($H$1=7,$D169=1),1,0)+IF(AND($I$1=7,$E169=1),1,0)+IF(AND($J$1=7,$F169=1),1,0)+IF(AND($K$1=7,$G169=1),1,0)+IF(AND($L$1=7,$H169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9" s="38">
        <f>IF($B169=1,IF($F$1&lt;7,10,IF(AND($F$1=7,$I168=0,$P168&gt;1),15,IF($I168&gt;=20,15,IF($I168&gt;=6,13,10)))),0)+IF($C169=1,IF($G$1&lt;7,10,IF(AND($G$1=7,$J168=0,$Q168&gt;1),15,IF($J168&gt;=20,15,IF($J168&gt;=6,13,10)))),0)+IF($D169=1,IF($H$1&lt;7,10,IF(AND($H$1=7,$K168=0,$R168&gt;1),15,IF($K168&gt;=20,15,IF($K168&gt;=6,13,10)))),0)+IF($E169=1,IF($I$1&lt;7,10,IF(AND($I$1=7,$L168=0,$S168&gt;1),15,IF($L168&gt;=20,15,IF($L168&gt;=6,13,10)))),0)+IF($F169=1,IF($J$1&lt;7,10,IF(AND($J$1=7,$M168=0,$T168&gt;1),15,IF($M168&gt;=20,15,IF($M168&gt;=6,13,10)))),0)+IF($G169=1,IF($K$1&lt;7,10,IF(AND($K$1=7,$N168=0,$U168&gt;1),15,IF($N168&gt;=20,15,IF($N168&gt;=6,13,10)))),0)+IF($H169=1,IF($L$1&lt;7,10,IF(AND($L$1=7,$O168=0,$V168&gt;1),15,IF($O168&gt;=20,15,IF($O168&gt;=6,13,10)))),0)</f>
        <v/>
      </c>
      <c r="Z169" s="38">
        <f>$Z168+$Y169</f>
        <v/>
      </c>
      <c r="AA169" s="38">
        <f>IF(AND($B169=1,AND($F$1=7,$I168=0,$P168&gt;1)),1,0)+IF(AND($C169=1,AND($G$1=7,$J168=0,$Q168&gt;1)),1,0)+IF(AND($D169=1,AND($H$1=7,$K168=0,$R168&gt;1)),1,0)+IF(AND($E169=1,AND($I$1=7,$L168=0,$S168&gt;1)),1,0)+IF(AND($F169=1,AND($J$1=7,$M168=0,$T168&gt;1)),1,0)+IF(AND($G169=1,AND($K$1=7,$N168=0,$U168&gt;1)),1,0)+IF(AND($H169=1,AND($L$1=7,$O168=0,$V168&gt;1)),1,0)</f>
        <v/>
      </c>
      <c r="AB169" s="38">
        <f>IF(IFERROR('Июн'!$I13,"")="",0,$AB168+1)</f>
        <v/>
      </c>
    </row>
    <row r="170" spans="1:28">
      <c r="A170" s="38">
        <f>IF($B$1&gt;=DATE(2026,6,9),1,0)</f>
        <v/>
      </c>
      <c r="B170" s="38">
        <f>IFERROR(IF('Июн'!$B14=TRUE,1,0),0)</f>
        <v/>
      </c>
      <c r="C170" s="38">
        <f>IFERROR(IF('Июн'!$C14=TRUE,1,0),0)</f>
        <v/>
      </c>
      <c r="D170" s="38">
        <f>IFERROR(IF('Июн'!$D14=TRUE,1,0),0)</f>
        <v/>
      </c>
      <c r="E170" s="38">
        <f>IFERROR(IF('Июн'!$E14=TRUE,1,0),0)</f>
        <v/>
      </c>
      <c r="F170" s="38">
        <f>IFERROR(IF('Июн'!$F14=TRUE,1,0),0)</f>
        <v/>
      </c>
      <c r="G170" s="38">
        <f>IFERROR(IF('Июн'!$G14=TRUE,1,0),0)</f>
        <v/>
      </c>
      <c r="H170" s="38">
        <f>IFERROR(IF('Июн'!$H14=TRUE,1,0),0)</f>
        <v/>
      </c>
      <c r="I170" s="38">
        <f>IF($A170=0,$I169,IF($B170=1,$I169+1,IF($P170&lt;=1,$I169,0)))</f>
        <v/>
      </c>
      <c r="J170" s="38">
        <f>IF($A170=0,$J169,IF($C170=1,$J169+1,IF($Q170&lt;=1,$J169,0)))</f>
        <v/>
      </c>
      <c r="K170" s="38">
        <f>IF($A170=0,$K169,IF($D170=1,$K169+1,IF($R170&lt;=1,$K169,0)))</f>
        <v/>
      </c>
      <c r="L170" s="38">
        <f>IF($A170=0,$L169,IF($E170=1,$L169+1,IF($S170&lt;=1,$L169,0)))</f>
        <v/>
      </c>
      <c r="M170" s="38">
        <f>IF($A170=0,$M169,IF($F170=1,$M169+1,IF($T170&lt;=1,$M169,0)))</f>
        <v/>
      </c>
      <c r="N170" s="38">
        <f>IF($A170=0,$N169,IF($G170=1,$N169+1,IF($U170&lt;=1,$N169,0)))</f>
        <v/>
      </c>
      <c r="O170" s="38">
        <f>IF($A170=0,$O169,IF($H170=1,$O169+1,IF($V170&lt;=1,$O169,0)))</f>
        <v/>
      </c>
      <c r="P170" s="38">
        <f>IF($A170=0,$P169,$P169+IF($B170=1,0,1))</f>
        <v/>
      </c>
      <c r="Q170" s="38">
        <f>IF($A170=0,$Q169,$Q169+IF($C170=1,0,1))</f>
        <v/>
      </c>
      <c r="R170" s="38">
        <f>IF($A170=0,$R169,$R169+IF($D170=1,0,1))</f>
        <v/>
      </c>
      <c r="S170" s="38">
        <f>IF($A170=0,$S169,$S169+IF($E170=1,0,1))</f>
        <v/>
      </c>
      <c r="T170" s="38">
        <f>IF($A170=0,$T169,$T169+IF($F170=1,0,1))</f>
        <v/>
      </c>
      <c r="U170" s="38">
        <f>IF($A170=0,$U169,$U169+IF($G170=1,0,1))</f>
        <v/>
      </c>
      <c r="V170" s="38">
        <f>IF($A170=0,$V169,$V169+IF($H170=1,0,1))</f>
        <v/>
      </c>
      <c r="W170" s="38">
        <f>SUM($B170:$H170)</f>
        <v/>
      </c>
      <c r="X170" s="38">
        <f>IF(AND($A170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170=1),1,0)+IF(AND($G$1=7,$C170=1),1,0)+IF(AND($H$1=7,$D170=1),1,0)+IF(AND($I$1=7,$E170=1),1,0)+IF(AND($J$1=7,$F170=1),1,0)+IF(AND($K$1=7,$G170=1),1,0)+IF(AND($L$1=7,$H170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0" s="38">
        <f>IF($B170=1,IF($F$1&lt;7,10,IF(AND($F$1=7,$I169=0,$P169&gt;1),15,IF($I169&gt;=20,15,IF($I169&gt;=6,13,10)))),0)+IF($C170=1,IF($G$1&lt;7,10,IF(AND($G$1=7,$J169=0,$Q169&gt;1),15,IF($J169&gt;=20,15,IF($J169&gt;=6,13,10)))),0)+IF($D170=1,IF($H$1&lt;7,10,IF(AND($H$1=7,$K169=0,$R169&gt;1),15,IF($K169&gt;=20,15,IF($K169&gt;=6,13,10)))),0)+IF($E170=1,IF($I$1&lt;7,10,IF(AND($I$1=7,$L169=0,$S169&gt;1),15,IF($L169&gt;=20,15,IF($L169&gt;=6,13,10)))),0)+IF($F170=1,IF($J$1&lt;7,10,IF(AND($J$1=7,$M169=0,$T169&gt;1),15,IF($M169&gt;=20,15,IF($M169&gt;=6,13,10)))),0)+IF($G170=1,IF($K$1&lt;7,10,IF(AND($K$1=7,$N169=0,$U169&gt;1),15,IF($N169&gt;=20,15,IF($N169&gt;=6,13,10)))),0)+IF($H170=1,IF($L$1&lt;7,10,IF(AND($L$1=7,$O169=0,$V169&gt;1),15,IF($O169&gt;=20,15,IF($O169&gt;=6,13,10)))),0)</f>
        <v/>
      </c>
      <c r="Z170" s="38">
        <f>$Z169+$Y170</f>
        <v/>
      </c>
      <c r="AA170" s="38">
        <f>IF(AND($B170=1,AND($F$1=7,$I169=0,$P169&gt;1)),1,0)+IF(AND($C170=1,AND($G$1=7,$J169=0,$Q169&gt;1)),1,0)+IF(AND($D170=1,AND($H$1=7,$K169=0,$R169&gt;1)),1,0)+IF(AND($E170=1,AND($I$1=7,$L169=0,$S169&gt;1)),1,0)+IF(AND($F170=1,AND($J$1=7,$M169=0,$T169&gt;1)),1,0)+IF(AND($G170=1,AND($K$1=7,$N169=0,$U169&gt;1)),1,0)+IF(AND($H170=1,AND($L$1=7,$O169=0,$V169&gt;1)),1,0)</f>
        <v/>
      </c>
      <c r="AB170" s="38">
        <f>IF(IFERROR('Июн'!$I14,"")="",0,$AB169+1)</f>
        <v/>
      </c>
    </row>
    <row r="171" spans="1:28">
      <c r="A171" s="38">
        <f>IF($B$1&gt;=DATE(2026,6,10),1,0)</f>
        <v/>
      </c>
      <c r="B171" s="38">
        <f>IFERROR(IF('Июн'!$B15=TRUE,1,0),0)</f>
        <v/>
      </c>
      <c r="C171" s="38">
        <f>IFERROR(IF('Июн'!$C15=TRUE,1,0),0)</f>
        <v/>
      </c>
      <c r="D171" s="38">
        <f>IFERROR(IF('Июн'!$D15=TRUE,1,0),0)</f>
        <v/>
      </c>
      <c r="E171" s="38">
        <f>IFERROR(IF('Июн'!$E15=TRUE,1,0),0)</f>
        <v/>
      </c>
      <c r="F171" s="38">
        <f>IFERROR(IF('Июн'!$F15=TRUE,1,0),0)</f>
        <v/>
      </c>
      <c r="G171" s="38">
        <f>IFERROR(IF('Июн'!$G15=TRUE,1,0),0)</f>
        <v/>
      </c>
      <c r="H171" s="38">
        <f>IFERROR(IF('Июн'!$H15=TRUE,1,0),0)</f>
        <v/>
      </c>
      <c r="I171" s="38">
        <f>IF($A171=0,$I170,IF($B171=1,$I170+1,IF($P171&lt;=1,$I170,0)))</f>
        <v/>
      </c>
      <c r="J171" s="38">
        <f>IF($A171=0,$J170,IF($C171=1,$J170+1,IF($Q171&lt;=1,$J170,0)))</f>
        <v/>
      </c>
      <c r="K171" s="38">
        <f>IF($A171=0,$K170,IF($D171=1,$K170+1,IF($R171&lt;=1,$K170,0)))</f>
        <v/>
      </c>
      <c r="L171" s="38">
        <f>IF($A171=0,$L170,IF($E171=1,$L170+1,IF($S171&lt;=1,$L170,0)))</f>
        <v/>
      </c>
      <c r="M171" s="38">
        <f>IF($A171=0,$M170,IF($F171=1,$M170+1,IF($T171&lt;=1,$M170,0)))</f>
        <v/>
      </c>
      <c r="N171" s="38">
        <f>IF($A171=0,$N170,IF($G171=1,$N170+1,IF($U171&lt;=1,$N170,0)))</f>
        <v/>
      </c>
      <c r="O171" s="38">
        <f>IF($A171=0,$O170,IF($H171=1,$O170+1,IF($V171&lt;=1,$O170,0)))</f>
        <v/>
      </c>
      <c r="P171" s="38">
        <f>IF($A171=0,$P170,$P170+IF($B171=1,0,1))</f>
        <v/>
      </c>
      <c r="Q171" s="38">
        <f>IF($A171=0,$Q170,$Q170+IF($C171=1,0,1))</f>
        <v/>
      </c>
      <c r="R171" s="38">
        <f>IF($A171=0,$R170,$R170+IF($D171=1,0,1))</f>
        <v/>
      </c>
      <c r="S171" s="38">
        <f>IF($A171=0,$S170,$S170+IF($E171=1,0,1))</f>
        <v/>
      </c>
      <c r="T171" s="38">
        <f>IF($A171=0,$T170,$T170+IF($F171=1,0,1))</f>
        <v/>
      </c>
      <c r="U171" s="38">
        <f>IF($A171=0,$U170,$U170+IF($G171=1,0,1))</f>
        <v/>
      </c>
      <c r="V171" s="38">
        <f>IF($A171=0,$V170,$V170+IF($H171=1,0,1))</f>
        <v/>
      </c>
      <c r="W171" s="38">
        <f>SUM($B171:$H171)</f>
        <v/>
      </c>
      <c r="X171" s="38">
        <f>IF(AND($A171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171=1),1,0)+IF(AND($G$1=7,$C171=1),1,0)+IF(AND($H$1=7,$D171=1),1,0)+IF(AND($I$1=7,$E171=1),1,0)+IF(AND($J$1=7,$F171=1),1,0)+IF(AND($K$1=7,$G171=1),1,0)+IF(AND($L$1=7,$H171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1" s="38">
        <f>IF($B171=1,IF($F$1&lt;7,10,IF(AND($F$1=7,$I170=0,$P170&gt;1),15,IF($I170&gt;=20,15,IF($I170&gt;=6,13,10)))),0)+IF($C171=1,IF($G$1&lt;7,10,IF(AND($G$1=7,$J170=0,$Q170&gt;1),15,IF($J170&gt;=20,15,IF($J170&gt;=6,13,10)))),0)+IF($D171=1,IF($H$1&lt;7,10,IF(AND($H$1=7,$K170=0,$R170&gt;1),15,IF($K170&gt;=20,15,IF($K170&gt;=6,13,10)))),0)+IF($E171=1,IF($I$1&lt;7,10,IF(AND($I$1=7,$L170=0,$S170&gt;1),15,IF($L170&gt;=20,15,IF($L170&gt;=6,13,10)))),0)+IF($F171=1,IF($J$1&lt;7,10,IF(AND($J$1=7,$M170=0,$T170&gt;1),15,IF($M170&gt;=20,15,IF($M170&gt;=6,13,10)))),0)+IF($G171=1,IF($K$1&lt;7,10,IF(AND($K$1=7,$N170=0,$U170&gt;1),15,IF($N170&gt;=20,15,IF($N170&gt;=6,13,10)))),0)+IF($H171=1,IF($L$1&lt;7,10,IF(AND($L$1=7,$O170=0,$V170&gt;1),15,IF($O170&gt;=20,15,IF($O170&gt;=6,13,10)))),0)</f>
        <v/>
      </c>
      <c r="Z171" s="38">
        <f>$Z170+$Y171</f>
        <v/>
      </c>
      <c r="AA171" s="38">
        <f>IF(AND($B171=1,AND($F$1=7,$I170=0,$P170&gt;1)),1,0)+IF(AND($C171=1,AND($G$1=7,$J170=0,$Q170&gt;1)),1,0)+IF(AND($D171=1,AND($H$1=7,$K170=0,$R170&gt;1)),1,0)+IF(AND($E171=1,AND($I$1=7,$L170=0,$S170&gt;1)),1,0)+IF(AND($F171=1,AND($J$1=7,$M170=0,$T170&gt;1)),1,0)+IF(AND($G171=1,AND($K$1=7,$N170=0,$U170&gt;1)),1,0)+IF(AND($H171=1,AND($L$1=7,$O170=0,$V170&gt;1)),1,0)</f>
        <v/>
      </c>
      <c r="AB171" s="38">
        <f>IF(IFERROR('Июн'!$I15,"")="",0,$AB170+1)</f>
        <v/>
      </c>
    </row>
    <row r="172" spans="1:28">
      <c r="A172" s="38">
        <f>IF($B$1&gt;=DATE(2026,6,11),1,0)</f>
        <v/>
      </c>
      <c r="B172" s="38">
        <f>IFERROR(IF('Июн'!$B16=TRUE,1,0),0)</f>
        <v/>
      </c>
      <c r="C172" s="38">
        <f>IFERROR(IF('Июн'!$C16=TRUE,1,0),0)</f>
        <v/>
      </c>
      <c r="D172" s="38">
        <f>IFERROR(IF('Июн'!$D16=TRUE,1,0),0)</f>
        <v/>
      </c>
      <c r="E172" s="38">
        <f>IFERROR(IF('Июн'!$E16=TRUE,1,0),0)</f>
        <v/>
      </c>
      <c r="F172" s="38">
        <f>IFERROR(IF('Июн'!$F16=TRUE,1,0),0)</f>
        <v/>
      </c>
      <c r="G172" s="38">
        <f>IFERROR(IF('Июн'!$G16=TRUE,1,0),0)</f>
        <v/>
      </c>
      <c r="H172" s="38">
        <f>IFERROR(IF('Июн'!$H16=TRUE,1,0),0)</f>
        <v/>
      </c>
      <c r="I172" s="38">
        <f>IF($A172=0,$I171,IF($B172=1,$I171+1,IF($P172&lt;=1,$I171,0)))</f>
        <v/>
      </c>
      <c r="J172" s="38">
        <f>IF($A172=0,$J171,IF($C172=1,$J171+1,IF($Q172&lt;=1,$J171,0)))</f>
        <v/>
      </c>
      <c r="K172" s="38">
        <f>IF($A172=0,$K171,IF($D172=1,$K171+1,IF($R172&lt;=1,$K171,0)))</f>
        <v/>
      </c>
      <c r="L172" s="38">
        <f>IF($A172=0,$L171,IF($E172=1,$L171+1,IF($S172&lt;=1,$L171,0)))</f>
        <v/>
      </c>
      <c r="M172" s="38">
        <f>IF($A172=0,$M171,IF($F172=1,$M171+1,IF($T172&lt;=1,$M171,0)))</f>
        <v/>
      </c>
      <c r="N172" s="38">
        <f>IF($A172=0,$N171,IF($G172=1,$N171+1,IF($U172&lt;=1,$N171,0)))</f>
        <v/>
      </c>
      <c r="O172" s="38">
        <f>IF($A172=0,$O171,IF($H172=1,$O171+1,IF($V172&lt;=1,$O171,0)))</f>
        <v/>
      </c>
      <c r="P172" s="38">
        <f>IF($A172=0,$P171,$P171+IF($B172=1,0,1))</f>
        <v/>
      </c>
      <c r="Q172" s="38">
        <f>IF($A172=0,$Q171,$Q171+IF($C172=1,0,1))</f>
        <v/>
      </c>
      <c r="R172" s="38">
        <f>IF($A172=0,$R171,$R171+IF($D172=1,0,1))</f>
        <v/>
      </c>
      <c r="S172" s="38">
        <f>IF($A172=0,$S171,$S171+IF($E172=1,0,1))</f>
        <v/>
      </c>
      <c r="T172" s="38">
        <f>IF($A172=0,$T171,$T171+IF($F172=1,0,1))</f>
        <v/>
      </c>
      <c r="U172" s="38">
        <f>IF($A172=0,$U171,$U171+IF($G172=1,0,1))</f>
        <v/>
      </c>
      <c r="V172" s="38">
        <f>IF($A172=0,$V171,$V171+IF($H172=1,0,1))</f>
        <v/>
      </c>
      <c r="W172" s="38">
        <f>SUM($B172:$H172)</f>
        <v/>
      </c>
      <c r="X172" s="38">
        <f>IF(AND($A172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172=1),1,0)+IF(AND($G$1=7,$C172=1),1,0)+IF(AND($H$1=7,$D172=1),1,0)+IF(AND($I$1=7,$E172=1),1,0)+IF(AND($J$1=7,$F172=1),1,0)+IF(AND($K$1=7,$G172=1),1,0)+IF(AND($L$1=7,$H172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2" s="38">
        <f>IF($B172=1,IF($F$1&lt;7,10,IF(AND($F$1=7,$I171=0,$P171&gt;1),15,IF($I171&gt;=20,15,IF($I171&gt;=6,13,10)))),0)+IF($C172=1,IF($G$1&lt;7,10,IF(AND($G$1=7,$J171=0,$Q171&gt;1),15,IF($J171&gt;=20,15,IF($J171&gt;=6,13,10)))),0)+IF($D172=1,IF($H$1&lt;7,10,IF(AND($H$1=7,$K171=0,$R171&gt;1),15,IF($K171&gt;=20,15,IF($K171&gt;=6,13,10)))),0)+IF($E172=1,IF($I$1&lt;7,10,IF(AND($I$1=7,$L171=0,$S171&gt;1),15,IF($L171&gt;=20,15,IF($L171&gt;=6,13,10)))),0)+IF($F172=1,IF($J$1&lt;7,10,IF(AND($J$1=7,$M171=0,$T171&gt;1),15,IF($M171&gt;=20,15,IF($M171&gt;=6,13,10)))),0)+IF($G172=1,IF($K$1&lt;7,10,IF(AND($K$1=7,$N171=0,$U171&gt;1),15,IF($N171&gt;=20,15,IF($N171&gt;=6,13,10)))),0)+IF($H172=1,IF($L$1&lt;7,10,IF(AND($L$1=7,$O171=0,$V171&gt;1),15,IF($O171&gt;=20,15,IF($O171&gt;=6,13,10)))),0)</f>
        <v/>
      </c>
      <c r="Z172" s="38">
        <f>$Z171+$Y172</f>
        <v/>
      </c>
      <c r="AA172" s="38">
        <f>IF(AND($B172=1,AND($F$1=7,$I171=0,$P171&gt;1)),1,0)+IF(AND($C172=1,AND($G$1=7,$J171=0,$Q171&gt;1)),1,0)+IF(AND($D172=1,AND($H$1=7,$K171=0,$R171&gt;1)),1,0)+IF(AND($E172=1,AND($I$1=7,$L171=0,$S171&gt;1)),1,0)+IF(AND($F172=1,AND($J$1=7,$M171=0,$T171&gt;1)),1,0)+IF(AND($G172=1,AND($K$1=7,$N171=0,$U171&gt;1)),1,0)+IF(AND($H172=1,AND($L$1=7,$O171=0,$V171&gt;1)),1,0)</f>
        <v/>
      </c>
      <c r="AB172" s="38">
        <f>IF(IFERROR('Июн'!$I16,"")="",0,$AB171+1)</f>
        <v/>
      </c>
    </row>
    <row r="173" spans="1:28">
      <c r="A173" s="38">
        <f>IF($B$1&gt;=DATE(2026,6,12),1,0)</f>
        <v/>
      </c>
      <c r="B173" s="38">
        <f>IFERROR(IF('Июн'!$B17=TRUE,1,0),0)</f>
        <v/>
      </c>
      <c r="C173" s="38">
        <f>IFERROR(IF('Июн'!$C17=TRUE,1,0),0)</f>
        <v/>
      </c>
      <c r="D173" s="38">
        <f>IFERROR(IF('Июн'!$D17=TRUE,1,0),0)</f>
        <v/>
      </c>
      <c r="E173" s="38">
        <f>IFERROR(IF('Июн'!$E17=TRUE,1,0),0)</f>
        <v/>
      </c>
      <c r="F173" s="38">
        <f>IFERROR(IF('Июн'!$F17=TRUE,1,0),0)</f>
        <v/>
      </c>
      <c r="G173" s="38">
        <f>IFERROR(IF('Июн'!$G17=TRUE,1,0),0)</f>
        <v/>
      </c>
      <c r="H173" s="38">
        <f>IFERROR(IF('Июн'!$H17=TRUE,1,0),0)</f>
        <v/>
      </c>
      <c r="I173" s="38">
        <f>IF($A173=0,$I172,IF($B173=1,$I172+1,IF($P173&lt;=1,$I172,0)))</f>
        <v/>
      </c>
      <c r="J173" s="38">
        <f>IF($A173=0,$J172,IF($C173=1,$J172+1,IF($Q173&lt;=1,$J172,0)))</f>
        <v/>
      </c>
      <c r="K173" s="38">
        <f>IF($A173=0,$K172,IF($D173=1,$K172+1,IF($R173&lt;=1,$K172,0)))</f>
        <v/>
      </c>
      <c r="L173" s="38">
        <f>IF($A173=0,$L172,IF($E173=1,$L172+1,IF($S173&lt;=1,$L172,0)))</f>
        <v/>
      </c>
      <c r="M173" s="38">
        <f>IF($A173=0,$M172,IF($F173=1,$M172+1,IF($T173&lt;=1,$M172,0)))</f>
        <v/>
      </c>
      <c r="N173" s="38">
        <f>IF($A173=0,$N172,IF($G173=1,$N172+1,IF($U173&lt;=1,$N172,0)))</f>
        <v/>
      </c>
      <c r="O173" s="38">
        <f>IF($A173=0,$O172,IF($H173=1,$O172+1,IF($V173&lt;=1,$O172,0)))</f>
        <v/>
      </c>
      <c r="P173" s="38">
        <f>IF($A173=0,$P172,$P172+IF($B173=1,0,1))</f>
        <v/>
      </c>
      <c r="Q173" s="38">
        <f>IF($A173=0,$Q172,$Q172+IF($C173=1,0,1))</f>
        <v/>
      </c>
      <c r="R173" s="38">
        <f>IF($A173=0,$R172,$R172+IF($D173=1,0,1))</f>
        <v/>
      </c>
      <c r="S173" s="38">
        <f>IF($A173=0,$S172,$S172+IF($E173=1,0,1))</f>
        <v/>
      </c>
      <c r="T173" s="38">
        <f>IF($A173=0,$T172,$T172+IF($F173=1,0,1))</f>
        <v/>
      </c>
      <c r="U173" s="38">
        <f>IF($A173=0,$U172,$U172+IF($G173=1,0,1))</f>
        <v/>
      </c>
      <c r="V173" s="38">
        <f>IF($A173=0,$V172,$V172+IF($H173=1,0,1))</f>
        <v/>
      </c>
      <c r="W173" s="38">
        <f>SUM($B173:$H173)</f>
        <v/>
      </c>
      <c r="X173" s="38">
        <f>IF(AND($A173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173=1),1,0)+IF(AND($G$1=7,$C173=1),1,0)+IF(AND($H$1=7,$D173=1),1,0)+IF(AND($I$1=7,$E173=1),1,0)+IF(AND($J$1=7,$F173=1),1,0)+IF(AND($K$1=7,$G173=1),1,0)+IF(AND($L$1=7,$H173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3" s="38">
        <f>IF($B173=1,IF($F$1&lt;7,10,IF(AND($F$1=7,$I172=0,$P172&gt;1),15,IF($I172&gt;=20,15,IF($I172&gt;=6,13,10)))),0)+IF($C173=1,IF($G$1&lt;7,10,IF(AND($G$1=7,$J172=0,$Q172&gt;1),15,IF($J172&gt;=20,15,IF($J172&gt;=6,13,10)))),0)+IF($D173=1,IF($H$1&lt;7,10,IF(AND($H$1=7,$K172=0,$R172&gt;1),15,IF($K172&gt;=20,15,IF($K172&gt;=6,13,10)))),0)+IF($E173=1,IF($I$1&lt;7,10,IF(AND($I$1=7,$L172=0,$S172&gt;1),15,IF($L172&gt;=20,15,IF($L172&gt;=6,13,10)))),0)+IF($F173=1,IF($J$1&lt;7,10,IF(AND($J$1=7,$M172=0,$T172&gt;1),15,IF($M172&gt;=20,15,IF($M172&gt;=6,13,10)))),0)+IF($G173=1,IF($K$1&lt;7,10,IF(AND($K$1=7,$N172=0,$U172&gt;1),15,IF($N172&gt;=20,15,IF($N172&gt;=6,13,10)))),0)+IF($H173=1,IF($L$1&lt;7,10,IF(AND($L$1=7,$O172=0,$V172&gt;1),15,IF($O172&gt;=20,15,IF($O172&gt;=6,13,10)))),0)</f>
        <v/>
      </c>
      <c r="Z173" s="38">
        <f>$Z172+$Y173</f>
        <v/>
      </c>
      <c r="AA173" s="38">
        <f>IF(AND($B173=1,AND($F$1=7,$I172=0,$P172&gt;1)),1,0)+IF(AND($C173=1,AND($G$1=7,$J172=0,$Q172&gt;1)),1,0)+IF(AND($D173=1,AND($H$1=7,$K172=0,$R172&gt;1)),1,0)+IF(AND($E173=1,AND($I$1=7,$L172=0,$S172&gt;1)),1,0)+IF(AND($F173=1,AND($J$1=7,$M172=0,$T172&gt;1)),1,0)+IF(AND($G173=1,AND($K$1=7,$N172=0,$U172&gt;1)),1,0)+IF(AND($H173=1,AND($L$1=7,$O172=0,$V172&gt;1)),1,0)</f>
        <v/>
      </c>
      <c r="AB173" s="38">
        <f>IF(IFERROR('Июн'!$I17,"")="",0,$AB172+1)</f>
        <v/>
      </c>
    </row>
    <row r="174" spans="1:28">
      <c r="A174" s="38">
        <f>IF($B$1&gt;=DATE(2026,6,13),1,0)</f>
        <v/>
      </c>
      <c r="B174" s="38">
        <f>IFERROR(IF('Июн'!$B18=TRUE,1,0),0)</f>
        <v/>
      </c>
      <c r="C174" s="38">
        <f>IFERROR(IF('Июн'!$C18=TRUE,1,0),0)</f>
        <v/>
      </c>
      <c r="D174" s="38">
        <f>IFERROR(IF('Июн'!$D18=TRUE,1,0),0)</f>
        <v/>
      </c>
      <c r="E174" s="38">
        <f>IFERROR(IF('Июн'!$E18=TRUE,1,0),0)</f>
        <v/>
      </c>
      <c r="F174" s="38">
        <f>IFERROR(IF('Июн'!$F18=TRUE,1,0),0)</f>
        <v/>
      </c>
      <c r="G174" s="38">
        <f>IFERROR(IF('Июн'!$G18=TRUE,1,0),0)</f>
        <v/>
      </c>
      <c r="H174" s="38">
        <f>IFERROR(IF('Июн'!$H18=TRUE,1,0),0)</f>
        <v/>
      </c>
      <c r="I174" s="38">
        <f>IF($A174=0,$I173,IF($B174=1,$I173+1,IF($P174&lt;=1,$I173,0)))</f>
        <v/>
      </c>
      <c r="J174" s="38">
        <f>IF($A174=0,$J173,IF($C174=1,$J173+1,IF($Q174&lt;=1,$J173,0)))</f>
        <v/>
      </c>
      <c r="K174" s="38">
        <f>IF($A174=0,$K173,IF($D174=1,$K173+1,IF($R174&lt;=1,$K173,0)))</f>
        <v/>
      </c>
      <c r="L174" s="38">
        <f>IF($A174=0,$L173,IF($E174=1,$L173+1,IF($S174&lt;=1,$L173,0)))</f>
        <v/>
      </c>
      <c r="M174" s="38">
        <f>IF($A174=0,$M173,IF($F174=1,$M173+1,IF($T174&lt;=1,$M173,0)))</f>
        <v/>
      </c>
      <c r="N174" s="38">
        <f>IF($A174=0,$N173,IF($G174=1,$N173+1,IF($U174&lt;=1,$N173,0)))</f>
        <v/>
      </c>
      <c r="O174" s="38">
        <f>IF($A174=0,$O173,IF($H174=1,$O173+1,IF($V174&lt;=1,$O173,0)))</f>
        <v/>
      </c>
      <c r="P174" s="38">
        <f>IF($A174=0,$P173,$P173+IF($B174=1,0,1))</f>
        <v/>
      </c>
      <c r="Q174" s="38">
        <f>IF($A174=0,$Q173,$Q173+IF($C174=1,0,1))</f>
        <v/>
      </c>
      <c r="R174" s="38">
        <f>IF($A174=0,$R173,$R173+IF($D174=1,0,1))</f>
        <v/>
      </c>
      <c r="S174" s="38">
        <f>IF($A174=0,$S173,$S173+IF($E174=1,0,1))</f>
        <v/>
      </c>
      <c r="T174" s="38">
        <f>IF($A174=0,$T173,$T173+IF($F174=1,0,1))</f>
        <v/>
      </c>
      <c r="U174" s="38">
        <f>IF($A174=0,$U173,$U173+IF($G174=1,0,1))</f>
        <v/>
      </c>
      <c r="V174" s="38">
        <f>IF($A174=0,$V173,$V173+IF($H174=1,0,1))</f>
        <v/>
      </c>
      <c r="W174" s="38">
        <f>SUM($B174:$H174)</f>
        <v/>
      </c>
      <c r="X174" s="38">
        <f>IF(AND($A174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174=1),1,0)+IF(AND($G$1=7,$C174=1),1,0)+IF(AND($H$1=7,$D174=1),1,0)+IF(AND($I$1=7,$E174=1),1,0)+IF(AND($J$1=7,$F174=1),1,0)+IF(AND($K$1=7,$G174=1),1,0)+IF(AND($L$1=7,$H174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4" s="38">
        <f>IF($B174=1,IF($F$1&lt;7,10,IF(AND($F$1=7,$I173=0,$P173&gt;1),15,IF($I173&gt;=20,15,IF($I173&gt;=6,13,10)))),0)+IF($C174=1,IF($G$1&lt;7,10,IF(AND($G$1=7,$J173=0,$Q173&gt;1),15,IF($J173&gt;=20,15,IF($J173&gt;=6,13,10)))),0)+IF($D174=1,IF($H$1&lt;7,10,IF(AND($H$1=7,$K173=0,$R173&gt;1),15,IF($K173&gt;=20,15,IF($K173&gt;=6,13,10)))),0)+IF($E174=1,IF($I$1&lt;7,10,IF(AND($I$1=7,$L173=0,$S173&gt;1),15,IF($L173&gt;=20,15,IF($L173&gt;=6,13,10)))),0)+IF($F174=1,IF($J$1&lt;7,10,IF(AND($J$1=7,$M173=0,$T173&gt;1),15,IF($M173&gt;=20,15,IF($M173&gt;=6,13,10)))),0)+IF($G174=1,IF($K$1&lt;7,10,IF(AND($K$1=7,$N173=0,$U173&gt;1),15,IF($N173&gt;=20,15,IF($N173&gt;=6,13,10)))),0)+IF($H174=1,IF($L$1&lt;7,10,IF(AND($L$1=7,$O173=0,$V173&gt;1),15,IF($O173&gt;=20,15,IF($O173&gt;=6,13,10)))),0)</f>
        <v/>
      </c>
      <c r="Z174" s="38">
        <f>$Z173+$Y174</f>
        <v/>
      </c>
      <c r="AA174" s="38">
        <f>IF(AND($B174=1,AND($F$1=7,$I173=0,$P173&gt;1)),1,0)+IF(AND($C174=1,AND($G$1=7,$J173=0,$Q173&gt;1)),1,0)+IF(AND($D174=1,AND($H$1=7,$K173=0,$R173&gt;1)),1,0)+IF(AND($E174=1,AND($I$1=7,$L173=0,$S173&gt;1)),1,0)+IF(AND($F174=1,AND($J$1=7,$M173=0,$T173&gt;1)),1,0)+IF(AND($G174=1,AND($K$1=7,$N173=0,$U173&gt;1)),1,0)+IF(AND($H174=1,AND($L$1=7,$O173=0,$V173&gt;1)),1,0)</f>
        <v/>
      </c>
      <c r="AB174" s="38">
        <f>IF(IFERROR('Июн'!$I18,"")="",0,$AB173+1)</f>
        <v/>
      </c>
    </row>
    <row r="175" spans="1:28">
      <c r="A175" s="38">
        <f>IF($B$1&gt;=DATE(2026,6,14),1,0)</f>
        <v/>
      </c>
      <c r="B175" s="38">
        <f>IFERROR(IF('Июн'!$B19=TRUE,1,0),0)</f>
        <v/>
      </c>
      <c r="C175" s="38">
        <f>IFERROR(IF('Июн'!$C19=TRUE,1,0),0)</f>
        <v/>
      </c>
      <c r="D175" s="38">
        <f>IFERROR(IF('Июн'!$D19=TRUE,1,0),0)</f>
        <v/>
      </c>
      <c r="E175" s="38">
        <f>IFERROR(IF('Июн'!$E19=TRUE,1,0),0)</f>
        <v/>
      </c>
      <c r="F175" s="38">
        <f>IFERROR(IF('Июн'!$F19=TRUE,1,0),0)</f>
        <v/>
      </c>
      <c r="G175" s="38">
        <f>IFERROR(IF('Июн'!$G19=TRUE,1,0),0)</f>
        <v/>
      </c>
      <c r="H175" s="38">
        <f>IFERROR(IF('Июн'!$H19=TRUE,1,0),0)</f>
        <v/>
      </c>
      <c r="I175" s="38">
        <f>IF($A175=0,$I174,IF($B175=1,$I174+1,IF($P175&lt;=1,$I174,0)))</f>
        <v/>
      </c>
      <c r="J175" s="38">
        <f>IF($A175=0,$J174,IF($C175=1,$J174+1,IF($Q175&lt;=1,$J174,0)))</f>
        <v/>
      </c>
      <c r="K175" s="38">
        <f>IF($A175=0,$K174,IF($D175=1,$K174+1,IF($R175&lt;=1,$K174,0)))</f>
        <v/>
      </c>
      <c r="L175" s="38">
        <f>IF($A175=0,$L174,IF($E175=1,$L174+1,IF($S175&lt;=1,$L174,0)))</f>
        <v/>
      </c>
      <c r="M175" s="38">
        <f>IF($A175=0,$M174,IF($F175=1,$M174+1,IF($T175&lt;=1,$M174,0)))</f>
        <v/>
      </c>
      <c r="N175" s="38">
        <f>IF($A175=0,$N174,IF($G175=1,$N174+1,IF($U175&lt;=1,$N174,0)))</f>
        <v/>
      </c>
      <c r="O175" s="38">
        <f>IF($A175=0,$O174,IF($H175=1,$O174+1,IF($V175&lt;=1,$O174,0)))</f>
        <v/>
      </c>
      <c r="P175" s="38">
        <f>IF($A175=0,$P174,$P174+IF($B175=1,0,1))</f>
        <v/>
      </c>
      <c r="Q175" s="38">
        <f>IF($A175=0,$Q174,$Q174+IF($C175=1,0,1))</f>
        <v/>
      </c>
      <c r="R175" s="38">
        <f>IF($A175=0,$R174,$R174+IF($D175=1,0,1))</f>
        <v/>
      </c>
      <c r="S175" s="38">
        <f>IF($A175=0,$S174,$S174+IF($E175=1,0,1))</f>
        <v/>
      </c>
      <c r="T175" s="38">
        <f>IF($A175=0,$T174,$T174+IF($F175=1,0,1))</f>
        <v/>
      </c>
      <c r="U175" s="38">
        <f>IF($A175=0,$U174,$U174+IF($G175=1,0,1))</f>
        <v/>
      </c>
      <c r="V175" s="38">
        <f>IF($A175=0,$V174,$V174+IF($H175=1,0,1))</f>
        <v/>
      </c>
      <c r="W175" s="38">
        <f>SUM($B175:$H175)</f>
        <v/>
      </c>
      <c r="X175" s="38">
        <f>IF(AND($A175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175=1),1,0)+IF(AND($G$1=7,$C175=1),1,0)+IF(AND($H$1=7,$D175=1),1,0)+IF(AND($I$1=7,$E175=1),1,0)+IF(AND($J$1=7,$F175=1),1,0)+IF(AND($K$1=7,$G175=1),1,0)+IF(AND($L$1=7,$H175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5" s="38">
        <f>IF($B175=1,IF($F$1&lt;7,10,IF(AND($F$1=7,$I174=0,$P174&gt;1),15,IF($I174&gt;=20,15,IF($I174&gt;=6,13,10)))),0)+IF($C175=1,IF($G$1&lt;7,10,IF(AND($G$1=7,$J174=0,$Q174&gt;1),15,IF($J174&gt;=20,15,IF($J174&gt;=6,13,10)))),0)+IF($D175=1,IF($H$1&lt;7,10,IF(AND($H$1=7,$K174=0,$R174&gt;1),15,IF($K174&gt;=20,15,IF($K174&gt;=6,13,10)))),0)+IF($E175=1,IF($I$1&lt;7,10,IF(AND($I$1=7,$L174=0,$S174&gt;1),15,IF($L174&gt;=20,15,IF($L174&gt;=6,13,10)))),0)+IF($F175=1,IF($J$1&lt;7,10,IF(AND($J$1=7,$M174=0,$T174&gt;1),15,IF($M174&gt;=20,15,IF($M174&gt;=6,13,10)))),0)+IF($G175=1,IF($K$1&lt;7,10,IF(AND($K$1=7,$N174=0,$U174&gt;1),15,IF($N174&gt;=20,15,IF($N174&gt;=6,13,10)))),0)+IF($H175=1,IF($L$1&lt;7,10,IF(AND($L$1=7,$O174=0,$V174&gt;1),15,IF($O174&gt;=20,15,IF($O174&gt;=6,13,10)))),0)</f>
        <v/>
      </c>
      <c r="Z175" s="38">
        <f>$Z174+$Y175</f>
        <v/>
      </c>
      <c r="AA175" s="38">
        <f>IF(AND($B175=1,AND($F$1=7,$I174=0,$P174&gt;1)),1,0)+IF(AND($C175=1,AND($G$1=7,$J174=0,$Q174&gt;1)),1,0)+IF(AND($D175=1,AND($H$1=7,$K174=0,$R174&gt;1)),1,0)+IF(AND($E175=1,AND($I$1=7,$L174=0,$S174&gt;1)),1,0)+IF(AND($F175=1,AND($J$1=7,$M174=0,$T174&gt;1)),1,0)+IF(AND($G175=1,AND($K$1=7,$N174=0,$U174&gt;1)),1,0)+IF(AND($H175=1,AND($L$1=7,$O174=0,$V174&gt;1)),1,0)</f>
        <v/>
      </c>
      <c r="AB175" s="38">
        <f>IF(IFERROR('Июн'!$I19,"")="",0,$AB174+1)</f>
        <v/>
      </c>
    </row>
    <row r="176" spans="1:28">
      <c r="A176" s="38">
        <f>IF($B$1&gt;=DATE(2026,6,15),1,0)</f>
        <v/>
      </c>
      <c r="B176" s="38">
        <f>IFERROR(IF('Июн'!$B20=TRUE,1,0),0)</f>
        <v/>
      </c>
      <c r="C176" s="38">
        <f>IFERROR(IF('Июн'!$C20=TRUE,1,0),0)</f>
        <v/>
      </c>
      <c r="D176" s="38">
        <f>IFERROR(IF('Июн'!$D20=TRUE,1,0),0)</f>
        <v/>
      </c>
      <c r="E176" s="38">
        <f>IFERROR(IF('Июн'!$E20=TRUE,1,0),0)</f>
        <v/>
      </c>
      <c r="F176" s="38">
        <f>IFERROR(IF('Июн'!$F20=TRUE,1,0),0)</f>
        <v/>
      </c>
      <c r="G176" s="38">
        <f>IFERROR(IF('Июн'!$G20=TRUE,1,0),0)</f>
        <v/>
      </c>
      <c r="H176" s="38">
        <f>IFERROR(IF('Июн'!$H20=TRUE,1,0),0)</f>
        <v/>
      </c>
      <c r="I176" s="38">
        <f>IF($A176=0,$I175,IF($B176=1,$I175+1,IF($P176&lt;=1,$I175,0)))</f>
        <v/>
      </c>
      <c r="J176" s="38">
        <f>IF($A176=0,$J175,IF($C176=1,$J175+1,IF($Q176&lt;=1,$J175,0)))</f>
        <v/>
      </c>
      <c r="K176" s="38">
        <f>IF($A176=0,$K175,IF($D176=1,$K175+1,IF($R176&lt;=1,$K175,0)))</f>
        <v/>
      </c>
      <c r="L176" s="38">
        <f>IF($A176=0,$L175,IF($E176=1,$L175+1,IF($S176&lt;=1,$L175,0)))</f>
        <v/>
      </c>
      <c r="M176" s="38">
        <f>IF($A176=0,$M175,IF($F176=1,$M175+1,IF($T176&lt;=1,$M175,0)))</f>
        <v/>
      </c>
      <c r="N176" s="38">
        <f>IF($A176=0,$N175,IF($G176=1,$N175+1,IF($U176&lt;=1,$N175,0)))</f>
        <v/>
      </c>
      <c r="O176" s="38">
        <f>IF($A176=0,$O175,IF($H176=1,$O175+1,IF($V176&lt;=1,$O175,0)))</f>
        <v/>
      </c>
      <c r="P176" s="38">
        <f>IF($A176=0,$P175,$P175+IF($B176=1,0,1))</f>
        <v/>
      </c>
      <c r="Q176" s="38">
        <f>IF($A176=0,$Q175,$Q175+IF($C176=1,0,1))</f>
        <v/>
      </c>
      <c r="R176" s="38">
        <f>IF($A176=0,$R175,$R175+IF($D176=1,0,1))</f>
        <v/>
      </c>
      <c r="S176" s="38">
        <f>IF($A176=0,$S175,$S175+IF($E176=1,0,1))</f>
        <v/>
      </c>
      <c r="T176" s="38">
        <f>IF($A176=0,$T175,$T175+IF($F176=1,0,1))</f>
        <v/>
      </c>
      <c r="U176" s="38">
        <f>IF($A176=0,$U175,$U175+IF($G176=1,0,1))</f>
        <v/>
      </c>
      <c r="V176" s="38">
        <f>IF($A176=0,$V175,$V175+IF($H176=1,0,1))</f>
        <v/>
      </c>
      <c r="W176" s="38">
        <f>SUM($B176:$H176)</f>
        <v/>
      </c>
      <c r="X176" s="38">
        <f>IF(AND($A176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176=1),1,0)+IF(AND($G$1=7,$C176=1),1,0)+IF(AND($H$1=7,$D176=1),1,0)+IF(AND($I$1=7,$E176=1),1,0)+IF(AND($J$1=7,$F176=1),1,0)+IF(AND($K$1=7,$G176=1),1,0)+IF(AND($L$1=7,$H176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6" s="38">
        <f>IF($B176=1,IF($F$1&lt;7,10,IF(AND($F$1=7,$I175=0,$P175&gt;1),15,IF($I175&gt;=20,15,IF($I175&gt;=6,13,10)))),0)+IF($C176=1,IF($G$1&lt;7,10,IF(AND($G$1=7,$J175=0,$Q175&gt;1),15,IF($J175&gt;=20,15,IF($J175&gt;=6,13,10)))),0)+IF($D176=1,IF($H$1&lt;7,10,IF(AND($H$1=7,$K175=0,$R175&gt;1),15,IF($K175&gt;=20,15,IF($K175&gt;=6,13,10)))),0)+IF($E176=1,IF($I$1&lt;7,10,IF(AND($I$1=7,$L175=0,$S175&gt;1),15,IF($L175&gt;=20,15,IF($L175&gt;=6,13,10)))),0)+IF($F176=1,IF($J$1&lt;7,10,IF(AND($J$1=7,$M175=0,$T175&gt;1),15,IF($M175&gt;=20,15,IF($M175&gt;=6,13,10)))),0)+IF($G176=1,IF($K$1&lt;7,10,IF(AND($K$1=7,$N175=0,$U175&gt;1),15,IF($N175&gt;=20,15,IF($N175&gt;=6,13,10)))),0)+IF($H176=1,IF($L$1&lt;7,10,IF(AND($L$1=7,$O175=0,$V175&gt;1),15,IF($O175&gt;=20,15,IF($O175&gt;=6,13,10)))),0)</f>
        <v/>
      </c>
      <c r="Z176" s="38">
        <f>$Z175+$Y176</f>
        <v/>
      </c>
      <c r="AA176" s="38">
        <f>IF(AND($B176=1,AND($F$1=7,$I175=0,$P175&gt;1)),1,0)+IF(AND($C176=1,AND($G$1=7,$J175=0,$Q175&gt;1)),1,0)+IF(AND($D176=1,AND($H$1=7,$K175=0,$R175&gt;1)),1,0)+IF(AND($E176=1,AND($I$1=7,$L175=0,$S175&gt;1)),1,0)+IF(AND($F176=1,AND($J$1=7,$M175=0,$T175&gt;1)),1,0)+IF(AND($G176=1,AND($K$1=7,$N175=0,$U175&gt;1)),1,0)+IF(AND($H176=1,AND($L$1=7,$O175=0,$V175&gt;1)),1,0)</f>
        <v/>
      </c>
      <c r="AB176" s="38">
        <f>IF(IFERROR('Июн'!$I20,"")="",0,$AB175+1)</f>
        <v/>
      </c>
    </row>
    <row r="177" spans="1:28">
      <c r="A177" s="38">
        <f>IF($B$1&gt;=DATE(2026,6,16),1,0)</f>
        <v/>
      </c>
      <c r="B177" s="38">
        <f>IFERROR(IF('Июн'!$B21=TRUE,1,0),0)</f>
        <v/>
      </c>
      <c r="C177" s="38">
        <f>IFERROR(IF('Июн'!$C21=TRUE,1,0),0)</f>
        <v/>
      </c>
      <c r="D177" s="38">
        <f>IFERROR(IF('Июн'!$D21=TRUE,1,0),0)</f>
        <v/>
      </c>
      <c r="E177" s="38">
        <f>IFERROR(IF('Июн'!$E21=TRUE,1,0),0)</f>
        <v/>
      </c>
      <c r="F177" s="38">
        <f>IFERROR(IF('Июн'!$F21=TRUE,1,0),0)</f>
        <v/>
      </c>
      <c r="G177" s="38">
        <f>IFERROR(IF('Июн'!$G21=TRUE,1,0),0)</f>
        <v/>
      </c>
      <c r="H177" s="38">
        <f>IFERROR(IF('Июн'!$H21=TRUE,1,0),0)</f>
        <v/>
      </c>
      <c r="I177" s="38">
        <f>IF($A177=0,$I176,IF($B177=1,$I176+1,IF($P177&lt;=1,$I176,0)))</f>
        <v/>
      </c>
      <c r="J177" s="38">
        <f>IF($A177=0,$J176,IF($C177=1,$J176+1,IF($Q177&lt;=1,$J176,0)))</f>
        <v/>
      </c>
      <c r="K177" s="38">
        <f>IF($A177=0,$K176,IF($D177=1,$K176+1,IF($R177&lt;=1,$K176,0)))</f>
        <v/>
      </c>
      <c r="L177" s="38">
        <f>IF($A177=0,$L176,IF($E177=1,$L176+1,IF($S177&lt;=1,$L176,0)))</f>
        <v/>
      </c>
      <c r="M177" s="38">
        <f>IF($A177=0,$M176,IF($F177=1,$M176+1,IF($T177&lt;=1,$M176,0)))</f>
        <v/>
      </c>
      <c r="N177" s="38">
        <f>IF($A177=0,$N176,IF($G177=1,$N176+1,IF($U177&lt;=1,$N176,0)))</f>
        <v/>
      </c>
      <c r="O177" s="38">
        <f>IF($A177=0,$O176,IF($H177=1,$O176+1,IF($V177&lt;=1,$O176,0)))</f>
        <v/>
      </c>
      <c r="P177" s="38">
        <f>IF($A177=0,$P176,$P176+IF($B177=1,0,1))</f>
        <v/>
      </c>
      <c r="Q177" s="38">
        <f>IF($A177=0,$Q176,$Q176+IF($C177=1,0,1))</f>
        <v/>
      </c>
      <c r="R177" s="38">
        <f>IF($A177=0,$R176,$R176+IF($D177=1,0,1))</f>
        <v/>
      </c>
      <c r="S177" s="38">
        <f>IF($A177=0,$S176,$S176+IF($E177=1,0,1))</f>
        <v/>
      </c>
      <c r="T177" s="38">
        <f>IF($A177=0,$T176,$T176+IF($F177=1,0,1))</f>
        <v/>
      </c>
      <c r="U177" s="38">
        <f>IF($A177=0,$U176,$U176+IF($G177=1,0,1))</f>
        <v/>
      </c>
      <c r="V177" s="38">
        <f>IF($A177=0,$V176,$V176+IF($H177=1,0,1))</f>
        <v/>
      </c>
      <c r="W177" s="38">
        <f>SUM($B177:$H177)</f>
        <v/>
      </c>
      <c r="X177" s="38">
        <f>IF(AND($A177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177=1),1,0)+IF(AND($G$1=7,$C177=1),1,0)+IF(AND($H$1=7,$D177=1),1,0)+IF(AND($I$1=7,$E177=1),1,0)+IF(AND($J$1=7,$F177=1),1,0)+IF(AND($K$1=7,$G177=1),1,0)+IF(AND($L$1=7,$H177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7" s="38">
        <f>IF($B177=1,IF($F$1&lt;7,10,IF(AND($F$1=7,$I176=0,$P176&gt;1),15,IF($I176&gt;=20,15,IF($I176&gt;=6,13,10)))),0)+IF($C177=1,IF($G$1&lt;7,10,IF(AND($G$1=7,$J176=0,$Q176&gt;1),15,IF($J176&gt;=20,15,IF($J176&gt;=6,13,10)))),0)+IF($D177=1,IF($H$1&lt;7,10,IF(AND($H$1=7,$K176=0,$R176&gt;1),15,IF($K176&gt;=20,15,IF($K176&gt;=6,13,10)))),0)+IF($E177=1,IF($I$1&lt;7,10,IF(AND($I$1=7,$L176=0,$S176&gt;1),15,IF($L176&gt;=20,15,IF($L176&gt;=6,13,10)))),0)+IF($F177=1,IF($J$1&lt;7,10,IF(AND($J$1=7,$M176=0,$T176&gt;1),15,IF($M176&gt;=20,15,IF($M176&gt;=6,13,10)))),0)+IF($G177=1,IF($K$1&lt;7,10,IF(AND($K$1=7,$N176=0,$U176&gt;1),15,IF($N176&gt;=20,15,IF($N176&gt;=6,13,10)))),0)+IF($H177=1,IF($L$1&lt;7,10,IF(AND($L$1=7,$O176=0,$V176&gt;1),15,IF($O176&gt;=20,15,IF($O176&gt;=6,13,10)))),0)</f>
        <v/>
      </c>
      <c r="Z177" s="38">
        <f>$Z176+$Y177</f>
        <v/>
      </c>
      <c r="AA177" s="38">
        <f>IF(AND($B177=1,AND($F$1=7,$I176=0,$P176&gt;1)),1,0)+IF(AND($C177=1,AND($G$1=7,$J176=0,$Q176&gt;1)),1,0)+IF(AND($D177=1,AND($H$1=7,$K176=0,$R176&gt;1)),1,0)+IF(AND($E177=1,AND($I$1=7,$L176=0,$S176&gt;1)),1,0)+IF(AND($F177=1,AND($J$1=7,$M176=0,$T176&gt;1)),1,0)+IF(AND($G177=1,AND($K$1=7,$N176=0,$U176&gt;1)),1,0)+IF(AND($H177=1,AND($L$1=7,$O176=0,$V176&gt;1)),1,0)</f>
        <v/>
      </c>
      <c r="AB177" s="38">
        <f>IF(IFERROR('Июн'!$I21,"")="",0,$AB176+1)</f>
        <v/>
      </c>
    </row>
    <row r="178" spans="1:28">
      <c r="A178" s="38">
        <f>IF($B$1&gt;=DATE(2026,6,17),1,0)</f>
        <v/>
      </c>
      <c r="B178" s="38">
        <f>IFERROR(IF('Июн'!$B22=TRUE,1,0),0)</f>
        <v/>
      </c>
      <c r="C178" s="38">
        <f>IFERROR(IF('Июн'!$C22=TRUE,1,0),0)</f>
        <v/>
      </c>
      <c r="D178" s="38">
        <f>IFERROR(IF('Июн'!$D22=TRUE,1,0),0)</f>
        <v/>
      </c>
      <c r="E178" s="38">
        <f>IFERROR(IF('Июн'!$E22=TRUE,1,0),0)</f>
        <v/>
      </c>
      <c r="F178" s="38">
        <f>IFERROR(IF('Июн'!$F22=TRUE,1,0),0)</f>
        <v/>
      </c>
      <c r="G178" s="38">
        <f>IFERROR(IF('Июн'!$G22=TRUE,1,0),0)</f>
        <v/>
      </c>
      <c r="H178" s="38">
        <f>IFERROR(IF('Июн'!$H22=TRUE,1,0),0)</f>
        <v/>
      </c>
      <c r="I178" s="38">
        <f>IF($A178=0,$I177,IF($B178=1,$I177+1,IF($P178&lt;=1,$I177,0)))</f>
        <v/>
      </c>
      <c r="J178" s="38">
        <f>IF($A178=0,$J177,IF($C178=1,$J177+1,IF($Q178&lt;=1,$J177,0)))</f>
        <v/>
      </c>
      <c r="K178" s="38">
        <f>IF($A178=0,$K177,IF($D178=1,$K177+1,IF($R178&lt;=1,$K177,0)))</f>
        <v/>
      </c>
      <c r="L178" s="38">
        <f>IF($A178=0,$L177,IF($E178=1,$L177+1,IF($S178&lt;=1,$L177,0)))</f>
        <v/>
      </c>
      <c r="M178" s="38">
        <f>IF($A178=0,$M177,IF($F178=1,$M177+1,IF($T178&lt;=1,$M177,0)))</f>
        <v/>
      </c>
      <c r="N178" s="38">
        <f>IF($A178=0,$N177,IF($G178=1,$N177+1,IF($U178&lt;=1,$N177,0)))</f>
        <v/>
      </c>
      <c r="O178" s="38">
        <f>IF($A178=0,$O177,IF($H178=1,$O177+1,IF($V178&lt;=1,$O177,0)))</f>
        <v/>
      </c>
      <c r="P178" s="38">
        <f>IF($A178=0,$P177,$P177+IF($B178=1,0,1))</f>
        <v/>
      </c>
      <c r="Q178" s="38">
        <f>IF($A178=0,$Q177,$Q177+IF($C178=1,0,1))</f>
        <v/>
      </c>
      <c r="R178" s="38">
        <f>IF($A178=0,$R177,$R177+IF($D178=1,0,1))</f>
        <v/>
      </c>
      <c r="S178" s="38">
        <f>IF($A178=0,$S177,$S177+IF($E178=1,0,1))</f>
        <v/>
      </c>
      <c r="T178" s="38">
        <f>IF($A178=0,$T177,$T177+IF($F178=1,0,1))</f>
        <v/>
      </c>
      <c r="U178" s="38">
        <f>IF($A178=0,$U177,$U177+IF($G178=1,0,1))</f>
        <v/>
      </c>
      <c r="V178" s="38">
        <f>IF($A178=0,$V177,$V177+IF($H178=1,0,1))</f>
        <v/>
      </c>
      <c r="W178" s="38">
        <f>SUM($B178:$H178)</f>
        <v/>
      </c>
      <c r="X178" s="38">
        <f>IF(AND($A178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178=1),1,0)+IF(AND($G$1=7,$C178=1),1,0)+IF(AND($H$1=7,$D178=1),1,0)+IF(AND($I$1=7,$E178=1),1,0)+IF(AND($J$1=7,$F178=1),1,0)+IF(AND($K$1=7,$G178=1),1,0)+IF(AND($L$1=7,$H178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8" s="38">
        <f>IF($B178=1,IF($F$1&lt;7,10,IF(AND($F$1=7,$I177=0,$P177&gt;1),15,IF($I177&gt;=20,15,IF($I177&gt;=6,13,10)))),0)+IF($C178=1,IF($G$1&lt;7,10,IF(AND($G$1=7,$J177=0,$Q177&gt;1),15,IF($J177&gt;=20,15,IF($J177&gt;=6,13,10)))),0)+IF($D178=1,IF($H$1&lt;7,10,IF(AND($H$1=7,$K177=0,$R177&gt;1),15,IF($K177&gt;=20,15,IF($K177&gt;=6,13,10)))),0)+IF($E178=1,IF($I$1&lt;7,10,IF(AND($I$1=7,$L177=0,$S177&gt;1),15,IF($L177&gt;=20,15,IF($L177&gt;=6,13,10)))),0)+IF($F178=1,IF($J$1&lt;7,10,IF(AND($J$1=7,$M177=0,$T177&gt;1),15,IF($M177&gt;=20,15,IF($M177&gt;=6,13,10)))),0)+IF($G178=1,IF($K$1&lt;7,10,IF(AND($K$1=7,$N177=0,$U177&gt;1),15,IF($N177&gt;=20,15,IF($N177&gt;=6,13,10)))),0)+IF($H178=1,IF($L$1&lt;7,10,IF(AND($L$1=7,$O177=0,$V177&gt;1),15,IF($O177&gt;=20,15,IF($O177&gt;=6,13,10)))),0)</f>
        <v/>
      </c>
      <c r="Z178" s="38">
        <f>$Z177+$Y178</f>
        <v/>
      </c>
      <c r="AA178" s="38">
        <f>IF(AND($B178=1,AND($F$1=7,$I177=0,$P177&gt;1)),1,0)+IF(AND($C178=1,AND($G$1=7,$J177=0,$Q177&gt;1)),1,0)+IF(AND($D178=1,AND($H$1=7,$K177=0,$R177&gt;1)),1,0)+IF(AND($E178=1,AND($I$1=7,$L177=0,$S177&gt;1)),1,0)+IF(AND($F178=1,AND($J$1=7,$M177=0,$T177&gt;1)),1,0)+IF(AND($G178=1,AND($K$1=7,$N177=0,$U177&gt;1)),1,0)+IF(AND($H178=1,AND($L$1=7,$O177=0,$V177&gt;1)),1,0)</f>
        <v/>
      </c>
      <c r="AB178" s="38">
        <f>IF(IFERROR('Июн'!$I22,"")="",0,$AB177+1)</f>
        <v/>
      </c>
    </row>
    <row r="179" spans="1:28">
      <c r="A179" s="38">
        <f>IF($B$1&gt;=DATE(2026,6,18),1,0)</f>
        <v/>
      </c>
      <c r="B179" s="38">
        <f>IFERROR(IF('Июн'!$B23=TRUE,1,0),0)</f>
        <v/>
      </c>
      <c r="C179" s="38">
        <f>IFERROR(IF('Июн'!$C23=TRUE,1,0),0)</f>
        <v/>
      </c>
      <c r="D179" s="38">
        <f>IFERROR(IF('Июн'!$D23=TRUE,1,0),0)</f>
        <v/>
      </c>
      <c r="E179" s="38">
        <f>IFERROR(IF('Июн'!$E23=TRUE,1,0),0)</f>
        <v/>
      </c>
      <c r="F179" s="38">
        <f>IFERROR(IF('Июн'!$F23=TRUE,1,0),0)</f>
        <v/>
      </c>
      <c r="G179" s="38">
        <f>IFERROR(IF('Июн'!$G23=TRUE,1,0),0)</f>
        <v/>
      </c>
      <c r="H179" s="38">
        <f>IFERROR(IF('Июн'!$H23=TRUE,1,0),0)</f>
        <v/>
      </c>
      <c r="I179" s="38">
        <f>IF($A179=0,$I178,IF($B179=1,$I178+1,IF($P179&lt;=1,$I178,0)))</f>
        <v/>
      </c>
      <c r="J179" s="38">
        <f>IF($A179=0,$J178,IF($C179=1,$J178+1,IF($Q179&lt;=1,$J178,0)))</f>
        <v/>
      </c>
      <c r="K179" s="38">
        <f>IF($A179=0,$K178,IF($D179=1,$K178+1,IF($R179&lt;=1,$K178,0)))</f>
        <v/>
      </c>
      <c r="L179" s="38">
        <f>IF($A179=0,$L178,IF($E179=1,$L178+1,IF($S179&lt;=1,$L178,0)))</f>
        <v/>
      </c>
      <c r="M179" s="38">
        <f>IF($A179=0,$M178,IF($F179=1,$M178+1,IF($T179&lt;=1,$M178,0)))</f>
        <v/>
      </c>
      <c r="N179" s="38">
        <f>IF($A179=0,$N178,IF($G179=1,$N178+1,IF($U179&lt;=1,$N178,0)))</f>
        <v/>
      </c>
      <c r="O179" s="38">
        <f>IF($A179=0,$O178,IF($H179=1,$O178+1,IF($V179&lt;=1,$O178,0)))</f>
        <v/>
      </c>
      <c r="P179" s="38">
        <f>IF($A179=0,$P178,$P178+IF($B179=1,0,1))</f>
        <v/>
      </c>
      <c r="Q179" s="38">
        <f>IF($A179=0,$Q178,$Q178+IF($C179=1,0,1))</f>
        <v/>
      </c>
      <c r="R179" s="38">
        <f>IF($A179=0,$R178,$R178+IF($D179=1,0,1))</f>
        <v/>
      </c>
      <c r="S179" s="38">
        <f>IF($A179=0,$S178,$S178+IF($E179=1,0,1))</f>
        <v/>
      </c>
      <c r="T179" s="38">
        <f>IF($A179=0,$T178,$T178+IF($F179=1,0,1))</f>
        <v/>
      </c>
      <c r="U179" s="38">
        <f>IF($A179=0,$U178,$U178+IF($G179=1,0,1))</f>
        <v/>
      </c>
      <c r="V179" s="38">
        <f>IF($A179=0,$V178,$V178+IF($H179=1,0,1))</f>
        <v/>
      </c>
      <c r="W179" s="38">
        <f>SUM($B179:$H179)</f>
        <v/>
      </c>
      <c r="X179" s="38">
        <f>IF(AND($A179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179=1),1,0)+IF(AND($G$1=7,$C179=1),1,0)+IF(AND($H$1=7,$D179=1),1,0)+IF(AND($I$1=7,$E179=1),1,0)+IF(AND($J$1=7,$F179=1),1,0)+IF(AND($K$1=7,$G179=1),1,0)+IF(AND($L$1=7,$H179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9" s="38">
        <f>IF($B179=1,IF($F$1&lt;7,10,IF(AND($F$1=7,$I178=0,$P178&gt;1),15,IF($I178&gt;=20,15,IF($I178&gt;=6,13,10)))),0)+IF($C179=1,IF($G$1&lt;7,10,IF(AND($G$1=7,$J178=0,$Q178&gt;1),15,IF($J178&gt;=20,15,IF($J178&gt;=6,13,10)))),0)+IF($D179=1,IF($H$1&lt;7,10,IF(AND($H$1=7,$K178=0,$R178&gt;1),15,IF($K178&gt;=20,15,IF($K178&gt;=6,13,10)))),0)+IF($E179=1,IF($I$1&lt;7,10,IF(AND($I$1=7,$L178=0,$S178&gt;1),15,IF($L178&gt;=20,15,IF($L178&gt;=6,13,10)))),0)+IF($F179=1,IF($J$1&lt;7,10,IF(AND($J$1=7,$M178=0,$T178&gt;1),15,IF($M178&gt;=20,15,IF($M178&gt;=6,13,10)))),0)+IF($G179=1,IF($K$1&lt;7,10,IF(AND($K$1=7,$N178=0,$U178&gt;1),15,IF($N178&gt;=20,15,IF($N178&gt;=6,13,10)))),0)+IF($H179=1,IF($L$1&lt;7,10,IF(AND($L$1=7,$O178=0,$V178&gt;1),15,IF($O178&gt;=20,15,IF($O178&gt;=6,13,10)))),0)</f>
        <v/>
      </c>
      <c r="Z179" s="38">
        <f>$Z178+$Y179</f>
        <v/>
      </c>
      <c r="AA179" s="38">
        <f>IF(AND($B179=1,AND($F$1=7,$I178=0,$P178&gt;1)),1,0)+IF(AND($C179=1,AND($G$1=7,$J178=0,$Q178&gt;1)),1,0)+IF(AND($D179=1,AND($H$1=7,$K178=0,$R178&gt;1)),1,0)+IF(AND($E179=1,AND($I$1=7,$L178=0,$S178&gt;1)),1,0)+IF(AND($F179=1,AND($J$1=7,$M178=0,$T178&gt;1)),1,0)+IF(AND($G179=1,AND($K$1=7,$N178=0,$U178&gt;1)),1,0)+IF(AND($H179=1,AND($L$1=7,$O178=0,$V178&gt;1)),1,0)</f>
        <v/>
      </c>
      <c r="AB179" s="38">
        <f>IF(IFERROR('Июн'!$I23,"")="",0,$AB178+1)</f>
        <v/>
      </c>
    </row>
    <row r="180" spans="1:28">
      <c r="A180" s="38">
        <f>IF($B$1&gt;=DATE(2026,6,19),1,0)</f>
        <v/>
      </c>
      <c r="B180" s="38">
        <f>IFERROR(IF('Июн'!$B24=TRUE,1,0),0)</f>
        <v/>
      </c>
      <c r="C180" s="38">
        <f>IFERROR(IF('Июн'!$C24=TRUE,1,0),0)</f>
        <v/>
      </c>
      <c r="D180" s="38">
        <f>IFERROR(IF('Июн'!$D24=TRUE,1,0),0)</f>
        <v/>
      </c>
      <c r="E180" s="38">
        <f>IFERROR(IF('Июн'!$E24=TRUE,1,0),0)</f>
        <v/>
      </c>
      <c r="F180" s="38">
        <f>IFERROR(IF('Июн'!$F24=TRUE,1,0),0)</f>
        <v/>
      </c>
      <c r="G180" s="38">
        <f>IFERROR(IF('Июн'!$G24=TRUE,1,0),0)</f>
        <v/>
      </c>
      <c r="H180" s="38">
        <f>IFERROR(IF('Июн'!$H24=TRUE,1,0),0)</f>
        <v/>
      </c>
      <c r="I180" s="38">
        <f>IF($A180=0,$I179,IF($B180=1,$I179+1,IF($P180&lt;=1,$I179,0)))</f>
        <v/>
      </c>
      <c r="J180" s="38">
        <f>IF($A180=0,$J179,IF($C180=1,$J179+1,IF($Q180&lt;=1,$J179,0)))</f>
        <v/>
      </c>
      <c r="K180" s="38">
        <f>IF($A180=0,$K179,IF($D180=1,$K179+1,IF($R180&lt;=1,$K179,0)))</f>
        <v/>
      </c>
      <c r="L180" s="38">
        <f>IF($A180=0,$L179,IF($E180=1,$L179+1,IF($S180&lt;=1,$L179,0)))</f>
        <v/>
      </c>
      <c r="M180" s="38">
        <f>IF($A180=0,$M179,IF($F180=1,$M179+1,IF($T180&lt;=1,$M179,0)))</f>
        <v/>
      </c>
      <c r="N180" s="38">
        <f>IF($A180=0,$N179,IF($G180=1,$N179+1,IF($U180&lt;=1,$N179,0)))</f>
        <v/>
      </c>
      <c r="O180" s="38">
        <f>IF($A180=0,$O179,IF($H180=1,$O179+1,IF($V180&lt;=1,$O179,0)))</f>
        <v/>
      </c>
      <c r="P180" s="38">
        <f>IF($A180=0,$P179,$P179+IF($B180=1,0,1))</f>
        <v/>
      </c>
      <c r="Q180" s="38">
        <f>IF($A180=0,$Q179,$Q179+IF($C180=1,0,1))</f>
        <v/>
      </c>
      <c r="R180" s="38">
        <f>IF($A180=0,$R179,$R179+IF($D180=1,0,1))</f>
        <v/>
      </c>
      <c r="S180" s="38">
        <f>IF($A180=0,$S179,$S179+IF($E180=1,0,1))</f>
        <v/>
      </c>
      <c r="T180" s="38">
        <f>IF($A180=0,$T179,$T179+IF($F180=1,0,1))</f>
        <v/>
      </c>
      <c r="U180" s="38">
        <f>IF($A180=0,$U179,$U179+IF($G180=1,0,1))</f>
        <v/>
      </c>
      <c r="V180" s="38">
        <f>IF($A180=0,$V179,$V179+IF($H180=1,0,1))</f>
        <v/>
      </c>
      <c r="W180" s="38">
        <f>SUM($B180:$H180)</f>
        <v/>
      </c>
      <c r="X180" s="38">
        <f>IF(AND($A180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180=1),1,0)+IF(AND($G$1=7,$C180=1),1,0)+IF(AND($H$1=7,$D180=1),1,0)+IF(AND($I$1=7,$E180=1),1,0)+IF(AND($J$1=7,$F180=1),1,0)+IF(AND($K$1=7,$G180=1),1,0)+IF(AND($L$1=7,$H180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0" s="38">
        <f>IF($B180=1,IF($F$1&lt;7,10,IF(AND($F$1=7,$I179=0,$P179&gt;1),15,IF($I179&gt;=20,15,IF($I179&gt;=6,13,10)))),0)+IF($C180=1,IF($G$1&lt;7,10,IF(AND($G$1=7,$J179=0,$Q179&gt;1),15,IF($J179&gt;=20,15,IF($J179&gt;=6,13,10)))),0)+IF($D180=1,IF($H$1&lt;7,10,IF(AND($H$1=7,$K179=0,$R179&gt;1),15,IF($K179&gt;=20,15,IF($K179&gt;=6,13,10)))),0)+IF($E180=1,IF($I$1&lt;7,10,IF(AND($I$1=7,$L179=0,$S179&gt;1),15,IF($L179&gt;=20,15,IF($L179&gt;=6,13,10)))),0)+IF($F180=1,IF($J$1&lt;7,10,IF(AND($J$1=7,$M179=0,$T179&gt;1),15,IF($M179&gt;=20,15,IF($M179&gt;=6,13,10)))),0)+IF($G180=1,IF($K$1&lt;7,10,IF(AND($K$1=7,$N179=0,$U179&gt;1),15,IF($N179&gt;=20,15,IF($N179&gt;=6,13,10)))),0)+IF($H180=1,IF($L$1&lt;7,10,IF(AND($L$1=7,$O179=0,$V179&gt;1),15,IF($O179&gt;=20,15,IF($O179&gt;=6,13,10)))),0)</f>
        <v/>
      </c>
      <c r="Z180" s="38">
        <f>$Z179+$Y180</f>
        <v/>
      </c>
      <c r="AA180" s="38">
        <f>IF(AND($B180=1,AND($F$1=7,$I179=0,$P179&gt;1)),1,0)+IF(AND($C180=1,AND($G$1=7,$J179=0,$Q179&gt;1)),1,0)+IF(AND($D180=1,AND($H$1=7,$K179=0,$R179&gt;1)),1,0)+IF(AND($E180=1,AND($I$1=7,$L179=0,$S179&gt;1)),1,0)+IF(AND($F180=1,AND($J$1=7,$M179=0,$T179&gt;1)),1,0)+IF(AND($G180=1,AND($K$1=7,$N179=0,$U179&gt;1)),1,0)+IF(AND($H180=1,AND($L$1=7,$O179=0,$V179&gt;1)),1,0)</f>
        <v/>
      </c>
      <c r="AB180" s="38">
        <f>IF(IFERROR('Июн'!$I24,"")="",0,$AB179+1)</f>
        <v/>
      </c>
    </row>
    <row r="181" spans="1:28">
      <c r="A181" s="38">
        <f>IF($B$1&gt;=DATE(2026,6,20),1,0)</f>
        <v/>
      </c>
      <c r="B181" s="38">
        <f>IFERROR(IF('Июн'!$B25=TRUE,1,0),0)</f>
        <v/>
      </c>
      <c r="C181" s="38">
        <f>IFERROR(IF('Июн'!$C25=TRUE,1,0),0)</f>
        <v/>
      </c>
      <c r="D181" s="38">
        <f>IFERROR(IF('Июн'!$D25=TRUE,1,0),0)</f>
        <v/>
      </c>
      <c r="E181" s="38">
        <f>IFERROR(IF('Июн'!$E25=TRUE,1,0),0)</f>
        <v/>
      </c>
      <c r="F181" s="38">
        <f>IFERROR(IF('Июн'!$F25=TRUE,1,0),0)</f>
        <v/>
      </c>
      <c r="G181" s="38">
        <f>IFERROR(IF('Июн'!$G25=TRUE,1,0),0)</f>
        <v/>
      </c>
      <c r="H181" s="38">
        <f>IFERROR(IF('Июн'!$H25=TRUE,1,0),0)</f>
        <v/>
      </c>
      <c r="I181" s="38">
        <f>IF($A181=0,$I180,IF($B181=1,$I180+1,IF($P181&lt;=1,$I180,0)))</f>
        <v/>
      </c>
      <c r="J181" s="38">
        <f>IF($A181=0,$J180,IF($C181=1,$J180+1,IF($Q181&lt;=1,$J180,0)))</f>
        <v/>
      </c>
      <c r="K181" s="38">
        <f>IF($A181=0,$K180,IF($D181=1,$K180+1,IF($R181&lt;=1,$K180,0)))</f>
        <v/>
      </c>
      <c r="L181" s="38">
        <f>IF($A181=0,$L180,IF($E181=1,$L180+1,IF($S181&lt;=1,$L180,0)))</f>
        <v/>
      </c>
      <c r="M181" s="38">
        <f>IF($A181=0,$M180,IF($F181=1,$M180+1,IF($T181&lt;=1,$M180,0)))</f>
        <v/>
      </c>
      <c r="N181" s="38">
        <f>IF($A181=0,$N180,IF($G181=1,$N180+1,IF($U181&lt;=1,$N180,0)))</f>
        <v/>
      </c>
      <c r="O181" s="38">
        <f>IF($A181=0,$O180,IF($H181=1,$O180+1,IF($V181&lt;=1,$O180,0)))</f>
        <v/>
      </c>
      <c r="P181" s="38">
        <f>IF($A181=0,$P180,$P180+IF($B181=1,0,1))</f>
        <v/>
      </c>
      <c r="Q181" s="38">
        <f>IF($A181=0,$Q180,$Q180+IF($C181=1,0,1))</f>
        <v/>
      </c>
      <c r="R181" s="38">
        <f>IF($A181=0,$R180,$R180+IF($D181=1,0,1))</f>
        <v/>
      </c>
      <c r="S181" s="38">
        <f>IF($A181=0,$S180,$S180+IF($E181=1,0,1))</f>
        <v/>
      </c>
      <c r="T181" s="38">
        <f>IF($A181=0,$T180,$T180+IF($F181=1,0,1))</f>
        <v/>
      </c>
      <c r="U181" s="38">
        <f>IF($A181=0,$U180,$U180+IF($G181=1,0,1))</f>
        <v/>
      </c>
      <c r="V181" s="38">
        <f>IF($A181=0,$V180,$V180+IF($H181=1,0,1))</f>
        <v/>
      </c>
      <c r="W181" s="38">
        <f>SUM($B181:$H181)</f>
        <v/>
      </c>
      <c r="X181" s="38">
        <f>IF(AND($A181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181=1),1,0)+IF(AND($G$1=7,$C181=1),1,0)+IF(AND($H$1=7,$D181=1),1,0)+IF(AND($I$1=7,$E181=1),1,0)+IF(AND($J$1=7,$F181=1),1,0)+IF(AND($K$1=7,$G181=1),1,0)+IF(AND($L$1=7,$H181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1" s="38">
        <f>IF($B181=1,IF($F$1&lt;7,10,IF(AND($F$1=7,$I180=0,$P180&gt;1),15,IF($I180&gt;=20,15,IF($I180&gt;=6,13,10)))),0)+IF($C181=1,IF($G$1&lt;7,10,IF(AND($G$1=7,$J180=0,$Q180&gt;1),15,IF($J180&gt;=20,15,IF($J180&gt;=6,13,10)))),0)+IF($D181=1,IF($H$1&lt;7,10,IF(AND($H$1=7,$K180=0,$R180&gt;1),15,IF($K180&gt;=20,15,IF($K180&gt;=6,13,10)))),0)+IF($E181=1,IF($I$1&lt;7,10,IF(AND($I$1=7,$L180=0,$S180&gt;1),15,IF($L180&gt;=20,15,IF($L180&gt;=6,13,10)))),0)+IF($F181=1,IF($J$1&lt;7,10,IF(AND($J$1=7,$M180=0,$T180&gt;1),15,IF($M180&gt;=20,15,IF($M180&gt;=6,13,10)))),0)+IF($G181=1,IF($K$1&lt;7,10,IF(AND($K$1=7,$N180=0,$U180&gt;1),15,IF($N180&gt;=20,15,IF($N180&gt;=6,13,10)))),0)+IF($H181=1,IF($L$1&lt;7,10,IF(AND($L$1=7,$O180=0,$V180&gt;1),15,IF($O180&gt;=20,15,IF($O180&gt;=6,13,10)))),0)</f>
        <v/>
      </c>
      <c r="Z181" s="38">
        <f>$Z180+$Y181</f>
        <v/>
      </c>
      <c r="AA181" s="38">
        <f>IF(AND($B181=1,AND($F$1=7,$I180=0,$P180&gt;1)),1,0)+IF(AND($C181=1,AND($G$1=7,$J180=0,$Q180&gt;1)),1,0)+IF(AND($D181=1,AND($H$1=7,$K180=0,$R180&gt;1)),1,0)+IF(AND($E181=1,AND($I$1=7,$L180=0,$S180&gt;1)),1,0)+IF(AND($F181=1,AND($J$1=7,$M180=0,$T180&gt;1)),1,0)+IF(AND($G181=1,AND($K$1=7,$N180=0,$U180&gt;1)),1,0)+IF(AND($H181=1,AND($L$1=7,$O180=0,$V180&gt;1)),1,0)</f>
        <v/>
      </c>
      <c r="AB181" s="38">
        <f>IF(IFERROR('Июн'!$I25,"")="",0,$AB180+1)</f>
        <v/>
      </c>
    </row>
    <row r="182" spans="1:28">
      <c r="A182" s="38">
        <f>IF($B$1&gt;=DATE(2026,6,21),1,0)</f>
        <v/>
      </c>
      <c r="B182" s="38">
        <f>IFERROR(IF('Июн'!$B26=TRUE,1,0),0)</f>
        <v/>
      </c>
      <c r="C182" s="38">
        <f>IFERROR(IF('Июн'!$C26=TRUE,1,0),0)</f>
        <v/>
      </c>
      <c r="D182" s="38">
        <f>IFERROR(IF('Июн'!$D26=TRUE,1,0),0)</f>
        <v/>
      </c>
      <c r="E182" s="38">
        <f>IFERROR(IF('Июн'!$E26=TRUE,1,0),0)</f>
        <v/>
      </c>
      <c r="F182" s="38">
        <f>IFERROR(IF('Июн'!$F26=TRUE,1,0),0)</f>
        <v/>
      </c>
      <c r="G182" s="38">
        <f>IFERROR(IF('Июн'!$G26=TRUE,1,0),0)</f>
        <v/>
      </c>
      <c r="H182" s="38">
        <f>IFERROR(IF('Июн'!$H26=TRUE,1,0),0)</f>
        <v/>
      </c>
      <c r="I182" s="38">
        <f>IF($A182=0,$I181,IF($B182=1,$I181+1,IF($P182&lt;=1,$I181,0)))</f>
        <v/>
      </c>
      <c r="J182" s="38">
        <f>IF($A182=0,$J181,IF($C182=1,$J181+1,IF($Q182&lt;=1,$J181,0)))</f>
        <v/>
      </c>
      <c r="K182" s="38">
        <f>IF($A182=0,$K181,IF($D182=1,$K181+1,IF($R182&lt;=1,$K181,0)))</f>
        <v/>
      </c>
      <c r="L182" s="38">
        <f>IF($A182=0,$L181,IF($E182=1,$L181+1,IF($S182&lt;=1,$L181,0)))</f>
        <v/>
      </c>
      <c r="M182" s="38">
        <f>IF($A182=0,$M181,IF($F182=1,$M181+1,IF($T182&lt;=1,$M181,0)))</f>
        <v/>
      </c>
      <c r="N182" s="38">
        <f>IF($A182=0,$N181,IF($G182=1,$N181+1,IF($U182&lt;=1,$N181,0)))</f>
        <v/>
      </c>
      <c r="O182" s="38">
        <f>IF($A182=0,$O181,IF($H182=1,$O181+1,IF($V182&lt;=1,$O181,0)))</f>
        <v/>
      </c>
      <c r="P182" s="38">
        <f>IF($A182=0,$P181,$P181+IF($B182=1,0,1))</f>
        <v/>
      </c>
      <c r="Q182" s="38">
        <f>IF($A182=0,$Q181,$Q181+IF($C182=1,0,1))</f>
        <v/>
      </c>
      <c r="R182" s="38">
        <f>IF($A182=0,$R181,$R181+IF($D182=1,0,1))</f>
        <v/>
      </c>
      <c r="S182" s="38">
        <f>IF($A182=0,$S181,$S181+IF($E182=1,0,1))</f>
        <v/>
      </c>
      <c r="T182" s="38">
        <f>IF($A182=0,$T181,$T181+IF($F182=1,0,1))</f>
        <v/>
      </c>
      <c r="U182" s="38">
        <f>IF($A182=0,$U181,$U181+IF($G182=1,0,1))</f>
        <v/>
      </c>
      <c r="V182" s="38">
        <f>IF($A182=0,$V181,$V181+IF($H182=1,0,1))</f>
        <v/>
      </c>
      <c r="W182" s="38">
        <f>SUM($B182:$H182)</f>
        <v/>
      </c>
      <c r="X182" s="38">
        <f>IF(AND($A182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182=1),1,0)+IF(AND($G$1=7,$C182=1),1,0)+IF(AND($H$1=7,$D182=1),1,0)+IF(AND($I$1=7,$E182=1),1,0)+IF(AND($J$1=7,$F182=1),1,0)+IF(AND($K$1=7,$G182=1),1,0)+IF(AND($L$1=7,$H182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2" s="38">
        <f>IF($B182=1,IF($F$1&lt;7,10,IF(AND($F$1=7,$I181=0,$P181&gt;1),15,IF($I181&gt;=20,15,IF($I181&gt;=6,13,10)))),0)+IF($C182=1,IF($G$1&lt;7,10,IF(AND($G$1=7,$J181=0,$Q181&gt;1),15,IF($J181&gt;=20,15,IF($J181&gt;=6,13,10)))),0)+IF($D182=1,IF($H$1&lt;7,10,IF(AND($H$1=7,$K181=0,$R181&gt;1),15,IF($K181&gt;=20,15,IF($K181&gt;=6,13,10)))),0)+IF($E182=1,IF($I$1&lt;7,10,IF(AND($I$1=7,$L181=0,$S181&gt;1),15,IF($L181&gt;=20,15,IF($L181&gt;=6,13,10)))),0)+IF($F182=1,IF($J$1&lt;7,10,IF(AND($J$1=7,$M181=0,$T181&gt;1),15,IF($M181&gt;=20,15,IF($M181&gt;=6,13,10)))),0)+IF($G182=1,IF($K$1&lt;7,10,IF(AND($K$1=7,$N181=0,$U181&gt;1),15,IF($N181&gt;=20,15,IF($N181&gt;=6,13,10)))),0)+IF($H182=1,IF($L$1&lt;7,10,IF(AND($L$1=7,$O181=0,$V181&gt;1),15,IF($O181&gt;=20,15,IF($O181&gt;=6,13,10)))),0)</f>
        <v/>
      </c>
      <c r="Z182" s="38">
        <f>$Z181+$Y182</f>
        <v/>
      </c>
      <c r="AA182" s="38">
        <f>IF(AND($B182=1,AND($F$1=7,$I181=0,$P181&gt;1)),1,0)+IF(AND($C182=1,AND($G$1=7,$J181=0,$Q181&gt;1)),1,0)+IF(AND($D182=1,AND($H$1=7,$K181=0,$R181&gt;1)),1,0)+IF(AND($E182=1,AND($I$1=7,$L181=0,$S181&gt;1)),1,0)+IF(AND($F182=1,AND($J$1=7,$M181=0,$T181&gt;1)),1,0)+IF(AND($G182=1,AND($K$1=7,$N181=0,$U181&gt;1)),1,0)+IF(AND($H182=1,AND($L$1=7,$O181=0,$V181&gt;1)),1,0)</f>
        <v/>
      </c>
      <c r="AB182" s="38">
        <f>IF(IFERROR('Июн'!$I26,"")="",0,$AB181+1)</f>
        <v/>
      </c>
    </row>
    <row r="183" spans="1:28">
      <c r="A183" s="38">
        <f>IF($B$1&gt;=DATE(2026,6,22),1,0)</f>
        <v/>
      </c>
      <c r="B183" s="38">
        <f>IFERROR(IF('Июн'!$B27=TRUE,1,0),0)</f>
        <v/>
      </c>
      <c r="C183" s="38">
        <f>IFERROR(IF('Июн'!$C27=TRUE,1,0),0)</f>
        <v/>
      </c>
      <c r="D183" s="38">
        <f>IFERROR(IF('Июн'!$D27=TRUE,1,0),0)</f>
        <v/>
      </c>
      <c r="E183" s="38">
        <f>IFERROR(IF('Июн'!$E27=TRUE,1,0),0)</f>
        <v/>
      </c>
      <c r="F183" s="38">
        <f>IFERROR(IF('Июн'!$F27=TRUE,1,0),0)</f>
        <v/>
      </c>
      <c r="G183" s="38">
        <f>IFERROR(IF('Июн'!$G27=TRUE,1,0),0)</f>
        <v/>
      </c>
      <c r="H183" s="38">
        <f>IFERROR(IF('Июн'!$H27=TRUE,1,0),0)</f>
        <v/>
      </c>
      <c r="I183" s="38">
        <f>IF($A183=0,$I182,IF($B183=1,$I182+1,IF($P183&lt;=1,$I182,0)))</f>
        <v/>
      </c>
      <c r="J183" s="38">
        <f>IF($A183=0,$J182,IF($C183=1,$J182+1,IF($Q183&lt;=1,$J182,0)))</f>
        <v/>
      </c>
      <c r="K183" s="38">
        <f>IF($A183=0,$K182,IF($D183=1,$K182+1,IF($R183&lt;=1,$K182,0)))</f>
        <v/>
      </c>
      <c r="L183" s="38">
        <f>IF($A183=0,$L182,IF($E183=1,$L182+1,IF($S183&lt;=1,$L182,0)))</f>
        <v/>
      </c>
      <c r="M183" s="38">
        <f>IF($A183=0,$M182,IF($F183=1,$M182+1,IF($T183&lt;=1,$M182,0)))</f>
        <v/>
      </c>
      <c r="N183" s="38">
        <f>IF($A183=0,$N182,IF($G183=1,$N182+1,IF($U183&lt;=1,$N182,0)))</f>
        <v/>
      </c>
      <c r="O183" s="38">
        <f>IF($A183=0,$O182,IF($H183=1,$O182+1,IF($V183&lt;=1,$O182,0)))</f>
        <v/>
      </c>
      <c r="P183" s="38">
        <f>IF($A183=0,$P182,$P182+IF($B183=1,0,1))</f>
        <v/>
      </c>
      <c r="Q183" s="38">
        <f>IF($A183=0,$Q182,$Q182+IF($C183=1,0,1))</f>
        <v/>
      </c>
      <c r="R183" s="38">
        <f>IF($A183=0,$R182,$R182+IF($D183=1,0,1))</f>
        <v/>
      </c>
      <c r="S183" s="38">
        <f>IF($A183=0,$S182,$S182+IF($E183=1,0,1))</f>
        <v/>
      </c>
      <c r="T183" s="38">
        <f>IF($A183=0,$T182,$T182+IF($F183=1,0,1))</f>
        <v/>
      </c>
      <c r="U183" s="38">
        <f>IF($A183=0,$U182,$U182+IF($G183=1,0,1))</f>
        <v/>
      </c>
      <c r="V183" s="38">
        <f>IF($A183=0,$V182,$V182+IF($H183=1,0,1))</f>
        <v/>
      </c>
      <c r="W183" s="38">
        <f>SUM($B183:$H183)</f>
        <v/>
      </c>
      <c r="X183" s="38">
        <f>IF(AND($A183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183=1),1,0)+IF(AND($G$1=7,$C183=1),1,0)+IF(AND($H$1=7,$D183=1),1,0)+IF(AND($I$1=7,$E183=1),1,0)+IF(AND($J$1=7,$F183=1),1,0)+IF(AND($K$1=7,$G183=1),1,0)+IF(AND($L$1=7,$H183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3" s="38">
        <f>IF($B183=1,IF($F$1&lt;7,10,IF(AND($F$1=7,$I182=0,$P182&gt;1),15,IF($I182&gt;=20,15,IF($I182&gt;=6,13,10)))),0)+IF($C183=1,IF($G$1&lt;7,10,IF(AND($G$1=7,$J182=0,$Q182&gt;1),15,IF($J182&gt;=20,15,IF($J182&gt;=6,13,10)))),0)+IF($D183=1,IF($H$1&lt;7,10,IF(AND($H$1=7,$K182=0,$R182&gt;1),15,IF($K182&gt;=20,15,IF($K182&gt;=6,13,10)))),0)+IF($E183=1,IF($I$1&lt;7,10,IF(AND($I$1=7,$L182=0,$S182&gt;1),15,IF($L182&gt;=20,15,IF($L182&gt;=6,13,10)))),0)+IF($F183=1,IF($J$1&lt;7,10,IF(AND($J$1=7,$M182=0,$T182&gt;1),15,IF($M182&gt;=20,15,IF($M182&gt;=6,13,10)))),0)+IF($G183=1,IF($K$1&lt;7,10,IF(AND($K$1=7,$N182=0,$U182&gt;1),15,IF($N182&gt;=20,15,IF($N182&gt;=6,13,10)))),0)+IF($H183=1,IF($L$1&lt;7,10,IF(AND($L$1=7,$O182=0,$V182&gt;1),15,IF($O182&gt;=20,15,IF($O182&gt;=6,13,10)))),0)</f>
        <v/>
      </c>
      <c r="Z183" s="38">
        <f>$Z182+$Y183</f>
        <v/>
      </c>
      <c r="AA183" s="38">
        <f>IF(AND($B183=1,AND($F$1=7,$I182=0,$P182&gt;1)),1,0)+IF(AND($C183=1,AND($G$1=7,$J182=0,$Q182&gt;1)),1,0)+IF(AND($D183=1,AND($H$1=7,$K182=0,$R182&gt;1)),1,0)+IF(AND($E183=1,AND($I$1=7,$L182=0,$S182&gt;1)),1,0)+IF(AND($F183=1,AND($J$1=7,$M182=0,$T182&gt;1)),1,0)+IF(AND($G183=1,AND($K$1=7,$N182=0,$U182&gt;1)),1,0)+IF(AND($H183=1,AND($L$1=7,$O182=0,$V182&gt;1)),1,0)</f>
        <v/>
      </c>
      <c r="AB183" s="38">
        <f>IF(IFERROR('Июн'!$I27,"")="",0,$AB182+1)</f>
        <v/>
      </c>
    </row>
    <row r="184" spans="1:28">
      <c r="A184" s="38">
        <f>IF($B$1&gt;=DATE(2026,6,23),1,0)</f>
        <v/>
      </c>
      <c r="B184" s="38">
        <f>IFERROR(IF('Июн'!$B28=TRUE,1,0),0)</f>
        <v/>
      </c>
      <c r="C184" s="38">
        <f>IFERROR(IF('Июн'!$C28=TRUE,1,0),0)</f>
        <v/>
      </c>
      <c r="D184" s="38">
        <f>IFERROR(IF('Июн'!$D28=TRUE,1,0),0)</f>
        <v/>
      </c>
      <c r="E184" s="38">
        <f>IFERROR(IF('Июн'!$E28=TRUE,1,0),0)</f>
        <v/>
      </c>
      <c r="F184" s="38">
        <f>IFERROR(IF('Июн'!$F28=TRUE,1,0),0)</f>
        <v/>
      </c>
      <c r="G184" s="38">
        <f>IFERROR(IF('Июн'!$G28=TRUE,1,0),0)</f>
        <v/>
      </c>
      <c r="H184" s="38">
        <f>IFERROR(IF('Июн'!$H28=TRUE,1,0),0)</f>
        <v/>
      </c>
      <c r="I184" s="38">
        <f>IF($A184=0,$I183,IF($B184=1,$I183+1,IF($P184&lt;=1,$I183,0)))</f>
        <v/>
      </c>
      <c r="J184" s="38">
        <f>IF($A184=0,$J183,IF($C184=1,$J183+1,IF($Q184&lt;=1,$J183,0)))</f>
        <v/>
      </c>
      <c r="K184" s="38">
        <f>IF($A184=0,$K183,IF($D184=1,$K183+1,IF($R184&lt;=1,$K183,0)))</f>
        <v/>
      </c>
      <c r="L184" s="38">
        <f>IF($A184=0,$L183,IF($E184=1,$L183+1,IF($S184&lt;=1,$L183,0)))</f>
        <v/>
      </c>
      <c r="M184" s="38">
        <f>IF($A184=0,$M183,IF($F184=1,$M183+1,IF($T184&lt;=1,$M183,0)))</f>
        <v/>
      </c>
      <c r="N184" s="38">
        <f>IF($A184=0,$N183,IF($G184=1,$N183+1,IF($U184&lt;=1,$N183,0)))</f>
        <v/>
      </c>
      <c r="O184" s="38">
        <f>IF($A184=0,$O183,IF($H184=1,$O183+1,IF($V184&lt;=1,$O183,0)))</f>
        <v/>
      </c>
      <c r="P184" s="38">
        <f>IF($A184=0,$P183,$P183+IF($B184=1,0,1))</f>
        <v/>
      </c>
      <c r="Q184" s="38">
        <f>IF($A184=0,$Q183,$Q183+IF($C184=1,0,1))</f>
        <v/>
      </c>
      <c r="R184" s="38">
        <f>IF($A184=0,$R183,$R183+IF($D184=1,0,1))</f>
        <v/>
      </c>
      <c r="S184" s="38">
        <f>IF($A184=0,$S183,$S183+IF($E184=1,0,1))</f>
        <v/>
      </c>
      <c r="T184" s="38">
        <f>IF($A184=0,$T183,$T183+IF($F184=1,0,1))</f>
        <v/>
      </c>
      <c r="U184" s="38">
        <f>IF($A184=0,$U183,$U183+IF($G184=1,0,1))</f>
        <v/>
      </c>
      <c r="V184" s="38">
        <f>IF($A184=0,$V183,$V183+IF($H184=1,0,1))</f>
        <v/>
      </c>
      <c r="W184" s="38">
        <f>SUM($B184:$H184)</f>
        <v/>
      </c>
      <c r="X184" s="38">
        <f>IF(AND($A184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184=1),1,0)+IF(AND($G$1=7,$C184=1),1,0)+IF(AND($H$1=7,$D184=1),1,0)+IF(AND($I$1=7,$E184=1),1,0)+IF(AND($J$1=7,$F184=1),1,0)+IF(AND($K$1=7,$G184=1),1,0)+IF(AND($L$1=7,$H184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4" s="38">
        <f>IF($B184=1,IF($F$1&lt;7,10,IF(AND($F$1=7,$I183=0,$P183&gt;1),15,IF($I183&gt;=20,15,IF($I183&gt;=6,13,10)))),0)+IF($C184=1,IF($G$1&lt;7,10,IF(AND($G$1=7,$J183=0,$Q183&gt;1),15,IF($J183&gt;=20,15,IF($J183&gt;=6,13,10)))),0)+IF($D184=1,IF($H$1&lt;7,10,IF(AND($H$1=7,$K183=0,$R183&gt;1),15,IF($K183&gt;=20,15,IF($K183&gt;=6,13,10)))),0)+IF($E184=1,IF($I$1&lt;7,10,IF(AND($I$1=7,$L183=0,$S183&gt;1),15,IF($L183&gt;=20,15,IF($L183&gt;=6,13,10)))),0)+IF($F184=1,IF($J$1&lt;7,10,IF(AND($J$1=7,$M183=0,$T183&gt;1),15,IF($M183&gt;=20,15,IF($M183&gt;=6,13,10)))),0)+IF($G184=1,IF($K$1&lt;7,10,IF(AND($K$1=7,$N183=0,$U183&gt;1),15,IF($N183&gt;=20,15,IF($N183&gt;=6,13,10)))),0)+IF($H184=1,IF($L$1&lt;7,10,IF(AND($L$1=7,$O183=0,$V183&gt;1),15,IF($O183&gt;=20,15,IF($O183&gt;=6,13,10)))),0)</f>
        <v/>
      </c>
      <c r="Z184" s="38">
        <f>$Z183+$Y184</f>
        <v/>
      </c>
      <c r="AA184" s="38">
        <f>IF(AND($B184=1,AND($F$1=7,$I183=0,$P183&gt;1)),1,0)+IF(AND($C184=1,AND($G$1=7,$J183=0,$Q183&gt;1)),1,0)+IF(AND($D184=1,AND($H$1=7,$K183=0,$R183&gt;1)),1,0)+IF(AND($E184=1,AND($I$1=7,$L183=0,$S183&gt;1)),1,0)+IF(AND($F184=1,AND($J$1=7,$M183=0,$T183&gt;1)),1,0)+IF(AND($G184=1,AND($K$1=7,$N183=0,$U183&gt;1)),1,0)+IF(AND($H184=1,AND($L$1=7,$O183=0,$V183&gt;1)),1,0)</f>
        <v/>
      </c>
      <c r="AB184" s="38">
        <f>IF(IFERROR('Июн'!$I28,"")="",0,$AB183+1)</f>
        <v/>
      </c>
    </row>
    <row r="185" spans="1:28">
      <c r="A185" s="38">
        <f>IF($B$1&gt;=DATE(2026,6,24),1,0)</f>
        <v/>
      </c>
      <c r="B185" s="38">
        <f>IFERROR(IF('Июн'!$B29=TRUE,1,0),0)</f>
        <v/>
      </c>
      <c r="C185" s="38">
        <f>IFERROR(IF('Июн'!$C29=TRUE,1,0),0)</f>
        <v/>
      </c>
      <c r="D185" s="38">
        <f>IFERROR(IF('Июн'!$D29=TRUE,1,0),0)</f>
        <v/>
      </c>
      <c r="E185" s="38">
        <f>IFERROR(IF('Июн'!$E29=TRUE,1,0),0)</f>
        <v/>
      </c>
      <c r="F185" s="38">
        <f>IFERROR(IF('Июн'!$F29=TRUE,1,0),0)</f>
        <v/>
      </c>
      <c r="G185" s="38">
        <f>IFERROR(IF('Июн'!$G29=TRUE,1,0),0)</f>
        <v/>
      </c>
      <c r="H185" s="38">
        <f>IFERROR(IF('Июн'!$H29=TRUE,1,0),0)</f>
        <v/>
      </c>
      <c r="I185" s="38">
        <f>IF($A185=0,$I184,IF($B185=1,$I184+1,IF($P185&lt;=1,$I184,0)))</f>
        <v/>
      </c>
      <c r="J185" s="38">
        <f>IF($A185=0,$J184,IF($C185=1,$J184+1,IF($Q185&lt;=1,$J184,0)))</f>
        <v/>
      </c>
      <c r="K185" s="38">
        <f>IF($A185=0,$K184,IF($D185=1,$K184+1,IF($R185&lt;=1,$K184,0)))</f>
        <v/>
      </c>
      <c r="L185" s="38">
        <f>IF($A185=0,$L184,IF($E185=1,$L184+1,IF($S185&lt;=1,$L184,0)))</f>
        <v/>
      </c>
      <c r="M185" s="38">
        <f>IF($A185=0,$M184,IF($F185=1,$M184+1,IF($T185&lt;=1,$M184,0)))</f>
        <v/>
      </c>
      <c r="N185" s="38">
        <f>IF($A185=0,$N184,IF($G185=1,$N184+1,IF($U185&lt;=1,$N184,0)))</f>
        <v/>
      </c>
      <c r="O185" s="38">
        <f>IF($A185=0,$O184,IF($H185=1,$O184+1,IF($V185&lt;=1,$O184,0)))</f>
        <v/>
      </c>
      <c r="P185" s="38">
        <f>IF($A185=0,$P184,$P184+IF($B185=1,0,1))</f>
        <v/>
      </c>
      <c r="Q185" s="38">
        <f>IF($A185=0,$Q184,$Q184+IF($C185=1,0,1))</f>
        <v/>
      </c>
      <c r="R185" s="38">
        <f>IF($A185=0,$R184,$R184+IF($D185=1,0,1))</f>
        <v/>
      </c>
      <c r="S185" s="38">
        <f>IF($A185=0,$S184,$S184+IF($E185=1,0,1))</f>
        <v/>
      </c>
      <c r="T185" s="38">
        <f>IF($A185=0,$T184,$T184+IF($F185=1,0,1))</f>
        <v/>
      </c>
      <c r="U185" s="38">
        <f>IF($A185=0,$U184,$U184+IF($G185=1,0,1))</f>
        <v/>
      </c>
      <c r="V185" s="38">
        <f>IF($A185=0,$V184,$V184+IF($H185=1,0,1))</f>
        <v/>
      </c>
      <c r="W185" s="38">
        <f>SUM($B185:$H185)</f>
        <v/>
      </c>
      <c r="X185" s="38">
        <f>IF(AND($A185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185=1),1,0)+IF(AND($G$1=7,$C185=1),1,0)+IF(AND($H$1=7,$D185=1),1,0)+IF(AND($I$1=7,$E185=1),1,0)+IF(AND($J$1=7,$F185=1),1,0)+IF(AND($K$1=7,$G185=1),1,0)+IF(AND($L$1=7,$H185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5" s="38">
        <f>IF($B185=1,IF($F$1&lt;7,10,IF(AND($F$1=7,$I184=0,$P184&gt;1),15,IF($I184&gt;=20,15,IF($I184&gt;=6,13,10)))),0)+IF($C185=1,IF($G$1&lt;7,10,IF(AND($G$1=7,$J184=0,$Q184&gt;1),15,IF($J184&gt;=20,15,IF($J184&gt;=6,13,10)))),0)+IF($D185=1,IF($H$1&lt;7,10,IF(AND($H$1=7,$K184=0,$R184&gt;1),15,IF($K184&gt;=20,15,IF($K184&gt;=6,13,10)))),0)+IF($E185=1,IF($I$1&lt;7,10,IF(AND($I$1=7,$L184=0,$S184&gt;1),15,IF($L184&gt;=20,15,IF($L184&gt;=6,13,10)))),0)+IF($F185=1,IF($J$1&lt;7,10,IF(AND($J$1=7,$M184=0,$T184&gt;1),15,IF($M184&gt;=20,15,IF($M184&gt;=6,13,10)))),0)+IF($G185=1,IF($K$1&lt;7,10,IF(AND($K$1=7,$N184=0,$U184&gt;1),15,IF($N184&gt;=20,15,IF($N184&gt;=6,13,10)))),0)+IF($H185=1,IF($L$1&lt;7,10,IF(AND($L$1=7,$O184=0,$V184&gt;1),15,IF($O184&gt;=20,15,IF($O184&gt;=6,13,10)))),0)</f>
        <v/>
      </c>
      <c r="Z185" s="38">
        <f>$Z184+$Y185</f>
        <v/>
      </c>
      <c r="AA185" s="38">
        <f>IF(AND($B185=1,AND($F$1=7,$I184=0,$P184&gt;1)),1,0)+IF(AND($C185=1,AND($G$1=7,$J184=0,$Q184&gt;1)),1,0)+IF(AND($D185=1,AND($H$1=7,$K184=0,$R184&gt;1)),1,0)+IF(AND($E185=1,AND($I$1=7,$L184=0,$S184&gt;1)),1,0)+IF(AND($F185=1,AND($J$1=7,$M184=0,$T184&gt;1)),1,0)+IF(AND($G185=1,AND($K$1=7,$N184=0,$U184&gt;1)),1,0)+IF(AND($H185=1,AND($L$1=7,$O184=0,$V184&gt;1)),1,0)</f>
        <v/>
      </c>
      <c r="AB185" s="38">
        <f>IF(IFERROR('Июн'!$I29,"")="",0,$AB184+1)</f>
        <v/>
      </c>
    </row>
    <row r="186" spans="1:28">
      <c r="A186" s="38">
        <f>IF($B$1&gt;=DATE(2026,6,25),1,0)</f>
        <v/>
      </c>
      <c r="B186" s="38">
        <f>IFERROR(IF('Июн'!$B30=TRUE,1,0),0)</f>
        <v/>
      </c>
      <c r="C186" s="38">
        <f>IFERROR(IF('Июн'!$C30=TRUE,1,0),0)</f>
        <v/>
      </c>
      <c r="D186" s="38">
        <f>IFERROR(IF('Июн'!$D30=TRUE,1,0),0)</f>
        <v/>
      </c>
      <c r="E186" s="38">
        <f>IFERROR(IF('Июн'!$E30=TRUE,1,0),0)</f>
        <v/>
      </c>
      <c r="F186" s="38">
        <f>IFERROR(IF('Июн'!$F30=TRUE,1,0),0)</f>
        <v/>
      </c>
      <c r="G186" s="38">
        <f>IFERROR(IF('Июн'!$G30=TRUE,1,0),0)</f>
        <v/>
      </c>
      <c r="H186" s="38">
        <f>IFERROR(IF('Июн'!$H30=TRUE,1,0),0)</f>
        <v/>
      </c>
      <c r="I186" s="38">
        <f>IF($A186=0,$I185,IF($B186=1,$I185+1,IF($P186&lt;=1,$I185,0)))</f>
        <v/>
      </c>
      <c r="J186" s="38">
        <f>IF($A186=0,$J185,IF($C186=1,$J185+1,IF($Q186&lt;=1,$J185,0)))</f>
        <v/>
      </c>
      <c r="K186" s="38">
        <f>IF($A186=0,$K185,IF($D186=1,$K185+1,IF($R186&lt;=1,$K185,0)))</f>
        <v/>
      </c>
      <c r="L186" s="38">
        <f>IF($A186=0,$L185,IF($E186=1,$L185+1,IF($S186&lt;=1,$L185,0)))</f>
        <v/>
      </c>
      <c r="M186" s="38">
        <f>IF($A186=0,$M185,IF($F186=1,$M185+1,IF($T186&lt;=1,$M185,0)))</f>
        <v/>
      </c>
      <c r="N186" s="38">
        <f>IF($A186=0,$N185,IF($G186=1,$N185+1,IF($U186&lt;=1,$N185,0)))</f>
        <v/>
      </c>
      <c r="O186" s="38">
        <f>IF($A186=0,$O185,IF($H186=1,$O185+1,IF($V186&lt;=1,$O185,0)))</f>
        <v/>
      </c>
      <c r="P186" s="38">
        <f>IF($A186=0,$P185,$P185+IF($B186=1,0,1))</f>
        <v/>
      </c>
      <c r="Q186" s="38">
        <f>IF($A186=0,$Q185,$Q185+IF($C186=1,0,1))</f>
        <v/>
      </c>
      <c r="R186" s="38">
        <f>IF($A186=0,$R185,$R185+IF($D186=1,0,1))</f>
        <v/>
      </c>
      <c r="S186" s="38">
        <f>IF($A186=0,$S185,$S185+IF($E186=1,0,1))</f>
        <v/>
      </c>
      <c r="T186" s="38">
        <f>IF($A186=0,$T185,$T185+IF($F186=1,0,1))</f>
        <v/>
      </c>
      <c r="U186" s="38">
        <f>IF($A186=0,$U185,$U185+IF($G186=1,0,1))</f>
        <v/>
      </c>
      <c r="V186" s="38">
        <f>IF($A186=0,$V185,$V185+IF($H186=1,0,1))</f>
        <v/>
      </c>
      <c r="W186" s="38">
        <f>SUM($B186:$H186)</f>
        <v/>
      </c>
      <c r="X186" s="38">
        <f>IF(AND($A186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186=1),1,0)+IF(AND($G$1=7,$C186=1),1,0)+IF(AND($H$1=7,$D186=1),1,0)+IF(AND($I$1=7,$E186=1),1,0)+IF(AND($J$1=7,$F186=1),1,0)+IF(AND($K$1=7,$G186=1),1,0)+IF(AND($L$1=7,$H186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6" s="38">
        <f>IF($B186=1,IF($F$1&lt;7,10,IF(AND($F$1=7,$I185=0,$P185&gt;1),15,IF($I185&gt;=20,15,IF($I185&gt;=6,13,10)))),0)+IF($C186=1,IF($G$1&lt;7,10,IF(AND($G$1=7,$J185=0,$Q185&gt;1),15,IF($J185&gt;=20,15,IF($J185&gt;=6,13,10)))),0)+IF($D186=1,IF($H$1&lt;7,10,IF(AND($H$1=7,$K185=0,$R185&gt;1),15,IF($K185&gt;=20,15,IF($K185&gt;=6,13,10)))),0)+IF($E186=1,IF($I$1&lt;7,10,IF(AND($I$1=7,$L185=0,$S185&gt;1),15,IF($L185&gt;=20,15,IF($L185&gt;=6,13,10)))),0)+IF($F186=1,IF($J$1&lt;7,10,IF(AND($J$1=7,$M185=0,$T185&gt;1),15,IF($M185&gt;=20,15,IF($M185&gt;=6,13,10)))),0)+IF($G186=1,IF($K$1&lt;7,10,IF(AND($K$1=7,$N185=0,$U185&gt;1),15,IF($N185&gt;=20,15,IF($N185&gt;=6,13,10)))),0)+IF($H186=1,IF($L$1&lt;7,10,IF(AND($L$1=7,$O185=0,$V185&gt;1),15,IF($O185&gt;=20,15,IF($O185&gt;=6,13,10)))),0)</f>
        <v/>
      </c>
      <c r="Z186" s="38">
        <f>$Z185+$Y186</f>
        <v/>
      </c>
      <c r="AA186" s="38">
        <f>IF(AND($B186=1,AND($F$1=7,$I185=0,$P185&gt;1)),1,0)+IF(AND($C186=1,AND($G$1=7,$J185=0,$Q185&gt;1)),1,0)+IF(AND($D186=1,AND($H$1=7,$K185=0,$R185&gt;1)),1,0)+IF(AND($E186=1,AND($I$1=7,$L185=0,$S185&gt;1)),1,0)+IF(AND($F186=1,AND($J$1=7,$M185=0,$T185&gt;1)),1,0)+IF(AND($G186=1,AND($K$1=7,$N185=0,$U185&gt;1)),1,0)+IF(AND($H186=1,AND($L$1=7,$O185=0,$V185&gt;1)),1,0)</f>
        <v/>
      </c>
      <c r="AB186" s="38">
        <f>IF(IFERROR('Июн'!$I30,"")="",0,$AB185+1)</f>
        <v/>
      </c>
    </row>
    <row r="187" spans="1:28">
      <c r="A187" s="38">
        <f>IF($B$1&gt;=DATE(2026,6,26),1,0)</f>
        <v/>
      </c>
      <c r="B187" s="38">
        <f>IFERROR(IF('Июн'!$B31=TRUE,1,0),0)</f>
        <v/>
      </c>
      <c r="C187" s="38">
        <f>IFERROR(IF('Июн'!$C31=TRUE,1,0),0)</f>
        <v/>
      </c>
      <c r="D187" s="38">
        <f>IFERROR(IF('Июн'!$D31=TRUE,1,0),0)</f>
        <v/>
      </c>
      <c r="E187" s="38">
        <f>IFERROR(IF('Июн'!$E31=TRUE,1,0),0)</f>
        <v/>
      </c>
      <c r="F187" s="38">
        <f>IFERROR(IF('Июн'!$F31=TRUE,1,0),0)</f>
        <v/>
      </c>
      <c r="G187" s="38">
        <f>IFERROR(IF('Июн'!$G31=TRUE,1,0),0)</f>
        <v/>
      </c>
      <c r="H187" s="38">
        <f>IFERROR(IF('Июн'!$H31=TRUE,1,0),0)</f>
        <v/>
      </c>
      <c r="I187" s="38">
        <f>IF($A187=0,$I186,IF($B187=1,$I186+1,IF($P187&lt;=1,$I186,0)))</f>
        <v/>
      </c>
      <c r="J187" s="38">
        <f>IF($A187=0,$J186,IF($C187=1,$J186+1,IF($Q187&lt;=1,$J186,0)))</f>
        <v/>
      </c>
      <c r="K187" s="38">
        <f>IF($A187=0,$K186,IF($D187=1,$K186+1,IF($R187&lt;=1,$K186,0)))</f>
        <v/>
      </c>
      <c r="L187" s="38">
        <f>IF($A187=0,$L186,IF($E187=1,$L186+1,IF($S187&lt;=1,$L186,0)))</f>
        <v/>
      </c>
      <c r="M187" s="38">
        <f>IF($A187=0,$M186,IF($F187=1,$M186+1,IF($T187&lt;=1,$M186,0)))</f>
        <v/>
      </c>
      <c r="N187" s="38">
        <f>IF($A187=0,$N186,IF($G187=1,$N186+1,IF($U187&lt;=1,$N186,0)))</f>
        <v/>
      </c>
      <c r="O187" s="38">
        <f>IF($A187=0,$O186,IF($H187=1,$O186+1,IF($V187&lt;=1,$O186,0)))</f>
        <v/>
      </c>
      <c r="P187" s="38">
        <f>IF($A187=0,$P186,$P186+IF($B187=1,0,1))</f>
        <v/>
      </c>
      <c r="Q187" s="38">
        <f>IF($A187=0,$Q186,$Q186+IF($C187=1,0,1))</f>
        <v/>
      </c>
      <c r="R187" s="38">
        <f>IF($A187=0,$R186,$R186+IF($D187=1,0,1))</f>
        <v/>
      </c>
      <c r="S187" s="38">
        <f>IF($A187=0,$S186,$S186+IF($E187=1,0,1))</f>
        <v/>
      </c>
      <c r="T187" s="38">
        <f>IF($A187=0,$T186,$T186+IF($F187=1,0,1))</f>
        <v/>
      </c>
      <c r="U187" s="38">
        <f>IF($A187=0,$U186,$U186+IF($G187=1,0,1))</f>
        <v/>
      </c>
      <c r="V187" s="38">
        <f>IF($A187=0,$V186,$V186+IF($H187=1,0,1))</f>
        <v/>
      </c>
      <c r="W187" s="38">
        <f>SUM($B187:$H187)</f>
        <v/>
      </c>
      <c r="X187" s="38">
        <f>IF(AND($A187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187=1),1,0)+IF(AND($G$1=7,$C187=1),1,0)+IF(AND($H$1=7,$D187=1),1,0)+IF(AND($I$1=7,$E187=1),1,0)+IF(AND($J$1=7,$F187=1),1,0)+IF(AND($K$1=7,$G187=1),1,0)+IF(AND($L$1=7,$H187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7" s="38">
        <f>IF($B187=1,IF($F$1&lt;7,10,IF(AND($F$1=7,$I186=0,$P186&gt;1),15,IF($I186&gt;=20,15,IF($I186&gt;=6,13,10)))),0)+IF($C187=1,IF($G$1&lt;7,10,IF(AND($G$1=7,$J186=0,$Q186&gt;1),15,IF($J186&gt;=20,15,IF($J186&gt;=6,13,10)))),0)+IF($D187=1,IF($H$1&lt;7,10,IF(AND($H$1=7,$K186=0,$R186&gt;1),15,IF($K186&gt;=20,15,IF($K186&gt;=6,13,10)))),0)+IF($E187=1,IF($I$1&lt;7,10,IF(AND($I$1=7,$L186=0,$S186&gt;1),15,IF($L186&gt;=20,15,IF($L186&gt;=6,13,10)))),0)+IF($F187=1,IF($J$1&lt;7,10,IF(AND($J$1=7,$M186=0,$T186&gt;1),15,IF($M186&gt;=20,15,IF($M186&gt;=6,13,10)))),0)+IF($G187=1,IF($K$1&lt;7,10,IF(AND($K$1=7,$N186=0,$U186&gt;1),15,IF($N186&gt;=20,15,IF($N186&gt;=6,13,10)))),0)+IF($H187=1,IF($L$1&lt;7,10,IF(AND($L$1=7,$O186=0,$V186&gt;1),15,IF($O186&gt;=20,15,IF($O186&gt;=6,13,10)))),0)</f>
        <v/>
      </c>
      <c r="Z187" s="38">
        <f>$Z186+$Y187</f>
        <v/>
      </c>
      <c r="AA187" s="38">
        <f>IF(AND($B187=1,AND($F$1=7,$I186=0,$P186&gt;1)),1,0)+IF(AND($C187=1,AND($G$1=7,$J186=0,$Q186&gt;1)),1,0)+IF(AND($D187=1,AND($H$1=7,$K186=0,$R186&gt;1)),1,0)+IF(AND($E187=1,AND($I$1=7,$L186=0,$S186&gt;1)),1,0)+IF(AND($F187=1,AND($J$1=7,$M186=0,$T186&gt;1)),1,0)+IF(AND($G187=1,AND($K$1=7,$N186=0,$U186&gt;1)),1,0)+IF(AND($H187=1,AND($L$1=7,$O186=0,$V186&gt;1)),1,0)</f>
        <v/>
      </c>
      <c r="AB187" s="38">
        <f>IF(IFERROR('Июн'!$I31,"")="",0,$AB186+1)</f>
        <v/>
      </c>
    </row>
    <row r="188" spans="1:28">
      <c r="A188" s="38">
        <f>IF($B$1&gt;=DATE(2026,6,27),1,0)</f>
        <v/>
      </c>
      <c r="B188" s="38">
        <f>IFERROR(IF('Июн'!$B32=TRUE,1,0),0)</f>
        <v/>
      </c>
      <c r="C188" s="38">
        <f>IFERROR(IF('Июн'!$C32=TRUE,1,0),0)</f>
        <v/>
      </c>
      <c r="D188" s="38">
        <f>IFERROR(IF('Июн'!$D32=TRUE,1,0),0)</f>
        <v/>
      </c>
      <c r="E188" s="38">
        <f>IFERROR(IF('Июн'!$E32=TRUE,1,0),0)</f>
        <v/>
      </c>
      <c r="F188" s="38">
        <f>IFERROR(IF('Июн'!$F32=TRUE,1,0),0)</f>
        <v/>
      </c>
      <c r="G188" s="38">
        <f>IFERROR(IF('Июн'!$G32=TRUE,1,0),0)</f>
        <v/>
      </c>
      <c r="H188" s="38">
        <f>IFERROR(IF('Июн'!$H32=TRUE,1,0),0)</f>
        <v/>
      </c>
      <c r="I188" s="38">
        <f>IF($A188=0,$I187,IF($B188=1,$I187+1,IF($P188&lt;=1,$I187,0)))</f>
        <v/>
      </c>
      <c r="J188" s="38">
        <f>IF($A188=0,$J187,IF($C188=1,$J187+1,IF($Q188&lt;=1,$J187,0)))</f>
        <v/>
      </c>
      <c r="K188" s="38">
        <f>IF($A188=0,$K187,IF($D188=1,$K187+1,IF($R188&lt;=1,$K187,0)))</f>
        <v/>
      </c>
      <c r="L188" s="38">
        <f>IF($A188=0,$L187,IF($E188=1,$L187+1,IF($S188&lt;=1,$L187,0)))</f>
        <v/>
      </c>
      <c r="M188" s="38">
        <f>IF($A188=0,$M187,IF($F188=1,$M187+1,IF($T188&lt;=1,$M187,0)))</f>
        <v/>
      </c>
      <c r="N188" s="38">
        <f>IF($A188=0,$N187,IF($G188=1,$N187+1,IF($U188&lt;=1,$N187,0)))</f>
        <v/>
      </c>
      <c r="O188" s="38">
        <f>IF($A188=0,$O187,IF($H188=1,$O187+1,IF($V188&lt;=1,$O187,0)))</f>
        <v/>
      </c>
      <c r="P188" s="38">
        <f>IF($A188=0,$P187,$P187+IF($B188=1,0,1))</f>
        <v/>
      </c>
      <c r="Q188" s="38">
        <f>IF($A188=0,$Q187,$Q187+IF($C188=1,0,1))</f>
        <v/>
      </c>
      <c r="R188" s="38">
        <f>IF($A188=0,$R187,$R187+IF($D188=1,0,1))</f>
        <v/>
      </c>
      <c r="S188" s="38">
        <f>IF($A188=0,$S187,$S187+IF($E188=1,0,1))</f>
        <v/>
      </c>
      <c r="T188" s="38">
        <f>IF($A188=0,$T187,$T187+IF($F188=1,0,1))</f>
        <v/>
      </c>
      <c r="U188" s="38">
        <f>IF($A188=0,$U187,$U187+IF($G188=1,0,1))</f>
        <v/>
      </c>
      <c r="V188" s="38">
        <f>IF($A188=0,$V187,$V187+IF($H188=1,0,1))</f>
        <v/>
      </c>
      <c r="W188" s="38">
        <f>SUM($B188:$H188)</f>
        <v/>
      </c>
      <c r="X188" s="38">
        <f>IF(AND($A188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188=1),1,0)+IF(AND($G$1=7,$C188=1),1,0)+IF(AND($H$1=7,$D188=1),1,0)+IF(AND($I$1=7,$E188=1),1,0)+IF(AND($J$1=7,$F188=1),1,0)+IF(AND($K$1=7,$G188=1),1,0)+IF(AND($L$1=7,$H188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8" s="38">
        <f>IF($B188=1,IF($F$1&lt;7,10,IF(AND($F$1=7,$I187=0,$P187&gt;1),15,IF($I187&gt;=20,15,IF($I187&gt;=6,13,10)))),0)+IF($C188=1,IF($G$1&lt;7,10,IF(AND($G$1=7,$J187=0,$Q187&gt;1),15,IF($J187&gt;=20,15,IF($J187&gt;=6,13,10)))),0)+IF($D188=1,IF($H$1&lt;7,10,IF(AND($H$1=7,$K187=0,$R187&gt;1),15,IF($K187&gt;=20,15,IF($K187&gt;=6,13,10)))),0)+IF($E188=1,IF($I$1&lt;7,10,IF(AND($I$1=7,$L187=0,$S187&gt;1),15,IF($L187&gt;=20,15,IF($L187&gt;=6,13,10)))),0)+IF($F188=1,IF($J$1&lt;7,10,IF(AND($J$1=7,$M187=0,$T187&gt;1),15,IF($M187&gt;=20,15,IF($M187&gt;=6,13,10)))),0)+IF($G188=1,IF($K$1&lt;7,10,IF(AND($K$1=7,$N187=0,$U187&gt;1),15,IF($N187&gt;=20,15,IF($N187&gt;=6,13,10)))),0)+IF($H188=1,IF($L$1&lt;7,10,IF(AND($L$1=7,$O187=0,$V187&gt;1),15,IF($O187&gt;=20,15,IF($O187&gt;=6,13,10)))),0)</f>
        <v/>
      </c>
      <c r="Z188" s="38">
        <f>$Z187+$Y188</f>
        <v/>
      </c>
      <c r="AA188" s="38">
        <f>IF(AND($B188=1,AND($F$1=7,$I187=0,$P187&gt;1)),1,0)+IF(AND($C188=1,AND($G$1=7,$J187=0,$Q187&gt;1)),1,0)+IF(AND($D188=1,AND($H$1=7,$K187=0,$R187&gt;1)),1,0)+IF(AND($E188=1,AND($I$1=7,$L187=0,$S187&gt;1)),1,0)+IF(AND($F188=1,AND($J$1=7,$M187=0,$T187&gt;1)),1,0)+IF(AND($G188=1,AND($K$1=7,$N187=0,$U187&gt;1)),1,0)+IF(AND($H188=1,AND($L$1=7,$O187=0,$V187&gt;1)),1,0)</f>
        <v/>
      </c>
      <c r="AB188" s="38">
        <f>IF(IFERROR('Июн'!$I32,"")="",0,$AB187+1)</f>
        <v/>
      </c>
    </row>
    <row r="189" spans="1:28">
      <c r="A189" s="38">
        <f>IF($B$1&gt;=DATE(2026,6,28),1,0)</f>
        <v/>
      </c>
      <c r="B189" s="38">
        <f>IFERROR(IF('Июн'!$B33=TRUE,1,0),0)</f>
        <v/>
      </c>
      <c r="C189" s="38">
        <f>IFERROR(IF('Июн'!$C33=TRUE,1,0),0)</f>
        <v/>
      </c>
      <c r="D189" s="38">
        <f>IFERROR(IF('Июн'!$D33=TRUE,1,0),0)</f>
        <v/>
      </c>
      <c r="E189" s="38">
        <f>IFERROR(IF('Июн'!$E33=TRUE,1,0),0)</f>
        <v/>
      </c>
      <c r="F189" s="38">
        <f>IFERROR(IF('Июн'!$F33=TRUE,1,0),0)</f>
        <v/>
      </c>
      <c r="G189" s="38">
        <f>IFERROR(IF('Июн'!$G33=TRUE,1,0),0)</f>
        <v/>
      </c>
      <c r="H189" s="38">
        <f>IFERROR(IF('Июн'!$H33=TRUE,1,0),0)</f>
        <v/>
      </c>
      <c r="I189" s="38">
        <f>IF($A189=0,$I188,IF($B189=1,$I188+1,IF($P189&lt;=1,$I188,0)))</f>
        <v/>
      </c>
      <c r="J189" s="38">
        <f>IF($A189=0,$J188,IF($C189=1,$J188+1,IF($Q189&lt;=1,$J188,0)))</f>
        <v/>
      </c>
      <c r="K189" s="38">
        <f>IF($A189=0,$K188,IF($D189=1,$K188+1,IF($R189&lt;=1,$K188,0)))</f>
        <v/>
      </c>
      <c r="L189" s="38">
        <f>IF($A189=0,$L188,IF($E189=1,$L188+1,IF($S189&lt;=1,$L188,0)))</f>
        <v/>
      </c>
      <c r="M189" s="38">
        <f>IF($A189=0,$M188,IF($F189=1,$M188+1,IF($T189&lt;=1,$M188,0)))</f>
        <v/>
      </c>
      <c r="N189" s="38">
        <f>IF($A189=0,$N188,IF($G189=1,$N188+1,IF($U189&lt;=1,$N188,0)))</f>
        <v/>
      </c>
      <c r="O189" s="38">
        <f>IF($A189=0,$O188,IF($H189=1,$O188+1,IF($V189&lt;=1,$O188,0)))</f>
        <v/>
      </c>
      <c r="P189" s="38">
        <f>IF($A189=0,$P188,$P188+IF($B189=1,0,1))</f>
        <v/>
      </c>
      <c r="Q189" s="38">
        <f>IF($A189=0,$Q188,$Q188+IF($C189=1,0,1))</f>
        <v/>
      </c>
      <c r="R189" s="38">
        <f>IF($A189=0,$R188,$R188+IF($D189=1,0,1))</f>
        <v/>
      </c>
      <c r="S189" s="38">
        <f>IF($A189=0,$S188,$S188+IF($E189=1,0,1))</f>
        <v/>
      </c>
      <c r="T189" s="38">
        <f>IF($A189=0,$T188,$T188+IF($F189=1,0,1))</f>
        <v/>
      </c>
      <c r="U189" s="38">
        <f>IF($A189=0,$U188,$U188+IF($G189=1,0,1))</f>
        <v/>
      </c>
      <c r="V189" s="38">
        <f>IF($A189=0,$V188,$V188+IF($H189=1,0,1))</f>
        <v/>
      </c>
      <c r="W189" s="38">
        <f>SUM($B189:$H189)</f>
        <v/>
      </c>
      <c r="X189" s="38">
        <f>IF(AND($A189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189=1),1,0)+IF(AND($G$1=7,$C189=1),1,0)+IF(AND($H$1=7,$D189=1),1,0)+IF(AND($I$1=7,$E189=1),1,0)+IF(AND($J$1=7,$F189=1),1,0)+IF(AND($K$1=7,$G189=1),1,0)+IF(AND($L$1=7,$H189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9" s="38">
        <f>IF($B189=1,IF($F$1&lt;7,10,IF(AND($F$1=7,$I188=0,$P188&gt;1),15,IF($I188&gt;=20,15,IF($I188&gt;=6,13,10)))),0)+IF($C189=1,IF($G$1&lt;7,10,IF(AND($G$1=7,$J188=0,$Q188&gt;1),15,IF($J188&gt;=20,15,IF($J188&gt;=6,13,10)))),0)+IF($D189=1,IF($H$1&lt;7,10,IF(AND($H$1=7,$K188=0,$R188&gt;1),15,IF($K188&gt;=20,15,IF($K188&gt;=6,13,10)))),0)+IF($E189=1,IF($I$1&lt;7,10,IF(AND($I$1=7,$L188=0,$S188&gt;1),15,IF($L188&gt;=20,15,IF($L188&gt;=6,13,10)))),0)+IF($F189=1,IF($J$1&lt;7,10,IF(AND($J$1=7,$M188=0,$T188&gt;1),15,IF($M188&gt;=20,15,IF($M188&gt;=6,13,10)))),0)+IF($G189=1,IF($K$1&lt;7,10,IF(AND($K$1=7,$N188=0,$U188&gt;1),15,IF($N188&gt;=20,15,IF($N188&gt;=6,13,10)))),0)+IF($H189=1,IF($L$1&lt;7,10,IF(AND($L$1=7,$O188=0,$V188&gt;1),15,IF($O188&gt;=20,15,IF($O188&gt;=6,13,10)))),0)</f>
        <v/>
      </c>
      <c r="Z189" s="38">
        <f>$Z188+$Y189</f>
        <v/>
      </c>
      <c r="AA189" s="38">
        <f>IF(AND($B189=1,AND($F$1=7,$I188=0,$P188&gt;1)),1,0)+IF(AND($C189=1,AND($G$1=7,$J188=0,$Q188&gt;1)),1,0)+IF(AND($D189=1,AND($H$1=7,$K188=0,$R188&gt;1)),1,0)+IF(AND($E189=1,AND($I$1=7,$L188=0,$S188&gt;1)),1,0)+IF(AND($F189=1,AND($J$1=7,$M188=0,$T188&gt;1)),1,0)+IF(AND($G189=1,AND($K$1=7,$N188=0,$U188&gt;1)),1,0)+IF(AND($H189=1,AND($L$1=7,$O188=0,$V188&gt;1)),1,0)</f>
        <v/>
      </c>
      <c r="AB189" s="38">
        <f>IF(IFERROR('Июн'!$I33,"")="",0,$AB188+1)</f>
        <v/>
      </c>
    </row>
    <row r="190" spans="1:28">
      <c r="A190" s="38">
        <f>IF($B$1&gt;=DATE(2026,6,29),1,0)</f>
        <v/>
      </c>
      <c r="B190" s="38">
        <f>IFERROR(IF('Июн'!$B34=TRUE,1,0),0)</f>
        <v/>
      </c>
      <c r="C190" s="38">
        <f>IFERROR(IF('Июн'!$C34=TRUE,1,0),0)</f>
        <v/>
      </c>
      <c r="D190" s="38">
        <f>IFERROR(IF('Июн'!$D34=TRUE,1,0),0)</f>
        <v/>
      </c>
      <c r="E190" s="38">
        <f>IFERROR(IF('Июн'!$E34=TRUE,1,0),0)</f>
        <v/>
      </c>
      <c r="F190" s="38">
        <f>IFERROR(IF('Июн'!$F34=TRUE,1,0),0)</f>
        <v/>
      </c>
      <c r="G190" s="38">
        <f>IFERROR(IF('Июн'!$G34=TRUE,1,0),0)</f>
        <v/>
      </c>
      <c r="H190" s="38">
        <f>IFERROR(IF('Июн'!$H34=TRUE,1,0),0)</f>
        <v/>
      </c>
      <c r="I190" s="38">
        <f>IF($A190=0,$I189,IF($B190=1,$I189+1,IF($P190&lt;=1,$I189,0)))</f>
        <v/>
      </c>
      <c r="J190" s="38">
        <f>IF($A190=0,$J189,IF($C190=1,$J189+1,IF($Q190&lt;=1,$J189,0)))</f>
        <v/>
      </c>
      <c r="K190" s="38">
        <f>IF($A190=0,$K189,IF($D190=1,$K189+1,IF($R190&lt;=1,$K189,0)))</f>
        <v/>
      </c>
      <c r="L190" s="38">
        <f>IF($A190=0,$L189,IF($E190=1,$L189+1,IF($S190&lt;=1,$L189,0)))</f>
        <v/>
      </c>
      <c r="M190" s="38">
        <f>IF($A190=0,$M189,IF($F190=1,$M189+1,IF($T190&lt;=1,$M189,0)))</f>
        <v/>
      </c>
      <c r="N190" s="38">
        <f>IF($A190=0,$N189,IF($G190=1,$N189+1,IF($U190&lt;=1,$N189,0)))</f>
        <v/>
      </c>
      <c r="O190" s="38">
        <f>IF($A190=0,$O189,IF($H190=1,$O189+1,IF($V190&lt;=1,$O189,0)))</f>
        <v/>
      </c>
      <c r="P190" s="38">
        <f>IF($A190=0,$P189,$P189+IF($B190=1,0,1))</f>
        <v/>
      </c>
      <c r="Q190" s="38">
        <f>IF($A190=0,$Q189,$Q189+IF($C190=1,0,1))</f>
        <v/>
      </c>
      <c r="R190" s="38">
        <f>IF($A190=0,$R189,$R189+IF($D190=1,0,1))</f>
        <v/>
      </c>
      <c r="S190" s="38">
        <f>IF($A190=0,$S189,$S189+IF($E190=1,0,1))</f>
        <v/>
      </c>
      <c r="T190" s="38">
        <f>IF($A190=0,$T189,$T189+IF($F190=1,0,1))</f>
        <v/>
      </c>
      <c r="U190" s="38">
        <f>IF($A190=0,$U189,$U189+IF($G190=1,0,1))</f>
        <v/>
      </c>
      <c r="V190" s="38">
        <f>IF($A190=0,$V189,$V189+IF($H190=1,0,1))</f>
        <v/>
      </c>
      <c r="W190" s="38">
        <f>SUM($B190:$H190)</f>
        <v/>
      </c>
      <c r="X190" s="38">
        <f>IF(AND($A190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190=1),1,0)+IF(AND($G$1=7,$C190=1),1,0)+IF(AND($H$1=7,$D190=1),1,0)+IF(AND($I$1=7,$E190=1),1,0)+IF(AND($J$1=7,$F190=1),1,0)+IF(AND($K$1=7,$G190=1),1,0)+IF(AND($L$1=7,$H190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0" s="38">
        <f>IF($B190=1,IF($F$1&lt;7,10,IF(AND($F$1=7,$I189=0,$P189&gt;1),15,IF($I189&gt;=20,15,IF($I189&gt;=6,13,10)))),0)+IF($C190=1,IF($G$1&lt;7,10,IF(AND($G$1=7,$J189=0,$Q189&gt;1),15,IF($J189&gt;=20,15,IF($J189&gt;=6,13,10)))),0)+IF($D190=1,IF($H$1&lt;7,10,IF(AND($H$1=7,$K189=0,$R189&gt;1),15,IF($K189&gt;=20,15,IF($K189&gt;=6,13,10)))),0)+IF($E190=1,IF($I$1&lt;7,10,IF(AND($I$1=7,$L189=0,$S189&gt;1),15,IF($L189&gt;=20,15,IF($L189&gt;=6,13,10)))),0)+IF($F190=1,IF($J$1&lt;7,10,IF(AND($J$1=7,$M189=0,$T189&gt;1),15,IF($M189&gt;=20,15,IF($M189&gt;=6,13,10)))),0)+IF($G190=1,IF($K$1&lt;7,10,IF(AND($K$1=7,$N189=0,$U189&gt;1),15,IF($N189&gt;=20,15,IF($N189&gt;=6,13,10)))),0)+IF($H190=1,IF($L$1&lt;7,10,IF(AND($L$1=7,$O189=0,$V189&gt;1),15,IF($O189&gt;=20,15,IF($O189&gt;=6,13,10)))),0)</f>
        <v/>
      </c>
      <c r="Z190" s="38">
        <f>$Z189+$Y190</f>
        <v/>
      </c>
      <c r="AA190" s="38">
        <f>IF(AND($B190=1,AND($F$1=7,$I189=0,$P189&gt;1)),1,0)+IF(AND($C190=1,AND($G$1=7,$J189=0,$Q189&gt;1)),1,0)+IF(AND($D190=1,AND($H$1=7,$K189=0,$R189&gt;1)),1,0)+IF(AND($E190=1,AND($I$1=7,$L189=0,$S189&gt;1)),1,0)+IF(AND($F190=1,AND($J$1=7,$M189=0,$T189&gt;1)),1,0)+IF(AND($G190=1,AND($K$1=7,$N189=0,$U189&gt;1)),1,0)+IF(AND($H190=1,AND($L$1=7,$O189=0,$V189&gt;1)),1,0)</f>
        <v/>
      </c>
      <c r="AB190" s="38">
        <f>IF(IFERROR('Июн'!$I34,"")="",0,$AB189+1)</f>
        <v/>
      </c>
    </row>
    <row r="191" spans="1:28">
      <c r="A191" s="38">
        <f>IF($B$1&gt;=DATE(2026,6,30),1,0)</f>
        <v/>
      </c>
      <c r="B191" s="38">
        <f>IFERROR(IF('Июн'!$B35=TRUE,1,0),0)</f>
        <v/>
      </c>
      <c r="C191" s="38">
        <f>IFERROR(IF('Июн'!$C35=TRUE,1,0),0)</f>
        <v/>
      </c>
      <c r="D191" s="38">
        <f>IFERROR(IF('Июн'!$D35=TRUE,1,0),0)</f>
        <v/>
      </c>
      <c r="E191" s="38">
        <f>IFERROR(IF('Июн'!$E35=TRUE,1,0),0)</f>
        <v/>
      </c>
      <c r="F191" s="38">
        <f>IFERROR(IF('Июн'!$F35=TRUE,1,0),0)</f>
        <v/>
      </c>
      <c r="G191" s="38">
        <f>IFERROR(IF('Июн'!$G35=TRUE,1,0),0)</f>
        <v/>
      </c>
      <c r="H191" s="38">
        <f>IFERROR(IF('Июн'!$H35=TRUE,1,0),0)</f>
        <v/>
      </c>
      <c r="I191" s="38">
        <f>IF($A191=0,$I190,IF($B191=1,$I190+1,IF($P191&lt;=1,$I190,0)))</f>
        <v/>
      </c>
      <c r="J191" s="38">
        <f>IF($A191=0,$J190,IF($C191=1,$J190+1,IF($Q191&lt;=1,$J190,0)))</f>
        <v/>
      </c>
      <c r="K191" s="38">
        <f>IF($A191=0,$K190,IF($D191=1,$K190+1,IF($R191&lt;=1,$K190,0)))</f>
        <v/>
      </c>
      <c r="L191" s="38">
        <f>IF($A191=0,$L190,IF($E191=1,$L190+1,IF($S191&lt;=1,$L190,0)))</f>
        <v/>
      </c>
      <c r="M191" s="38">
        <f>IF($A191=0,$M190,IF($F191=1,$M190+1,IF($T191&lt;=1,$M190,0)))</f>
        <v/>
      </c>
      <c r="N191" s="38">
        <f>IF($A191=0,$N190,IF($G191=1,$N190+1,IF($U191&lt;=1,$N190,0)))</f>
        <v/>
      </c>
      <c r="O191" s="38">
        <f>IF($A191=0,$O190,IF($H191=1,$O190+1,IF($V191&lt;=1,$O190,0)))</f>
        <v/>
      </c>
      <c r="P191" s="38">
        <f>IF($A191=0,$P190,$P190+IF($B191=1,0,1))</f>
        <v/>
      </c>
      <c r="Q191" s="38">
        <f>IF($A191=0,$Q190,$Q190+IF($C191=1,0,1))</f>
        <v/>
      </c>
      <c r="R191" s="38">
        <f>IF($A191=0,$R190,$R190+IF($D191=1,0,1))</f>
        <v/>
      </c>
      <c r="S191" s="38">
        <f>IF($A191=0,$S190,$S190+IF($E191=1,0,1))</f>
        <v/>
      </c>
      <c r="T191" s="38">
        <f>IF($A191=0,$T190,$T190+IF($F191=1,0,1))</f>
        <v/>
      </c>
      <c r="U191" s="38">
        <f>IF($A191=0,$U190,$U190+IF($G191=1,0,1))</f>
        <v/>
      </c>
      <c r="V191" s="38">
        <f>IF($A191=0,$V190,$V190+IF($H191=1,0,1))</f>
        <v/>
      </c>
      <c r="W191" s="38">
        <f>SUM($B191:$H191)</f>
        <v/>
      </c>
      <c r="X191" s="38">
        <f>IF(AND($A191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191=1),1,0)+IF(AND($G$1=7,$C191=1),1,0)+IF(AND($H$1=7,$D191=1),1,0)+IF(AND($I$1=7,$E191=1),1,0)+IF(AND($J$1=7,$F191=1),1,0)+IF(AND($K$1=7,$G191=1),1,0)+IF(AND($L$1=7,$H191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1" s="38">
        <f>IF($B191=1,IF($F$1&lt;7,10,IF(AND($F$1=7,$I190=0,$P190&gt;1),15,IF($I190&gt;=20,15,IF($I190&gt;=6,13,10)))),0)+IF($C191=1,IF($G$1&lt;7,10,IF(AND($G$1=7,$J190=0,$Q190&gt;1),15,IF($J190&gt;=20,15,IF($J190&gt;=6,13,10)))),0)+IF($D191=1,IF($H$1&lt;7,10,IF(AND($H$1=7,$K190=0,$R190&gt;1),15,IF($K190&gt;=20,15,IF($K190&gt;=6,13,10)))),0)+IF($E191=1,IF($I$1&lt;7,10,IF(AND($I$1=7,$L190=0,$S190&gt;1),15,IF($L190&gt;=20,15,IF($L190&gt;=6,13,10)))),0)+IF($F191=1,IF($J$1&lt;7,10,IF(AND($J$1=7,$M190=0,$T190&gt;1),15,IF($M190&gt;=20,15,IF($M190&gt;=6,13,10)))),0)+IF($G191=1,IF($K$1&lt;7,10,IF(AND($K$1=7,$N190=0,$U190&gt;1),15,IF($N190&gt;=20,15,IF($N190&gt;=6,13,10)))),0)+IF($H191=1,IF($L$1&lt;7,10,IF(AND($L$1=7,$O190=0,$V190&gt;1),15,IF($O190&gt;=20,15,IF($O190&gt;=6,13,10)))),0)</f>
        <v/>
      </c>
      <c r="Z191" s="38">
        <f>$Z190+$Y191</f>
        <v/>
      </c>
      <c r="AA191" s="38">
        <f>IF(AND($B191=1,AND($F$1=7,$I190=0,$P190&gt;1)),1,0)+IF(AND($C191=1,AND($G$1=7,$J190=0,$Q190&gt;1)),1,0)+IF(AND($D191=1,AND($H$1=7,$K190=0,$R190&gt;1)),1,0)+IF(AND($E191=1,AND($I$1=7,$L190=0,$S190&gt;1)),1,0)+IF(AND($F191=1,AND($J$1=7,$M190=0,$T190&gt;1)),1,0)+IF(AND($G191=1,AND($K$1=7,$N190=0,$U190&gt;1)),1,0)+IF(AND($H191=1,AND($L$1=7,$O190=0,$V190&gt;1)),1,0)</f>
        <v/>
      </c>
      <c r="AB191" s="38">
        <f>IF(IFERROR('Июн'!$I35,"")="",0,$AB190+1)</f>
        <v/>
      </c>
    </row>
    <row r="192" spans="1:28">
      <c r="A192" s="38">
        <f>IF($B$1&gt;=DATE(2026,7,1),1,0)</f>
        <v/>
      </c>
      <c r="B192" s="38">
        <f>IFERROR(IF('Июл'!$B6=TRUE,1,0),0)</f>
        <v/>
      </c>
      <c r="C192" s="38">
        <f>IFERROR(IF('Июл'!$C6=TRUE,1,0),0)</f>
        <v/>
      </c>
      <c r="D192" s="38">
        <f>IFERROR(IF('Июл'!$D6=TRUE,1,0),0)</f>
        <v/>
      </c>
      <c r="E192" s="38">
        <f>IFERROR(IF('Июл'!$E6=TRUE,1,0),0)</f>
        <v/>
      </c>
      <c r="F192" s="38">
        <f>IFERROR(IF('Июл'!$F6=TRUE,1,0),0)</f>
        <v/>
      </c>
      <c r="G192" s="38">
        <f>IFERROR(IF('Июл'!$G6=TRUE,1,0),0)</f>
        <v/>
      </c>
      <c r="H192" s="38">
        <f>IFERROR(IF('Июл'!$H6=TRUE,1,0),0)</f>
        <v/>
      </c>
      <c r="I192" s="38">
        <f>IF($A192=0,$I191,IF($B192=1,$I191+1,IF($P192&lt;=1,$I191,0)))</f>
        <v/>
      </c>
      <c r="J192" s="38">
        <f>IF($A192=0,$J191,IF($C192=1,$J191+1,IF($Q192&lt;=1,$J191,0)))</f>
        <v/>
      </c>
      <c r="K192" s="38">
        <f>IF($A192=0,$K191,IF($D192=1,$K191+1,IF($R192&lt;=1,$K191,0)))</f>
        <v/>
      </c>
      <c r="L192" s="38">
        <f>IF($A192=0,$L191,IF($E192=1,$L191+1,IF($S192&lt;=1,$L191,0)))</f>
        <v/>
      </c>
      <c r="M192" s="38">
        <f>IF($A192=0,$M191,IF($F192=1,$M191+1,IF($T192&lt;=1,$M191,0)))</f>
        <v/>
      </c>
      <c r="N192" s="38">
        <f>IF($A192=0,$N191,IF($G192=1,$N191+1,IF($U192&lt;=1,$N191,0)))</f>
        <v/>
      </c>
      <c r="O192" s="38">
        <f>IF($A192=0,$O191,IF($H192=1,$O191+1,IF($V192&lt;=1,$O191,0)))</f>
        <v/>
      </c>
      <c r="P192" s="38">
        <f>IF($A192=0,0,0+IF($B192=1,0,1))</f>
        <v/>
      </c>
      <c r="Q192" s="38">
        <f>IF($A192=0,0,0+IF($C192=1,0,1))</f>
        <v/>
      </c>
      <c r="R192" s="38">
        <f>IF($A192=0,0,0+IF($D192=1,0,1))</f>
        <v/>
      </c>
      <c r="S192" s="38">
        <f>IF($A192=0,0,0+IF($E192=1,0,1))</f>
        <v/>
      </c>
      <c r="T192" s="38">
        <f>IF($A192=0,0,0+IF($F192=1,0,1))</f>
        <v/>
      </c>
      <c r="U192" s="38">
        <f>IF($A192=0,0,0+IF($G192=1,0,1))</f>
        <v/>
      </c>
      <c r="V192" s="38">
        <f>IF($A192=0,0,0+IF($H192=1,0,1))</f>
        <v/>
      </c>
      <c r="W192" s="38">
        <f>SUM($B192:$H192)</f>
        <v/>
      </c>
      <c r="X192" s="38">
        <f>IF(AND($A192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192=1),1,0)+IF(AND($G$1=7,$C192=1),1,0)+IF(AND($H$1=7,$D192=1),1,0)+IF(AND($I$1=7,$E192=1),1,0)+IF(AND($J$1=7,$F192=1),1,0)+IF(AND($K$1=7,$G192=1),1,0)+IF(AND($L$1=7,$H192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2" s="38">
        <f>IF($B192=1,IF($F$1&lt;7,10,IF(AND($F$1=7,$I191=0,0&gt;1),15,IF($I191&gt;=20,15,IF($I191&gt;=6,13,10)))),0)+IF($C192=1,IF($G$1&lt;7,10,IF(AND($G$1=7,$J191=0,0&gt;1),15,IF($J191&gt;=20,15,IF($J191&gt;=6,13,10)))),0)+IF($D192=1,IF($H$1&lt;7,10,IF(AND($H$1=7,$K191=0,0&gt;1),15,IF($K191&gt;=20,15,IF($K191&gt;=6,13,10)))),0)+IF($E192=1,IF($I$1&lt;7,10,IF(AND($I$1=7,$L191=0,0&gt;1),15,IF($L191&gt;=20,15,IF($L191&gt;=6,13,10)))),0)+IF($F192=1,IF($J$1&lt;7,10,IF(AND($J$1=7,$M191=0,0&gt;1),15,IF($M191&gt;=20,15,IF($M191&gt;=6,13,10)))),0)+IF($G192=1,IF($K$1&lt;7,10,IF(AND($K$1=7,$N191=0,0&gt;1),15,IF($N191&gt;=20,15,IF($N191&gt;=6,13,10)))),0)+IF($H192=1,IF($L$1&lt;7,10,IF(AND($L$1=7,$O191=0,0&gt;1),15,IF($O191&gt;=20,15,IF($O191&gt;=6,13,10)))),0)</f>
        <v/>
      </c>
      <c r="Z192" s="38">
        <f>$Z191+$Y192</f>
        <v/>
      </c>
      <c r="AA192" s="38">
        <f>IF(AND($B192=1,AND($F$1=7,$I191=0,0&gt;1)),1,0)+IF(AND($C192=1,AND($G$1=7,$J191=0,0&gt;1)),1,0)+IF(AND($D192=1,AND($H$1=7,$K191=0,0&gt;1)),1,0)+IF(AND($E192=1,AND($I$1=7,$L191=0,0&gt;1)),1,0)+IF(AND($F192=1,AND($J$1=7,$M191=0,0&gt;1)),1,0)+IF(AND($G192=1,AND($K$1=7,$N191=0,0&gt;1)),1,0)+IF(AND($H192=1,AND($L$1=7,$O191=0,0&gt;1)),1,0)</f>
        <v/>
      </c>
      <c r="AB192" s="38">
        <f>IF(IFERROR('Июл'!$I6,"")="",0,$AB191+1)</f>
        <v/>
      </c>
    </row>
    <row r="193" spans="1:28">
      <c r="A193" s="38">
        <f>IF($B$1&gt;=DATE(2026,7,2),1,0)</f>
        <v/>
      </c>
      <c r="B193" s="38">
        <f>IFERROR(IF('Июл'!$B7=TRUE,1,0),0)</f>
        <v/>
      </c>
      <c r="C193" s="38">
        <f>IFERROR(IF('Июл'!$C7=TRUE,1,0),0)</f>
        <v/>
      </c>
      <c r="D193" s="38">
        <f>IFERROR(IF('Июл'!$D7=TRUE,1,0),0)</f>
        <v/>
      </c>
      <c r="E193" s="38">
        <f>IFERROR(IF('Июл'!$E7=TRUE,1,0),0)</f>
        <v/>
      </c>
      <c r="F193" s="38">
        <f>IFERROR(IF('Июл'!$F7=TRUE,1,0),0)</f>
        <v/>
      </c>
      <c r="G193" s="38">
        <f>IFERROR(IF('Июл'!$G7=TRUE,1,0),0)</f>
        <v/>
      </c>
      <c r="H193" s="38">
        <f>IFERROR(IF('Июл'!$H7=TRUE,1,0),0)</f>
        <v/>
      </c>
      <c r="I193" s="38">
        <f>IF($A193=0,$I192,IF($B193=1,$I192+1,IF($P193&lt;=1,$I192,0)))</f>
        <v/>
      </c>
      <c r="J193" s="38">
        <f>IF($A193=0,$J192,IF($C193=1,$J192+1,IF($Q193&lt;=1,$J192,0)))</f>
        <v/>
      </c>
      <c r="K193" s="38">
        <f>IF($A193=0,$K192,IF($D193=1,$K192+1,IF($R193&lt;=1,$K192,0)))</f>
        <v/>
      </c>
      <c r="L193" s="38">
        <f>IF($A193=0,$L192,IF($E193=1,$L192+1,IF($S193&lt;=1,$L192,0)))</f>
        <v/>
      </c>
      <c r="M193" s="38">
        <f>IF($A193=0,$M192,IF($F193=1,$M192+1,IF($T193&lt;=1,$M192,0)))</f>
        <v/>
      </c>
      <c r="N193" s="38">
        <f>IF($A193=0,$N192,IF($G193=1,$N192+1,IF($U193&lt;=1,$N192,0)))</f>
        <v/>
      </c>
      <c r="O193" s="38">
        <f>IF($A193=0,$O192,IF($H193=1,$O192+1,IF($V193&lt;=1,$O192,0)))</f>
        <v/>
      </c>
      <c r="P193" s="38">
        <f>IF($A193=0,$P192,$P192+IF($B193=1,0,1))</f>
        <v/>
      </c>
      <c r="Q193" s="38">
        <f>IF($A193=0,$Q192,$Q192+IF($C193=1,0,1))</f>
        <v/>
      </c>
      <c r="R193" s="38">
        <f>IF($A193=0,$R192,$R192+IF($D193=1,0,1))</f>
        <v/>
      </c>
      <c r="S193" s="38">
        <f>IF($A193=0,$S192,$S192+IF($E193=1,0,1))</f>
        <v/>
      </c>
      <c r="T193" s="38">
        <f>IF($A193=0,$T192,$T192+IF($F193=1,0,1))</f>
        <v/>
      </c>
      <c r="U193" s="38">
        <f>IF($A193=0,$U192,$U192+IF($G193=1,0,1))</f>
        <v/>
      </c>
      <c r="V193" s="38">
        <f>IF($A193=0,$V192,$V192+IF($H193=1,0,1))</f>
        <v/>
      </c>
      <c r="W193" s="38">
        <f>SUM($B193:$H193)</f>
        <v/>
      </c>
      <c r="X193" s="38">
        <f>IF(AND($A193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193=1),1,0)+IF(AND($G$1=7,$C193=1),1,0)+IF(AND($H$1=7,$D193=1),1,0)+IF(AND($I$1=7,$E193=1),1,0)+IF(AND($J$1=7,$F193=1),1,0)+IF(AND($K$1=7,$G193=1),1,0)+IF(AND($L$1=7,$H193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3" s="38">
        <f>IF($B193=1,IF($F$1&lt;7,10,IF(AND($F$1=7,$I192=0,$P192&gt;1),15,IF($I192&gt;=20,15,IF($I192&gt;=6,13,10)))),0)+IF($C193=1,IF($G$1&lt;7,10,IF(AND($G$1=7,$J192=0,$Q192&gt;1),15,IF($J192&gt;=20,15,IF($J192&gt;=6,13,10)))),0)+IF($D193=1,IF($H$1&lt;7,10,IF(AND($H$1=7,$K192=0,$R192&gt;1),15,IF($K192&gt;=20,15,IF($K192&gt;=6,13,10)))),0)+IF($E193=1,IF($I$1&lt;7,10,IF(AND($I$1=7,$L192=0,$S192&gt;1),15,IF($L192&gt;=20,15,IF($L192&gt;=6,13,10)))),0)+IF($F193=1,IF($J$1&lt;7,10,IF(AND($J$1=7,$M192=0,$T192&gt;1),15,IF($M192&gt;=20,15,IF($M192&gt;=6,13,10)))),0)+IF($G193=1,IF($K$1&lt;7,10,IF(AND($K$1=7,$N192=0,$U192&gt;1),15,IF($N192&gt;=20,15,IF($N192&gt;=6,13,10)))),0)+IF($H193=1,IF($L$1&lt;7,10,IF(AND($L$1=7,$O192=0,$V192&gt;1),15,IF($O192&gt;=20,15,IF($O192&gt;=6,13,10)))),0)</f>
        <v/>
      </c>
      <c r="Z193" s="38">
        <f>$Z192+$Y193</f>
        <v/>
      </c>
      <c r="AA193" s="38">
        <f>IF(AND($B193=1,AND($F$1=7,$I192=0,$P192&gt;1)),1,0)+IF(AND($C193=1,AND($G$1=7,$J192=0,$Q192&gt;1)),1,0)+IF(AND($D193=1,AND($H$1=7,$K192=0,$R192&gt;1)),1,0)+IF(AND($E193=1,AND($I$1=7,$L192=0,$S192&gt;1)),1,0)+IF(AND($F193=1,AND($J$1=7,$M192=0,$T192&gt;1)),1,0)+IF(AND($G193=1,AND($K$1=7,$N192=0,$U192&gt;1)),1,0)+IF(AND($H193=1,AND($L$1=7,$O192=0,$V192&gt;1)),1,0)</f>
        <v/>
      </c>
      <c r="AB193" s="38">
        <f>IF(IFERROR('Июл'!$I7,"")="",0,$AB192+1)</f>
        <v/>
      </c>
    </row>
    <row r="194" spans="1:28">
      <c r="A194" s="38">
        <f>IF($B$1&gt;=DATE(2026,7,3),1,0)</f>
        <v/>
      </c>
      <c r="B194" s="38">
        <f>IFERROR(IF('Июл'!$B8=TRUE,1,0),0)</f>
        <v/>
      </c>
      <c r="C194" s="38">
        <f>IFERROR(IF('Июл'!$C8=TRUE,1,0),0)</f>
        <v/>
      </c>
      <c r="D194" s="38">
        <f>IFERROR(IF('Июл'!$D8=TRUE,1,0),0)</f>
        <v/>
      </c>
      <c r="E194" s="38">
        <f>IFERROR(IF('Июл'!$E8=TRUE,1,0),0)</f>
        <v/>
      </c>
      <c r="F194" s="38">
        <f>IFERROR(IF('Июл'!$F8=TRUE,1,0),0)</f>
        <v/>
      </c>
      <c r="G194" s="38">
        <f>IFERROR(IF('Июл'!$G8=TRUE,1,0),0)</f>
        <v/>
      </c>
      <c r="H194" s="38">
        <f>IFERROR(IF('Июл'!$H8=TRUE,1,0),0)</f>
        <v/>
      </c>
      <c r="I194" s="38">
        <f>IF($A194=0,$I193,IF($B194=1,$I193+1,IF($P194&lt;=1,$I193,0)))</f>
        <v/>
      </c>
      <c r="J194" s="38">
        <f>IF($A194=0,$J193,IF($C194=1,$J193+1,IF($Q194&lt;=1,$J193,0)))</f>
        <v/>
      </c>
      <c r="K194" s="38">
        <f>IF($A194=0,$K193,IF($D194=1,$K193+1,IF($R194&lt;=1,$K193,0)))</f>
        <v/>
      </c>
      <c r="L194" s="38">
        <f>IF($A194=0,$L193,IF($E194=1,$L193+1,IF($S194&lt;=1,$L193,0)))</f>
        <v/>
      </c>
      <c r="M194" s="38">
        <f>IF($A194=0,$M193,IF($F194=1,$M193+1,IF($T194&lt;=1,$M193,0)))</f>
        <v/>
      </c>
      <c r="N194" s="38">
        <f>IF($A194=0,$N193,IF($G194=1,$N193+1,IF($U194&lt;=1,$N193,0)))</f>
        <v/>
      </c>
      <c r="O194" s="38">
        <f>IF($A194=0,$O193,IF($H194=1,$O193+1,IF($V194&lt;=1,$O193,0)))</f>
        <v/>
      </c>
      <c r="P194" s="38">
        <f>IF($A194=0,$P193,$P193+IF($B194=1,0,1))</f>
        <v/>
      </c>
      <c r="Q194" s="38">
        <f>IF($A194=0,$Q193,$Q193+IF($C194=1,0,1))</f>
        <v/>
      </c>
      <c r="R194" s="38">
        <f>IF($A194=0,$R193,$R193+IF($D194=1,0,1))</f>
        <v/>
      </c>
      <c r="S194" s="38">
        <f>IF($A194=0,$S193,$S193+IF($E194=1,0,1))</f>
        <v/>
      </c>
      <c r="T194" s="38">
        <f>IF($A194=0,$T193,$T193+IF($F194=1,0,1))</f>
        <v/>
      </c>
      <c r="U194" s="38">
        <f>IF($A194=0,$U193,$U193+IF($G194=1,0,1))</f>
        <v/>
      </c>
      <c r="V194" s="38">
        <f>IF($A194=0,$V193,$V193+IF($H194=1,0,1))</f>
        <v/>
      </c>
      <c r="W194" s="38">
        <f>SUM($B194:$H194)</f>
        <v/>
      </c>
      <c r="X194" s="38">
        <f>IF(AND($A194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194=1),1,0)+IF(AND($G$1=7,$C194=1),1,0)+IF(AND($H$1=7,$D194=1),1,0)+IF(AND($I$1=7,$E194=1),1,0)+IF(AND($J$1=7,$F194=1),1,0)+IF(AND($K$1=7,$G194=1),1,0)+IF(AND($L$1=7,$H194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4" s="38">
        <f>IF($B194=1,IF($F$1&lt;7,10,IF(AND($F$1=7,$I193=0,$P193&gt;1),15,IF($I193&gt;=20,15,IF($I193&gt;=6,13,10)))),0)+IF($C194=1,IF($G$1&lt;7,10,IF(AND($G$1=7,$J193=0,$Q193&gt;1),15,IF($J193&gt;=20,15,IF($J193&gt;=6,13,10)))),0)+IF($D194=1,IF($H$1&lt;7,10,IF(AND($H$1=7,$K193=0,$R193&gt;1),15,IF($K193&gt;=20,15,IF($K193&gt;=6,13,10)))),0)+IF($E194=1,IF($I$1&lt;7,10,IF(AND($I$1=7,$L193=0,$S193&gt;1),15,IF($L193&gt;=20,15,IF($L193&gt;=6,13,10)))),0)+IF($F194=1,IF($J$1&lt;7,10,IF(AND($J$1=7,$M193=0,$T193&gt;1),15,IF($M193&gt;=20,15,IF($M193&gt;=6,13,10)))),0)+IF($G194=1,IF($K$1&lt;7,10,IF(AND($K$1=7,$N193=0,$U193&gt;1),15,IF($N193&gt;=20,15,IF($N193&gt;=6,13,10)))),0)+IF($H194=1,IF($L$1&lt;7,10,IF(AND($L$1=7,$O193=0,$V193&gt;1),15,IF($O193&gt;=20,15,IF($O193&gt;=6,13,10)))),0)</f>
        <v/>
      </c>
      <c r="Z194" s="38">
        <f>$Z193+$Y194</f>
        <v/>
      </c>
      <c r="AA194" s="38">
        <f>IF(AND($B194=1,AND($F$1=7,$I193=0,$P193&gt;1)),1,0)+IF(AND($C194=1,AND($G$1=7,$J193=0,$Q193&gt;1)),1,0)+IF(AND($D194=1,AND($H$1=7,$K193=0,$R193&gt;1)),1,0)+IF(AND($E194=1,AND($I$1=7,$L193=0,$S193&gt;1)),1,0)+IF(AND($F194=1,AND($J$1=7,$M193=0,$T193&gt;1)),1,0)+IF(AND($G194=1,AND($K$1=7,$N193=0,$U193&gt;1)),1,0)+IF(AND($H194=1,AND($L$1=7,$O193=0,$V193&gt;1)),1,0)</f>
        <v/>
      </c>
      <c r="AB194" s="38">
        <f>IF(IFERROR('Июл'!$I8,"")="",0,$AB193+1)</f>
        <v/>
      </c>
    </row>
    <row r="195" spans="1:28">
      <c r="A195" s="38">
        <f>IF($B$1&gt;=DATE(2026,7,4),1,0)</f>
        <v/>
      </c>
      <c r="B195" s="38">
        <f>IFERROR(IF('Июл'!$B9=TRUE,1,0),0)</f>
        <v/>
      </c>
      <c r="C195" s="38">
        <f>IFERROR(IF('Июл'!$C9=TRUE,1,0),0)</f>
        <v/>
      </c>
      <c r="D195" s="38">
        <f>IFERROR(IF('Июл'!$D9=TRUE,1,0),0)</f>
        <v/>
      </c>
      <c r="E195" s="38">
        <f>IFERROR(IF('Июл'!$E9=TRUE,1,0),0)</f>
        <v/>
      </c>
      <c r="F195" s="38">
        <f>IFERROR(IF('Июл'!$F9=TRUE,1,0),0)</f>
        <v/>
      </c>
      <c r="G195" s="38">
        <f>IFERROR(IF('Июл'!$G9=TRUE,1,0),0)</f>
        <v/>
      </c>
      <c r="H195" s="38">
        <f>IFERROR(IF('Июл'!$H9=TRUE,1,0),0)</f>
        <v/>
      </c>
      <c r="I195" s="38">
        <f>IF($A195=0,$I194,IF($B195=1,$I194+1,IF($P195&lt;=1,$I194,0)))</f>
        <v/>
      </c>
      <c r="J195" s="38">
        <f>IF($A195=0,$J194,IF($C195=1,$J194+1,IF($Q195&lt;=1,$J194,0)))</f>
        <v/>
      </c>
      <c r="K195" s="38">
        <f>IF($A195=0,$K194,IF($D195=1,$K194+1,IF($R195&lt;=1,$K194,0)))</f>
        <v/>
      </c>
      <c r="L195" s="38">
        <f>IF($A195=0,$L194,IF($E195=1,$L194+1,IF($S195&lt;=1,$L194,0)))</f>
        <v/>
      </c>
      <c r="M195" s="38">
        <f>IF($A195=0,$M194,IF($F195=1,$M194+1,IF($T195&lt;=1,$M194,0)))</f>
        <v/>
      </c>
      <c r="N195" s="38">
        <f>IF($A195=0,$N194,IF($G195=1,$N194+1,IF($U195&lt;=1,$N194,0)))</f>
        <v/>
      </c>
      <c r="O195" s="38">
        <f>IF($A195=0,$O194,IF($H195=1,$O194+1,IF($V195&lt;=1,$O194,0)))</f>
        <v/>
      </c>
      <c r="P195" s="38">
        <f>IF($A195=0,$P194,$P194+IF($B195=1,0,1))</f>
        <v/>
      </c>
      <c r="Q195" s="38">
        <f>IF($A195=0,$Q194,$Q194+IF($C195=1,0,1))</f>
        <v/>
      </c>
      <c r="R195" s="38">
        <f>IF($A195=0,$R194,$R194+IF($D195=1,0,1))</f>
        <v/>
      </c>
      <c r="S195" s="38">
        <f>IF($A195=0,$S194,$S194+IF($E195=1,0,1))</f>
        <v/>
      </c>
      <c r="T195" s="38">
        <f>IF($A195=0,$T194,$T194+IF($F195=1,0,1))</f>
        <v/>
      </c>
      <c r="U195" s="38">
        <f>IF($A195=0,$U194,$U194+IF($G195=1,0,1))</f>
        <v/>
      </c>
      <c r="V195" s="38">
        <f>IF($A195=0,$V194,$V194+IF($H195=1,0,1))</f>
        <v/>
      </c>
      <c r="W195" s="38">
        <f>SUM($B195:$H195)</f>
        <v/>
      </c>
      <c r="X195" s="38">
        <f>IF(AND($A195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195=1),1,0)+IF(AND($G$1=7,$C195=1),1,0)+IF(AND($H$1=7,$D195=1),1,0)+IF(AND($I$1=7,$E195=1),1,0)+IF(AND($J$1=7,$F195=1),1,0)+IF(AND($K$1=7,$G195=1),1,0)+IF(AND($L$1=7,$H195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5" s="38">
        <f>IF($B195=1,IF($F$1&lt;7,10,IF(AND($F$1=7,$I194=0,$P194&gt;1),15,IF($I194&gt;=20,15,IF($I194&gt;=6,13,10)))),0)+IF($C195=1,IF($G$1&lt;7,10,IF(AND($G$1=7,$J194=0,$Q194&gt;1),15,IF($J194&gt;=20,15,IF($J194&gt;=6,13,10)))),0)+IF($D195=1,IF($H$1&lt;7,10,IF(AND($H$1=7,$K194=0,$R194&gt;1),15,IF($K194&gt;=20,15,IF($K194&gt;=6,13,10)))),0)+IF($E195=1,IF($I$1&lt;7,10,IF(AND($I$1=7,$L194=0,$S194&gt;1),15,IF($L194&gt;=20,15,IF($L194&gt;=6,13,10)))),0)+IF($F195=1,IF($J$1&lt;7,10,IF(AND($J$1=7,$M194=0,$T194&gt;1),15,IF($M194&gt;=20,15,IF($M194&gt;=6,13,10)))),0)+IF($G195=1,IF($K$1&lt;7,10,IF(AND($K$1=7,$N194=0,$U194&gt;1),15,IF($N194&gt;=20,15,IF($N194&gt;=6,13,10)))),0)+IF($H195=1,IF($L$1&lt;7,10,IF(AND($L$1=7,$O194=0,$V194&gt;1),15,IF($O194&gt;=20,15,IF($O194&gt;=6,13,10)))),0)</f>
        <v/>
      </c>
      <c r="Z195" s="38">
        <f>$Z194+$Y195</f>
        <v/>
      </c>
      <c r="AA195" s="38">
        <f>IF(AND($B195=1,AND($F$1=7,$I194=0,$P194&gt;1)),1,0)+IF(AND($C195=1,AND($G$1=7,$J194=0,$Q194&gt;1)),1,0)+IF(AND($D195=1,AND($H$1=7,$K194=0,$R194&gt;1)),1,0)+IF(AND($E195=1,AND($I$1=7,$L194=0,$S194&gt;1)),1,0)+IF(AND($F195=1,AND($J$1=7,$M194=0,$T194&gt;1)),1,0)+IF(AND($G195=1,AND($K$1=7,$N194=0,$U194&gt;1)),1,0)+IF(AND($H195=1,AND($L$1=7,$O194=0,$V194&gt;1)),1,0)</f>
        <v/>
      </c>
      <c r="AB195" s="38">
        <f>IF(IFERROR('Июл'!$I9,"")="",0,$AB194+1)</f>
        <v/>
      </c>
    </row>
    <row r="196" spans="1:28">
      <c r="A196" s="38">
        <f>IF($B$1&gt;=DATE(2026,7,5),1,0)</f>
        <v/>
      </c>
      <c r="B196" s="38">
        <f>IFERROR(IF('Июл'!$B10=TRUE,1,0),0)</f>
        <v/>
      </c>
      <c r="C196" s="38">
        <f>IFERROR(IF('Июл'!$C10=TRUE,1,0),0)</f>
        <v/>
      </c>
      <c r="D196" s="38">
        <f>IFERROR(IF('Июл'!$D10=TRUE,1,0),0)</f>
        <v/>
      </c>
      <c r="E196" s="38">
        <f>IFERROR(IF('Июл'!$E10=TRUE,1,0),0)</f>
        <v/>
      </c>
      <c r="F196" s="38">
        <f>IFERROR(IF('Июл'!$F10=TRUE,1,0),0)</f>
        <v/>
      </c>
      <c r="G196" s="38">
        <f>IFERROR(IF('Июл'!$G10=TRUE,1,0),0)</f>
        <v/>
      </c>
      <c r="H196" s="38">
        <f>IFERROR(IF('Июл'!$H10=TRUE,1,0),0)</f>
        <v/>
      </c>
      <c r="I196" s="38">
        <f>IF($A196=0,$I195,IF($B196=1,$I195+1,IF($P196&lt;=1,$I195,0)))</f>
        <v/>
      </c>
      <c r="J196" s="38">
        <f>IF($A196=0,$J195,IF($C196=1,$J195+1,IF($Q196&lt;=1,$J195,0)))</f>
        <v/>
      </c>
      <c r="K196" s="38">
        <f>IF($A196=0,$K195,IF($D196=1,$K195+1,IF($R196&lt;=1,$K195,0)))</f>
        <v/>
      </c>
      <c r="L196" s="38">
        <f>IF($A196=0,$L195,IF($E196=1,$L195+1,IF($S196&lt;=1,$L195,0)))</f>
        <v/>
      </c>
      <c r="M196" s="38">
        <f>IF($A196=0,$M195,IF($F196=1,$M195+1,IF($T196&lt;=1,$M195,0)))</f>
        <v/>
      </c>
      <c r="N196" s="38">
        <f>IF($A196=0,$N195,IF($G196=1,$N195+1,IF($U196&lt;=1,$N195,0)))</f>
        <v/>
      </c>
      <c r="O196" s="38">
        <f>IF($A196=0,$O195,IF($H196=1,$O195+1,IF($V196&lt;=1,$O195,0)))</f>
        <v/>
      </c>
      <c r="P196" s="38">
        <f>IF($A196=0,$P195,$P195+IF($B196=1,0,1))</f>
        <v/>
      </c>
      <c r="Q196" s="38">
        <f>IF($A196=0,$Q195,$Q195+IF($C196=1,0,1))</f>
        <v/>
      </c>
      <c r="R196" s="38">
        <f>IF($A196=0,$R195,$R195+IF($D196=1,0,1))</f>
        <v/>
      </c>
      <c r="S196" s="38">
        <f>IF($A196=0,$S195,$S195+IF($E196=1,0,1))</f>
        <v/>
      </c>
      <c r="T196" s="38">
        <f>IF($A196=0,$T195,$T195+IF($F196=1,0,1))</f>
        <v/>
      </c>
      <c r="U196" s="38">
        <f>IF($A196=0,$U195,$U195+IF($G196=1,0,1))</f>
        <v/>
      </c>
      <c r="V196" s="38">
        <f>IF($A196=0,$V195,$V195+IF($H196=1,0,1))</f>
        <v/>
      </c>
      <c r="W196" s="38">
        <f>SUM($B196:$H196)</f>
        <v/>
      </c>
      <c r="X196" s="38">
        <f>IF(AND($A196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196=1),1,0)+IF(AND($G$1=7,$C196=1),1,0)+IF(AND($H$1=7,$D196=1),1,0)+IF(AND($I$1=7,$E196=1),1,0)+IF(AND($J$1=7,$F196=1),1,0)+IF(AND($K$1=7,$G196=1),1,0)+IF(AND($L$1=7,$H196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6" s="38">
        <f>IF($B196=1,IF($F$1&lt;7,10,IF(AND($F$1=7,$I195=0,$P195&gt;1),15,IF($I195&gt;=20,15,IF($I195&gt;=6,13,10)))),0)+IF($C196=1,IF($G$1&lt;7,10,IF(AND($G$1=7,$J195=0,$Q195&gt;1),15,IF($J195&gt;=20,15,IF($J195&gt;=6,13,10)))),0)+IF($D196=1,IF($H$1&lt;7,10,IF(AND($H$1=7,$K195=0,$R195&gt;1),15,IF($K195&gt;=20,15,IF($K195&gt;=6,13,10)))),0)+IF($E196=1,IF($I$1&lt;7,10,IF(AND($I$1=7,$L195=0,$S195&gt;1),15,IF($L195&gt;=20,15,IF($L195&gt;=6,13,10)))),0)+IF($F196=1,IF($J$1&lt;7,10,IF(AND($J$1=7,$M195=0,$T195&gt;1),15,IF($M195&gt;=20,15,IF($M195&gt;=6,13,10)))),0)+IF($G196=1,IF($K$1&lt;7,10,IF(AND($K$1=7,$N195=0,$U195&gt;1),15,IF($N195&gt;=20,15,IF($N195&gt;=6,13,10)))),0)+IF($H196=1,IF($L$1&lt;7,10,IF(AND($L$1=7,$O195=0,$V195&gt;1),15,IF($O195&gt;=20,15,IF($O195&gt;=6,13,10)))),0)</f>
        <v/>
      </c>
      <c r="Z196" s="38">
        <f>$Z195+$Y196</f>
        <v/>
      </c>
      <c r="AA196" s="38">
        <f>IF(AND($B196=1,AND($F$1=7,$I195=0,$P195&gt;1)),1,0)+IF(AND($C196=1,AND($G$1=7,$J195=0,$Q195&gt;1)),1,0)+IF(AND($D196=1,AND($H$1=7,$K195=0,$R195&gt;1)),1,0)+IF(AND($E196=1,AND($I$1=7,$L195=0,$S195&gt;1)),1,0)+IF(AND($F196=1,AND($J$1=7,$M195=0,$T195&gt;1)),1,0)+IF(AND($G196=1,AND($K$1=7,$N195=0,$U195&gt;1)),1,0)+IF(AND($H196=1,AND($L$1=7,$O195=0,$V195&gt;1)),1,0)</f>
        <v/>
      </c>
      <c r="AB196" s="38">
        <f>IF(IFERROR('Июл'!$I10,"")="",0,$AB195+1)</f>
        <v/>
      </c>
    </row>
    <row r="197" spans="1:28">
      <c r="A197" s="38">
        <f>IF($B$1&gt;=DATE(2026,7,6),1,0)</f>
        <v/>
      </c>
      <c r="B197" s="38">
        <f>IFERROR(IF('Июл'!$B11=TRUE,1,0),0)</f>
        <v/>
      </c>
      <c r="C197" s="38">
        <f>IFERROR(IF('Июл'!$C11=TRUE,1,0),0)</f>
        <v/>
      </c>
      <c r="D197" s="38">
        <f>IFERROR(IF('Июл'!$D11=TRUE,1,0),0)</f>
        <v/>
      </c>
      <c r="E197" s="38">
        <f>IFERROR(IF('Июл'!$E11=TRUE,1,0),0)</f>
        <v/>
      </c>
      <c r="F197" s="38">
        <f>IFERROR(IF('Июл'!$F11=TRUE,1,0),0)</f>
        <v/>
      </c>
      <c r="G197" s="38">
        <f>IFERROR(IF('Июл'!$G11=TRUE,1,0),0)</f>
        <v/>
      </c>
      <c r="H197" s="38">
        <f>IFERROR(IF('Июл'!$H11=TRUE,1,0),0)</f>
        <v/>
      </c>
      <c r="I197" s="38">
        <f>IF($A197=0,$I196,IF($B197=1,$I196+1,IF($P197&lt;=1,$I196,0)))</f>
        <v/>
      </c>
      <c r="J197" s="38">
        <f>IF($A197=0,$J196,IF($C197=1,$J196+1,IF($Q197&lt;=1,$J196,0)))</f>
        <v/>
      </c>
      <c r="K197" s="38">
        <f>IF($A197=0,$K196,IF($D197=1,$K196+1,IF($R197&lt;=1,$K196,0)))</f>
        <v/>
      </c>
      <c r="L197" s="38">
        <f>IF($A197=0,$L196,IF($E197=1,$L196+1,IF($S197&lt;=1,$L196,0)))</f>
        <v/>
      </c>
      <c r="M197" s="38">
        <f>IF($A197=0,$M196,IF($F197=1,$M196+1,IF($T197&lt;=1,$M196,0)))</f>
        <v/>
      </c>
      <c r="N197" s="38">
        <f>IF($A197=0,$N196,IF($G197=1,$N196+1,IF($U197&lt;=1,$N196,0)))</f>
        <v/>
      </c>
      <c r="O197" s="38">
        <f>IF($A197=0,$O196,IF($H197=1,$O196+1,IF($V197&lt;=1,$O196,0)))</f>
        <v/>
      </c>
      <c r="P197" s="38">
        <f>IF($A197=0,$P196,$P196+IF($B197=1,0,1))</f>
        <v/>
      </c>
      <c r="Q197" s="38">
        <f>IF($A197=0,$Q196,$Q196+IF($C197=1,0,1))</f>
        <v/>
      </c>
      <c r="R197" s="38">
        <f>IF($A197=0,$R196,$R196+IF($D197=1,0,1))</f>
        <v/>
      </c>
      <c r="S197" s="38">
        <f>IF($A197=0,$S196,$S196+IF($E197=1,0,1))</f>
        <v/>
      </c>
      <c r="T197" s="38">
        <f>IF($A197=0,$T196,$T196+IF($F197=1,0,1))</f>
        <v/>
      </c>
      <c r="U197" s="38">
        <f>IF($A197=0,$U196,$U196+IF($G197=1,0,1))</f>
        <v/>
      </c>
      <c r="V197" s="38">
        <f>IF($A197=0,$V196,$V196+IF($H197=1,0,1))</f>
        <v/>
      </c>
      <c r="W197" s="38">
        <f>SUM($B197:$H197)</f>
        <v/>
      </c>
      <c r="X197" s="38">
        <f>IF(AND($A197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197=1),1,0)+IF(AND($G$1=7,$C197=1),1,0)+IF(AND($H$1=7,$D197=1),1,0)+IF(AND($I$1=7,$E197=1),1,0)+IF(AND($J$1=7,$F197=1),1,0)+IF(AND($K$1=7,$G197=1),1,0)+IF(AND($L$1=7,$H197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7" s="38">
        <f>IF($B197=1,IF($F$1&lt;7,10,IF(AND($F$1=7,$I196=0,$P196&gt;1),15,IF($I196&gt;=20,15,IF($I196&gt;=6,13,10)))),0)+IF($C197=1,IF($G$1&lt;7,10,IF(AND($G$1=7,$J196=0,$Q196&gt;1),15,IF($J196&gt;=20,15,IF($J196&gt;=6,13,10)))),0)+IF($D197=1,IF($H$1&lt;7,10,IF(AND($H$1=7,$K196=0,$R196&gt;1),15,IF($K196&gt;=20,15,IF($K196&gt;=6,13,10)))),0)+IF($E197=1,IF($I$1&lt;7,10,IF(AND($I$1=7,$L196=0,$S196&gt;1),15,IF($L196&gt;=20,15,IF($L196&gt;=6,13,10)))),0)+IF($F197=1,IF($J$1&lt;7,10,IF(AND($J$1=7,$M196=0,$T196&gt;1),15,IF($M196&gt;=20,15,IF($M196&gt;=6,13,10)))),0)+IF($G197=1,IF($K$1&lt;7,10,IF(AND($K$1=7,$N196=0,$U196&gt;1),15,IF($N196&gt;=20,15,IF($N196&gt;=6,13,10)))),0)+IF($H197=1,IF($L$1&lt;7,10,IF(AND($L$1=7,$O196=0,$V196&gt;1),15,IF($O196&gt;=20,15,IF($O196&gt;=6,13,10)))),0)</f>
        <v/>
      </c>
      <c r="Z197" s="38">
        <f>$Z196+$Y197</f>
        <v/>
      </c>
      <c r="AA197" s="38">
        <f>IF(AND($B197=1,AND($F$1=7,$I196=0,$P196&gt;1)),1,0)+IF(AND($C197=1,AND($G$1=7,$J196=0,$Q196&gt;1)),1,0)+IF(AND($D197=1,AND($H$1=7,$K196=0,$R196&gt;1)),1,0)+IF(AND($E197=1,AND($I$1=7,$L196=0,$S196&gt;1)),1,0)+IF(AND($F197=1,AND($J$1=7,$M196=0,$T196&gt;1)),1,0)+IF(AND($G197=1,AND($K$1=7,$N196=0,$U196&gt;1)),1,0)+IF(AND($H197=1,AND($L$1=7,$O196=0,$V196&gt;1)),1,0)</f>
        <v/>
      </c>
      <c r="AB197" s="38">
        <f>IF(IFERROR('Июл'!$I11,"")="",0,$AB196+1)</f>
        <v/>
      </c>
    </row>
    <row r="198" spans="1:28">
      <c r="A198" s="38">
        <f>IF($B$1&gt;=DATE(2026,7,7),1,0)</f>
        <v/>
      </c>
      <c r="B198" s="38">
        <f>IFERROR(IF('Июл'!$B12=TRUE,1,0),0)</f>
        <v/>
      </c>
      <c r="C198" s="38">
        <f>IFERROR(IF('Июл'!$C12=TRUE,1,0),0)</f>
        <v/>
      </c>
      <c r="D198" s="38">
        <f>IFERROR(IF('Июл'!$D12=TRUE,1,0),0)</f>
        <v/>
      </c>
      <c r="E198" s="38">
        <f>IFERROR(IF('Июл'!$E12=TRUE,1,0),0)</f>
        <v/>
      </c>
      <c r="F198" s="38">
        <f>IFERROR(IF('Июл'!$F12=TRUE,1,0),0)</f>
        <v/>
      </c>
      <c r="G198" s="38">
        <f>IFERROR(IF('Июл'!$G12=TRUE,1,0),0)</f>
        <v/>
      </c>
      <c r="H198" s="38">
        <f>IFERROR(IF('Июл'!$H12=TRUE,1,0),0)</f>
        <v/>
      </c>
      <c r="I198" s="38">
        <f>IF($A198=0,$I197,IF($B198=1,$I197+1,IF($P198&lt;=1,$I197,0)))</f>
        <v/>
      </c>
      <c r="J198" s="38">
        <f>IF($A198=0,$J197,IF($C198=1,$J197+1,IF($Q198&lt;=1,$J197,0)))</f>
        <v/>
      </c>
      <c r="K198" s="38">
        <f>IF($A198=0,$K197,IF($D198=1,$K197+1,IF($R198&lt;=1,$K197,0)))</f>
        <v/>
      </c>
      <c r="L198" s="38">
        <f>IF($A198=0,$L197,IF($E198=1,$L197+1,IF($S198&lt;=1,$L197,0)))</f>
        <v/>
      </c>
      <c r="M198" s="38">
        <f>IF($A198=0,$M197,IF($F198=1,$M197+1,IF($T198&lt;=1,$M197,0)))</f>
        <v/>
      </c>
      <c r="N198" s="38">
        <f>IF($A198=0,$N197,IF($G198=1,$N197+1,IF($U198&lt;=1,$N197,0)))</f>
        <v/>
      </c>
      <c r="O198" s="38">
        <f>IF($A198=0,$O197,IF($H198=1,$O197+1,IF($V198&lt;=1,$O197,0)))</f>
        <v/>
      </c>
      <c r="P198" s="38">
        <f>IF($A198=0,$P197,$P197+IF($B198=1,0,1))</f>
        <v/>
      </c>
      <c r="Q198" s="38">
        <f>IF($A198=0,$Q197,$Q197+IF($C198=1,0,1))</f>
        <v/>
      </c>
      <c r="R198" s="38">
        <f>IF($A198=0,$R197,$R197+IF($D198=1,0,1))</f>
        <v/>
      </c>
      <c r="S198" s="38">
        <f>IF($A198=0,$S197,$S197+IF($E198=1,0,1))</f>
        <v/>
      </c>
      <c r="T198" s="38">
        <f>IF($A198=0,$T197,$T197+IF($F198=1,0,1))</f>
        <v/>
      </c>
      <c r="U198" s="38">
        <f>IF($A198=0,$U197,$U197+IF($G198=1,0,1))</f>
        <v/>
      </c>
      <c r="V198" s="38">
        <f>IF($A198=0,$V197,$V197+IF($H198=1,0,1))</f>
        <v/>
      </c>
      <c r="W198" s="38">
        <f>SUM($B198:$H198)</f>
        <v/>
      </c>
      <c r="X198" s="38">
        <f>IF(AND($A198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198=1),1,0)+IF(AND($G$1=7,$C198=1),1,0)+IF(AND($H$1=7,$D198=1),1,0)+IF(AND($I$1=7,$E198=1),1,0)+IF(AND($J$1=7,$F198=1),1,0)+IF(AND($K$1=7,$G198=1),1,0)+IF(AND($L$1=7,$H198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8" s="38">
        <f>IF($B198=1,IF($F$1&lt;7,10,IF(AND($F$1=7,$I197=0,$P197&gt;1),15,IF($I197&gt;=20,15,IF($I197&gt;=6,13,10)))),0)+IF($C198=1,IF($G$1&lt;7,10,IF(AND($G$1=7,$J197=0,$Q197&gt;1),15,IF($J197&gt;=20,15,IF($J197&gt;=6,13,10)))),0)+IF($D198=1,IF($H$1&lt;7,10,IF(AND($H$1=7,$K197=0,$R197&gt;1),15,IF($K197&gt;=20,15,IF($K197&gt;=6,13,10)))),0)+IF($E198=1,IF($I$1&lt;7,10,IF(AND($I$1=7,$L197=0,$S197&gt;1),15,IF($L197&gt;=20,15,IF($L197&gt;=6,13,10)))),0)+IF($F198=1,IF($J$1&lt;7,10,IF(AND($J$1=7,$M197=0,$T197&gt;1),15,IF($M197&gt;=20,15,IF($M197&gt;=6,13,10)))),0)+IF($G198=1,IF($K$1&lt;7,10,IF(AND($K$1=7,$N197=0,$U197&gt;1),15,IF($N197&gt;=20,15,IF($N197&gt;=6,13,10)))),0)+IF($H198=1,IF($L$1&lt;7,10,IF(AND($L$1=7,$O197=0,$V197&gt;1),15,IF($O197&gt;=20,15,IF($O197&gt;=6,13,10)))),0)</f>
        <v/>
      </c>
      <c r="Z198" s="38">
        <f>$Z197+$Y198</f>
        <v/>
      </c>
      <c r="AA198" s="38">
        <f>IF(AND($B198=1,AND($F$1=7,$I197=0,$P197&gt;1)),1,0)+IF(AND($C198=1,AND($G$1=7,$J197=0,$Q197&gt;1)),1,0)+IF(AND($D198=1,AND($H$1=7,$K197=0,$R197&gt;1)),1,0)+IF(AND($E198=1,AND($I$1=7,$L197=0,$S197&gt;1)),1,0)+IF(AND($F198=1,AND($J$1=7,$M197=0,$T197&gt;1)),1,0)+IF(AND($G198=1,AND($K$1=7,$N197=0,$U197&gt;1)),1,0)+IF(AND($H198=1,AND($L$1=7,$O197=0,$V197&gt;1)),1,0)</f>
        <v/>
      </c>
      <c r="AB198" s="38">
        <f>IF(IFERROR('Июл'!$I12,"")="",0,$AB197+1)</f>
        <v/>
      </c>
    </row>
    <row r="199" spans="1:28">
      <c r="A199" s="38">
        <f>IF($B$1&gt;=DATE(2026,7,8),1,0)</f>
        <v/>
      </c>
      <c r="B199" s="38">
        <f>IFERROR(IF('Июл'!$B13=TRUE,1,0),0)</f>
        <v/>
      </c>
      <c r="C199" s="38">
        <f>IFERROR(IF('Июл'!$C13=TRUE,1,0),0)</f>
        <v/>
      </c>
      <c r="D199" s="38">
        <f>IFERROR(IF('Июл'!$D13=TRUE,1,0),0)</f>
        <v/>
      </c>
      <c r="E199" s="38">
        <f>IFERROR(IF('Июл'!$E13=TRUE,1,0),0)</f>
        <v/>
      </c>
      <c r="F199" s="38">
        <f>IFERROR(IF('Июл'!$F13=TRUE,1,0),0)</f>
        <v/>
      </c>
      <c r="G199" s="38">
        <f>IFERROR(IF('Июл'!$G13=TRUE,1,0),0)</f>
        <v/>
      </c>
      <c r="H199" s="38">
        <f>IFERROR(IF('Июл'!$H13=TRUE,1,0),0)</f>
        <v/>
      </c>
      <c r="I199" s="38">
        <f>IF($A199=0,$I198,IF($B199=1,$I198+1,IF($P199&lt;=1,$I198,0)))</f>
        <v/>
      </c>
      <c r="J199" s="38">
        <f>IF($A199=0,$J198,IF($C199=1,$J198+1,IF($Q199&lt;=1,$J198,0)))</f>
        <v/>
      </c>
      <c r="K199" s="38">
        <f>IF($A199=0,$K198,IF($D199=1,$K198+1,IF($R199&lt;=1,$K198,0)))</f>
        <v/>
      </c>
      <c r="L199" s="38">
        <f>IF($A199=0,$L198,IF($E199=1,$L198+1,IF($S199&lt;=1,$L198,0)))</f>
        <v/>
      </c>
      <c r="M199" s="38">
        <f>IF($A199=0,$M198,IF($F199=1,$M198+1,IF($T199&lt;=1,$M198,0)))</f>
        <v/>
      </c>
      <c r="N199" s="38">
        <f>IF($A199=0,$N198,IF($G199=1,$N198+1,IF($U199&lt;=1,$N198,0)))</f>
        <v/>
      </c>
      <c r="O199" s="38">
        <f>IF($A199=0,$O198,IF($H199=1,$O198+1,IF($V199&lt;=1,$O198,0)))</f>
        <v/>
      </c>
      <c r="P199" s="38">
        <f>IF($A199=0,$P198,$P198+IF($B199=1,0,1))</f>
        <v/>
      </c>
      <c r="Q199" s="38">
        <f>IF($A199=0,$Q198,$Q198+IF($C199=1,0,1))</f>
        <v/>
      </c>
      <c r="R199" s="38">
        <f>IF($A199=0,$R198,$R198+IF($D199=1,0,1))</f>
        <v/>
      </c>
      <c r="S199" s="38">
        <f>IF($A199=0,$S198,$S198+IF($E199=1,0,1))</f>
        <v/>
      </c>
      <c r="T199" s="38">
        <f>IF($A199=0,$T198,$T198+IF($F199=1,0,1))</f>
        <v/>
      </c>
      <c r="U199" s="38">
        <f>IF($A199=0,$U198,$U198+IF($G199=1,0,1))</f>
        <v/>
      </c>
      <c r="V199" s="38">
        <f>IF($A199=0,$V198,$V198+IF($H199=1,0,1))</f>
        <v/>
      </c>
      <c r="W199" s="38">
        <f>SUM($B199:$H199)</f>
        <v/>
      </c>
      <c r="X199" s="38">
        <f>IF(AND($A199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199=1),1,0)+IF(AND($G$1=7,$C199=1),1,0)+IF(AND($H$1=7,$D199=1),1,0)+IF(AND($I$1=7,$E199=1),1,0)+IF(AND($J$1=7,$F199=1),1,0)+IF(AND($K$1=7,$G199=1),1,0)+IF(AND($L$1=7,$H199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9" s="38">
        <f>IF($B199=1,IF($F$1&lt;7,10,IF(AND($F$1=7,$I198=0,$P198&gt;1),15,IF($I198&gt;=20,15,IF($I198&gt;=6,13,10)))),0)+IF($C199=1,IF($G$1&lt;7,10,IF(AND($G$1=7,$J198=0,$Q198&gt;1),15,IF($J198&gt;=20,15,IF($J198&gt;=6,13,10)))),0)+IF($D199=1,IF($H$1&lt;7,10,IF(AND($H$1=7,$K198=0,$R198&gt;1),15,IF($K198&gt;=20,15,IF($K198&gt;=6,13,10)))),0)+IF($E199=1,IF($I$1&lt;7,10,IF(AND($I$1=7,$L198=0,$S198&gt;1),15,IF($L198&gt;=20,15,IF($L198&gt;=6,13,10)))),0)+IF($F199=1,IF($J$1&lt;7,10,IF(AND($J$1=7,$M198=0,$T198&gt;1),15,IF($M198&gt;=20,15,IF($M198&gt;=6,13,10)))),0)+IF($G199=1,IF($K$1&lt;7,10,IF(AND($K$1=7,$N198=0,$U198&gt;1),15,IF($N198&gt;=20,15,IF($N198&gt;=6,13,10)))),0)+IF($H199=1,IF($L$1&lt;7,10,IF(AND($L$1=7,$O198=0,$V198&gt;1),15,IF($O198&gt;=20,15,IF($O198&gt;=6,13,10)))),0)</f>
        <v/>
      </c>
      <c r="Z199" s="38">
        <f>$Z198+$Y199</f>
        <v/>
      </c>
      <c r="AA199" s="38">
        <f>IF(AND($B199=1,AND($F$1=7,$I198=0,$P198&gt;1)),1,0)+IF(AND($C199=1,AND($G$1=7,$J198=0,$Q198&gt;1)),1,0)+IF(AND($D199=1,AND($H$1=7,$K198=0,$R198&gt;1)),1,0)+IF(AND($E199=1,AND($I$1=7,$L198=0,$S198&gt;1)),1,0)+IF(AND($F199=1,AND($J$1=7,$M198=0,$T198&gt;1)),1,0)+IF(AND($G199=1,AND($K$1=7,$N198=0,$U198&gt;1)),1,0)+IF(AND($H199=1,AND($L$1=7,$O198=0,$V198&gt;1)),1,0)</f>
        <v/>
      </c>
      <c r="AB199" s="38">
        <f>IF(IFERROR('Июл'!$I13,"")="",0,$AB198+1)</f>
        <v/>
      </c>
    </row>
    <row r="200" spans="1:28">
      <c r="A200" s="38">
        <f>IF($B$1&gt;=DATE(2026,7,9),1,0)</f>
        <v/>
      </c>
      <c r="B200" s="38">
        <f>IFERROR(IF('Июл'!$B14=TRUE,1,0),0)</f>
        <v/>
      </c>
      <c r="C200" s="38">
        <f>IFERROR(IF('Июл'!$C14=TRUE,1,0),0)</f>
        <v/>
      </c>
      <c r="D200" s="38">
        <f>IFERROR(IF('Июл'!$D14=TRUE,1,0),0)</f>
        <v/>
      </c>
      <c r="E200" s="38">
        <f>IFERROR(IF('Июл'!$E14=TRUE,1,0),0)</f>
        <v/>
      </c>
      <c r="F200" s="38">
        <f>IFERROR(IF('Июл'!$F14=TRUE,1,0),0)</f>
        <v/>
      </c>
      <c r="G200" s="38">
        <f>IFERROR(IF('Июл'!$G14=TRUE,1,0),0)</f>
        <v/>
      </c>
      <c r="H200" s="38">
        <f>IFERROR(IF('Июл'!$H14=TRUE,1,0),0)</f>
        <v/>
      </c>
      <c r="I200" s="38">
        <f>IF($A200=0,$I199,IF($B200=1,$I199+1,IF($P200&lt;=1,$I199,0)))</f>
        <v/>
      </c>
      <c r="J200" s="38">
        <f>IF($A200=0,$J199,IF($C200=1,$J199+1,IF($Q200&lt;=1,$J199,0)))</f>
        <v/>
      </c>
      <c r="K200" s="38">
        <f>IF($A200=0,$K199,IF($D200=1,$K199+1,IF($R200&lt;=1,$K199,0)))</f>
        <v/>
      </c>
      <c r="L200" s="38">
        <f>IF($A200=0,$L199,IF($E200=1,$L199+1,IF($S200&lt;=1,$L199,0)))</f>
        <v/>
      </c>
      <c r="M200" s="38">
        <f>IF($A200=0,$M199,IF($F200=1,$M199+1,IF($T200&lt;=1,$M199,0)))</f>
        <v/>
      </c>
      <c r="N200" s="38">
        <f>IF($A200=0,$N199,IF($G200=1,$N199+1,IF($U200&lt;=1,$N199,0)))</f>
        <v/>
      </c>
      <c r="O200" s="38">
        <f>IF($A200=0,$O199,IF($H200=1,$O199+1,IF($V200&lt;=1,$O199,0)))</f>
        <v/>
      </c>
      <c r="P200" s="38">
        <f>IF($A200=0,$P199,$P199+IF($B200=1,0,1))</f>
        <v/>
      </c>
      <c r="Q200" s="38">
        <f>IF($A200=0,$Q199,$Q199+IF($C200=1,0,1))</f>
        <v/>
      </c>
      <c r="R200" s="38">
        <f>IF($A200=0,$R199,$R199+IF($D200=1,0,1))</f>
        <v/>
      </c>
      <c r="S200" s="38">
        <f>IF($A200=0,$S199,$S199+IF($E200=1,0,1))</f>
        <v/>
      </c>
      <c r="T200" s="38">
        <f>IF($A200=0,$T199,$T199+IF($F200=1,0,1))</f>
        <v/>
      </c>
      <c r="U200" s="38">
        <f>IF($A200=0,$U199,$U199+IF($G200=1,0,1))</f>
        <v/>
      </c>
      <c r="V200" s="38">
        <f>IF($A200=0,$V199,$V199+IF($H200=1,0,1))</f>
        <v/>
      </c>
      <c r="W200" s="38">
        <f>SUM($B200:$H200)</f>
        <v/>
      </c>
      <c r="X200" s="38">
        <f>IF(AND($A200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200=1),1,0)+IF(AND($G$1=7,$C200=1),1,0)+IF(AND($H$1=7,$D200=1),1,0)+IF(AND($I$1=7,$E200=1),1,0)+IF(AND($J$1=7,$F200=1),1,0)+IF(AND($K$1=7,$G200=1),1,0)+IF(AND($L$1=7,$H200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0" s="38">
        <f>IF($B200=1,IF($F$1&lt;7,10,IF(AND($F$1=7,$I199=0,$P199&gt;1),15,IF($I199&gt;=20,15,IF($I199&gt;=6,13,10)))),0)+IF($C200=1,IF($G$1&lt;7,10,IF(AND($G$1=7,$J199=0,$Q199&gt;1),15,IF($J199&gt;=20,15,IF($J199&gt;=6,13,10)))),0)+IF($D200=1,IF($H$1&lt;7,10,IF(AND($H$1=7,$K199=0,$R199&gt;1),15,IF($K199&gt;=20,15,IF($K199&gt;=6,13,10)))),0)+IF($E200=1,IF($I$1&lt;7,10,IF(AND($I$1=7,$L199=0,$S199&gt;1),15,IF($L199&gt;=20,15,IF($L199&gt;=6,13,10)))),0)+IF($F200=1,IF($J$1&lt;7,10,IF(AND($J$1=7,$M199=0,$T199&gt;1),15,IF($M199&gt;=20,15,IF($M199&gt;=6,13,10)))),0)+IF($G200=1,IF($K$1&lt;7,10,IF(AND($K$1=7,$N199=0,$U199&gt;1),15,IF($N199&gt;=20,15,IF($N199&gt;=6,13,10)))),0)+IF($H200=1,IF($L$1&lt;7,10,IF(AND($L$1=7,$O199=0,$V199&gt;1),15,IF($O199&gt;=20,15,IF($O199&gt;=6,13,10)))),0)</f>
        <v/>
      </c>
      <c r="Z200" s="38">
        <f>$Z199+$Y200</f>
        <v/>
      </c>
      <c r="AA200" s="38">
        <f>IF(AND($B200=1,AND($F$1=7,$I199=0,$P199&gt;1)),1,0)+IF(AND($C200=1,AND($G$1=7,$J199=0,$Q199&gt;1)),1,0)+IF(AND($D200=1,AND($H$1=7,$K199=0,$R199&gt;1)),1,0)+IF(AND($E200=1,AND($I$1=7,$L199=0,$S199&gt;1)),1,0)+IF(AND($F200=1,AND($J$1=7,$M199=0,$T199&gt;1)),1,0)+IF(AND($G200=1,AND($K$1=7,$N199=0,$U199&gt;1)),1,0)+IF(AND($H200=1,AND($L$1=7,$O199=0,$V199&gt;1)),1,0)</f>
        <v/>
      </c>
      <c r="AB200" s="38">
        <f>IF(IFERROR('Июл'!$I14,"")="",0,$AB199+1)</f>
        <v/>
      </c>
    </row>
    <row r="201" spans="1:28">
      <c r="A201" s="38">
        <f>IF($B$1&gt;=DATE(2026,7,10),1,0)</f>
        <v/>
      </c>
      <c r="B201" s="38">
        <f>IFERROR(IF('Июл'!$B15=TRUE,1,0),0)</f>
        <v/>
      </c>
      <c r="C201" s="38">
        <f>IFERROR(IF('Июл'!$C15=TRUE,1,0),0)</f>
        <v/>
      </c>
      <c r="D201" s="38">
        <f>IFERROR(IF('Июл'!$D15=TRUE,1,0),0)</f>
        <v/>
      </c>
      <c r="E201" s="38">
        <f>IFERROR(IF('Июл'!$E15=TRUE,1,0),0)</f>
        <v/>
      </c>
      <c r="F201" s="38">
        <f>IFERROR(IF('Июл'!$F15=TRUE,1,0),0)</f>
        <v/>
      </c>
      <c r="G201" s="38">
        <f>IFERROR(IF('Июл'!$G15=TRUE,1,0),0)</f>
        <v/>
      </c>
      <c r="H201" s="38">
        <f>IFERROR(IF('Июл'!$H15=TRUE,1,0),0)</f>
        <v/>
      </c>
      <c r="I201" s="38">
        <f>IF($A201=0,$I200,IF($B201=1,$I200+1,IF($P201&lt;=1,$I200,0)))</f>
        <v/>
      </c>
      <c r="J201" s="38">
        <f>IF($A201=0,$J200,IF($C201=1,$J200+1,IF($Q201&lt;=1,$J200,0)))</f>
        <v/>
      </c>
      <c r="K201" s="38">
        <f>IF($A201=0,$K200,IF($D201=1,$K200+1,IF($R201&lt;=1,$K200,0)))</f>
        <v/>
      </c>
      <c r="L201" s="38">
        <f>IF($A201=0,$L200,IF($E201=1,$L200+1,IF($S201&lt;=1,$L200,0)))</f>
        <v/>
      </c>
      <c r="M201" s="38">
        <f>IF($A201=0,$M200,IF($F201=1,$M200+1,IF($T201&lt;=1,$M200,0)))</f>
        <v/>
      </c>
      <c r="N201" s="38">
        <f>IF($A201=0,$N200,IF($G201=1,$N200+1,IF($U201&lt;=1,$N200,0)))</f>
        <v/>
      </c>
      <c r="O201" s="38">
        <f>IF($A201=0,$O200,IF($H201=1,$O200+1,IF($V201&lt;=1,$O200,0)))</f>
        <v/>
      </c>
      <c r="P201" s="38">
        <f>IF($A201=0,$P200,$P200+IF($B201=1,0,1))</f>
        <v/>
      </c>
      <c r="Q201" s="38">
        <f>IF($A201=0,$Q200,$Q200+IF($C201=1,0,1))</f>
        <v/>
      </c>
      <c r="R201" s="38">
        <f>IF($A201=0,$R200,$R200+IF($D201=1,0,1))</f>
        <v/>
      </c>
      <c r="S201" s="38">
        <f>IF($A201=0,$S200,$S200+IF($E201=1,0,1))</f>
        <v/>
      </c>
      <c r="T201" s="38">
        <f>IF($A201=0,$T200,$T200+IF($F201=1,0,1))</f>
        <v/>
      </c>
      <c r="U201" s="38">
        <f>IF($A201=0,$U200,$U200+IF($G201=1,0,1))</f>
        <v/>
      </c>
      <c r="V201" s="38">
        <f>IF($A201=0,$V200,$V200+IF($H201=1,0,1))</f>
        <v/>
      </c>
      <c r="W201" s="38">
        <f>SUM($B201:$H201)</f>
        <v/>
      </c>
      <c r="X201" s="38">
        <f>IF(AND($A201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201=1),1,0)+IF(AND($G$1=7,$C201=1),1,0)+IF(AND($H$1=7,$D201=1),1,0)+IF(AND($I$1=7,$E201=1),1,0)+IF(AND($J$1=7,$F201=1),1,0)+IF(AND($K$1=7,$G201=1),1,0)+IF(AND($L$1=7,$H201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1" s="38">
        <f>IF($B201=1,IF($F$1&lt;7,10,IF(AND($F$1=7,$I200=0,$P200&gt;1),15,IF($I200&gt;=20,15,IF($I200&gt;=6,13,10)))),0)+IF($C201=1,IF($G$1&lt;7,10,IF(AND($G$1=7,$J200=0,$Q200&gt;1),15,IF($J200&gt;=20,15,IF($J200&gt;=6,13,10)))),0)+IF($D201=1,IF($H$1&lt;7,10,IF(AND($H$1=7,$K200=0,$R200&gt;1),15,IF($K200&gt;=20,15,IF($K200&gt;=6,13,10)))),0)+IF($E201=1,IF($I$1&lt;7,10,IF(AND($I$1=7,$L200=0,$S200&gt;1),15,IF($L200&gt;=20,15,IF($L200&gt;=6,13,10)))),0)+IF($F201=1,IF($J$1&lt;7,10,IF(AND($J$1=7,$M200=0,$T200&gt;1),15,IF($M200&gt;=20,15,IF($M200&gt;=6,13,10)))),0)+IF($G201=1,IF($K$1&lt;7,10,IF(AND($K$1=7,$N200=0,$U200&gt;1),15,IF($N200&gt;=20,15,IF($N200&gt;=6,13,10)))),0)+IF($H201=1,IF($L$1&lt;7,10,IF(AND($L$1=7,$O200=0,$V200&gt;1),15,IF($O200&gt;=20,15,IF($O200&gt;=6,13,10)))),0)</f>
        <v/>
      </c>
      <c r="Z201" s="38">
        <f>$Z200+$Y201</f>
        <v/>
      </c>
      <c r="AA201" s="38">
        <f>IF(AND($B201=1,AND($F$1=7,$I200=0,$P200&gt;1)),1,0)+IF(AND($C201=1,AND($G$1=7,$J200=0,$Q200&gt;1)),1,0)+IF(AND($D201=1,AND($H$1=7,$K200=0,$R200&gt;1)),1,0)+IF(AND($E201=1,AND($I$1=7,$L200=0,$S200&gt;1)),1,0)+IF(AND($F201=1,AND($J$1=7,$M200=0,$T200&gt;1)),1,0)+IF(AND($G201=1,AND($K$1=7,$N200=0,$U200&gt;1)),1,0)+IF(AND($H201=1,AND($L$1=7,$O200=0,$V200&gt;1)),1,0)</f>
        <v/>
      </c>
      <c r="AB201" s="38">
        <f>IF(IFERROR('Июл'!$I15,"")="",0,$AB200+1)</f>
        <v/>
      </c>
    </row>
    <row r="202" spans="1:28">
      <c r="A202" s="38">
        <f>IF($B$1&gt;=DATE(2026,7,11),1,0)</f>
        <v/>
      </c>
      <c r="B202" s="38">
        <f>IFERROR(IF('Июл'!$B16=TRUE,1,0),0)</f>
        <v/>
      </c>
      <c r="C202" s="38">
        <f>IFERROR(IF('Июл'!$C16=TRUE,1,0),0)</f>
        <v/>
      </c>
      <c r="D202" s="38">
        <f>IFERROR(IF('Июл'!$D16=TRUE,1,0),0)</f>
        <v/>
      </c>
      <c r="E202" s="38">
        <f>IFERROR(IF('Июл'!$E16=TRUE,1,0),0)</f>
        <v/>
      </c>
      <c r="F202" s="38">
        <f>IFERROR(IF('Июл'!$F16=TRUE,1,0),0)</f>
        <v/>
      </c>
      <c r="G202" s="38">
        <f>IFERROR(IF('Июл'!$G16=TRUE,1,0),0)</f>
        <v/>
      </c>
      <c r="H202" s="38">
        <f>IFERROR(IF('Июл'!$H16=TRUE,1,0),0)</f>
        <v/>
      </c>
      <c r="I202" s="38">
        <f>IF($A202=0,$I201,IF($B202=1,$I201+1,IF($P202&lt;=1,$I201,0)))</f>
        <v/>
      </c>
      <c r="J202" s="38">
        <f>IF($A202=0,$J201,IF($C202=1,$J201+1,IF($Q202&lt;=1,$J201,0)))</f>
        <v/>
      </c>
      <c r="K202" s="38">
        <f>IF($A202=0,$K201,IF($D202=1,$K201+1,IF($R202&lt;=1,$K201,0)))</f>
        <v/>
      </c>
      <c r="L202" s="38">
        <f>IF($A202=0,$L201,IF($E202=1,$L201+1,IF($S202&lt;=1,$L201,0)))</f>
        <v/>
      </c>
      <c r="M202" s="38">
        <f>IF($A202=0,$M201,IF($F202=1,$M201+1,IF($T202&lt;=1,$M201,0)))</f>
        <v/>
      </c>
      <c r="N202" s="38">
        <f>IF($A202=0,$N201,IF($G202=1,$N201+1,IF($U202&lt;=1,$N201,0)))</f>
        <v/>
      </c>
      <c r="O202" s="38">
        <f>IF($A202=0,$O201,IF($H202=1,$O201+1,IF($V202&lt;=1,$O201,0)))</f>
        <v/>
      </c>
      <c r="P202" s="38">
        <f>IF($A202=0,$P201,$P201+IF($B202=1,0,1))</f>
        <v/>
      </c>
      <c r="Q202" s="38">
        <f>IF($A202=0,$Q201,$Q201+IF($C202=1,0,1))</f>
        <v/>
      </c>
      <c r="R202" s="38">
        <f>IF($A202=0,$R201,$R201+IF($D202=1,0,1))</f>
        <v/>
      </c>
      <c r="S202" s="38">
        <f>IF($A202=0,$S201,$S201+IF($E202=1,0,1))</f>
        <v/>
      </c>
      <c r="T202" s="38">
        <f>IF($A202=0,$T201,$T201+IF($F202=1,0,1))</f>
        <v/>
      </c>
      <c r="U202" s="38">
        <f>IF($A202=0,$U201,$U201+IF($G202=1,0,1))</f>
        <v/>
      </c>
      <c r="V202" s="38">
        <f>IF($A202=0,$V201,$V201+IF($H202=1,0,1))</f>
        <v/>
      </c>
      <c r="W202" s="38">
        <f>SUM($B202:$H202)</f>
        <v/>
      </c>
      <c r="X202" s="38">
        <f>IF(AND($A202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202=1),1,0)+IF(AND($G$1=7,$C202=1),1,0)+IF(AND($H$1=7,$D202=1),1,0)+IF(AND($I$1=7,$E202=1),1,0)+IF(AND($J$1=7,$F202=1),1,0)+IF(AND($K$1=7,$G202=1),1,0)+IF(AND($L$1=7,$H202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2" s="38">
        <f>IF($B202=1,IF($F$1&lt;7,10,IF(AND($F$1=7,$I201=0,$P201&gt;1),15,IF($I201&gt;=20,15,IF($I201&gt;=6,13,10)))),0)+IF($C202=1,IF($G$1&lt;7,10,IF(AND($G$1=7,$J201=0,$Q201&gt;1),15,IF($J201&gt;=20,15,IF($J201&gt;=6,13,10)))),0)+IF($D202=1,IF($H$1&lt;7,10,IF(AND($H$1=7,$K201=0,$R201&gt;1),15,IF($K201&gt;=20,15,IF($K201&gt;=6,13,10)))),0)+IF($E202=1,IF($I$1&lt;7,10,IF(AND($I$1=7,$L201=0,$S201&gt;1),15,IF($L201&gt;=20,15,IF($L201&gt;=6,13,10)))),0)+IF($F202=1,IF($J$1&lt;7,10,IF(AND($J$1=7,$M201=0,$T201&gt;1),15,IF($M201&gt;=20,15,IF($M201&gt;=6,13,10)))),0)+IF($G202=1,IF($K$1&lt;7,10,IF(AND($K$1=7,$N201=0,$U201&gt;1),15,IF($N201&gt;=20,15,IF($N201&gt;=6,13,10)))),0)+IF($H202=1,IF($L$1&lt;7,10,IF(AND($L$1=7,$O201=0,$V201&gt;1),15,IF($O201&gt;=20,15,IF($O201&gt;=6,13,10)))),0)</f>
        <v/>
      </c>
      <c r="Z202" s="38">
        <f>$Z201+$Y202</f>
        <v/>
      </c>
      <c r="AA202" s="38">
        <f>IF(AND($B202=1,AND($F$1=7,$I201=0,$P201&gt;1)),1,0)+IF(AND($C202=1,AND($G$1=7,$J201=0,$Q201&gt;1)),1,0)+IF(AND($D202=1,AND($H$1=7,$K201=0,$R201&gt;1)),1,0)+IF(AND($E202=1,AND($I$1=7,$L201=0,$S201&gt;1)),1,0)+IF(AND($F202=1,AND($J$1=7,$M201=0,$T201&gt;1)),1,0)+IF(AND($G202=1,AND($K$1=7,$N201=0,$U201&gt;1)),1,0)+IF(AND($H202=1,AND($L$1=7,$O201=0,$V201&gt;1)),1,0)</f>
        <v/>
      </c>
      <c r="AB202" s="38">
        <f>IF(IFERROR('Июл'!$I16,"")="",0,$AB201+1)</f>
        <v/>
      </c>
    </row>
    <row r="203" spans="1:28">
      <c r="A203" s="38">
        <f>IF($B$1&gt;=DATE(2026,7,12),1,0)</f>
        <v/>
      </c>
      <c r="B203" s="38">
        <f>IFERROR(IF('Июл'!$B17=TRUE,1,0),0)</f>
        <v/>
      </c>
      <c r="C203" s="38">
        <f>IFERROR(IF('Июл'!$C17=TRUE,1,0),0)</f>
        <v/>
      </c>
      <c r="D203" s="38">
        <f>IFERROR(IF('Июл'!$D17=TRUE,1,0),0)</f>
        <v/>
      </c>
      <c r="E203" s="38">
        <f>IFERROR(IF('Июл'!$E17=TRUE,1,0),0)</f>
        <v/>
      </c>
      <c r="F203" s="38">
        <f>IFERROR(IF('Июл'!$F17=TRUE,1,0),0)</f>
        <v/>
      </c>
      <c r="G203" s="38">
        <f>IFERROR(IF('Июл'!$G17=TRUE,1,0),0)</f>
        <v/>
      </c>
      <c r="H203" s="38">
        <f>IFERROR(IF('Июл'!$H17=TRUE,1,0),0)</f>
        <v/>
      </c>
      <c r="I203" s="38">
        <f>IF($A203=0,$I202,IF($B203=1,$I202+1,IF($P203&lt;=1,$I202,0)))</f>
        <v/>
      </c>
      <c r="J203" s="38">
        <f>IF($A203=0,$J202,IF($C203=1,$J202+1,IF($Q203&lt;=1,$J202,0)))</f>
        <v/>
      </c>
      <c r="K203" s="38">
        <f>IF($A203=0,$K202,IF($D203=1,$K202+1,IF($R203&lt;=1,$K202,0)))</f>
        <v/>
      </c>
      <c r="L203" s="38">
        <f>IF($A203=0,$L202,IF($E203=1,$L202+1,IF($S203&lt;=1,$L202,0)))</f>
        <v/>
      </c>
      <c r="M203" s="38">
        <f>IF($A203=0,$M202,IF($F203=1,$M202+1,IF($T203&lt;=1,$M202,0)))</f>
        <v/>
      </c>
      <c r="N203" s="38">
        <f>IF($A203=0,$N202,IF($G203=1,$N202+1,IF($U203&lt;=1,$N202,0)))</f>
        <v/>
      </c>
      <c r="O203" s="38">
        <f>IF($A203=0,$O202,IF($H203=1,$O202+1,IF($V203&lt;=1,$O202,0)))</f>
        <v/>
      </c>
      <c r="P203" s="38">
        <f>IF($A203=0,$P202,$P202+IF($B203=1,0,1))</f>
        <v/>
      </c>
      <c r="Q203" s="38">
        <f>IF($A203=0,$Q202,$Q202+IF($C203=1,0,1))</f>
        <v/>
      </c>
      <c r="R203" s="38">
        <f>IF($A203=0,$R202,$R202+IF($D203=1,0,1))</f>
        <v/>
      </c>
      <c r="S203" s="38">
        <f>IF($A203=0,$S202,$S202+IF($E203=1,0,1))</f>
        <v/>
      </c>
      <c r="T203" s="38">
        <f>IF($A203=0,$T202,$T202+IF($F203=1,0,1))</f>
        <v/>
      </c>
      <c r="U203" s="38">
        <f>IF($A203=0,$U202,$U202+IF($G203=1,0,1))</f>
        <v/>
      </c>
      <c r="V203" s="38">
        <f>IF($A203=0,$V202,$V202+IF($H203=1,0,1))</f>
        <v/>
      </c>
      <c r="W203" s="38">
        <f>SUM($B203:$H203)</f>
        <v/>
      </c>
      <c r="X203" s="38">
        <f>IF(AND($A203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203=1),1,0)+IF(AND($G$1=7,$C203=1),1,0)+IF(AND($H$1=7,$D203=1),1,0)+IF(AND($I$1=7,$E203=1),1,0)+IF(AND($J$1=7,$F203=1),1,0)+IF(AND($K$1=7,$G203=1),1,0)+IF(AND($L$1=7,$H203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3" s="38">
        <f>IF($B203=1,IF($F$1&lt;7,10,IF(AND($F$1=7,$I202=0,$P202&gt;1),15,IF($I202&gt;=20,15,IF($I202&gt;=6,13,10)))),0)+IF($C203=1,IF($G$1&lt;7,10,IF(AND($G$1=7,$J202=0,$Q202&gt;1),15,IF($J202&gt;=20,15,IF($J202&gt;=6,13,10)))),0)+IF($D203=1,IF($H$1&lt;7,10,IF(AND($H$1=7,$K202=0,$R202&gt;1),15,IF($K202&gt;=20,15,IF($K202&gt;=6,13,10)))),0)+IF($E203=1,IF($I$1&lt;7,10,IF(AND($I$1=7,$L202=0,$S202&gt;1),15,IF($L202&gt;=20,15,IF($L202&gt;=6,13,10)))),0)+IF($F203=1,IF($J$1&lt;7,10,IF(AND($J$1=7,$M202=0,$T202&gt;1),15,IF($M202&gt;=20,15,IF($M202&gt;=6,13,10)))),0)+IF($G203=1,IF($K$1&lt;7,10,IF(AND($K$1=7,$N202=0,$U202&gt;1),15,IF($N202&gt;=20,15,IF($N202&gt;=6,13,10)))),0)+IF($H203=1,IF($L$1&lt;7,10,IF(AND($L$1=7,$O202=0,$V202&gt;1),15,IF($O202&gt;=20,15,IF($O202&gt;=6,13,10)))),0)</f>
        <v/>
      </c>
      <c r="Z203" s="38">
        <f>$Z202+$Y203</f>
        <v/>
      </c>
      <c r="AA203" s="38">
        <f>IF(AND($B203=1,AND($F$1=7,$I202=0,$P202&gt;1)),1,0)+IF(AND($C203=1,AND($G$1=7,$J202=0,$Q202&gt;1)),1,0)+IF(AND($D203=1,AND($H$1=7,$K202=0,$R202&gt;1)),1,0)+IF(AND($E203=1,AND($I$1=7,$L202=0,$S202&gt;1)),1,0)+IF(AND($F203=1,AND($J$1=7,$M202=0,$T202&gt;1)),1,0)+IF(AND($G203=1,AND($K$1=7,$N202=0,$U202&gt;1)),1,0)+IF(AND($H203=1,AND($L$1=7,$O202=0,$V202&gt;1)),1,0)</f>
        <v/>
      </c>
      <c r="AB203" s="38">
        <f>IF(IFERROR('Июл'!$I17,"")="",0,$AB202+1)</f>
        <v/>
      </c>
    </row>
    <row r="204" spans="1:28">
      <c r="A204" s="38">
        <f>IF($B$1&gt;=DATE(2026,7,13),1,0)</f>
        <v/>
      </c>
      <c r="B204" s="38">
        <f>IFERROR(IF('Июл'!$B18=TRUE,1,0),0)</f>
        <v/>
      </c>
      <c r="C204" s="38">
        <f>IFERROR(IF('Июл'!$C18=TRUE,1,0),0)</f>
        <v/>
      </c>
      <c r="D204" s="38">
        <f>IFERROR(IF('Июл'!$D18=TRUE,1,0),0)</f>
        <v/>
      </c>
      <c r="E204" s="38">
        <f>IFERROR(IF('Июл'!$E18=TRUE,1,0),0)</f>
        <v/>
      </c>
      <c r="F204" s="38">
        <f>IFERROR(IF('Июл'!$F18=TRUE,1,0),0)</f>
        <v/>
      </c>
      <c r="G204" s="38">
        <f>IFERROR(IF('Июл'!$G18=TRUE,1,0),0)</f>
        <v/>
      </c>
      <c r="H204" s="38">
        <f>IFERROR(IF('Июл'!$H18=TRUE,1,0),0)</f>
        <v/>
      </c>
      <c r="I204" s="38">
        <f>IF($A204=0,$I203,IF($B204=1,$I203+1,IF($P204&lt;=1,$I203,0)))</f>
        <v/>
      </c>
      <c r="J204" s="38">
        <f>IF($A204=0,$J203,IF($C204=1,$J203+1,IF($Q204&lt;=1,$J203,0)))</f>
        <v/>
      </c>
      <c r="K204" s="38">
        <f>IF($A204=0,$K203,IF($D204=1,$K203+1,IF($R204&lt;=1,$K203,0)))</f>
        <v/>
      </c>
      <c r="L204" s="38">
        <f>IF($A204=0,$L203,IF($E204=1,$L203+1,IF($S204&lt;=1,$L203,0)))</f>
        <v/>
      </c>
      <c r="M204" s="38">
        <f>IF($A204=0,$M203,IF($F204=1,$M203+1,IF($T204&lt;=1,$M203,0)))</f>
        <v/>
      </c>
      <c r="N204" s="38">
        <f>IF($A204=0,$N203,IF($G204=1,$N203+1,IF($U204&lt;=1,$N203,0)))</f>
        <v/>
      </c>
      <c r="O204" s="38">
        <f>IF($A204=0,$O203,IF($H204=1,$O203+1,IF($V204&lt;=1,$O203,0)))</f>
        <v/>
      </c>
      <c r="P204" s="38">
        <f>IF($A204=0,$P203,$P203+IF($B204=1,0,1))</f>
        <v/>
      </c>
      <c r="Q204" s="38">
        <f>IF($A204=0,$Q203,$Q203+IF($C204=1,0,1))</f>
        <v/>
      </c>
      <c r="R204" s="38">
        <f>IF($A204=0,$R203,$R203+IF($D204=1,0,1))</f>
        <v/>
      </c>
      <c r="S204" s="38">
        <f>IF($A204=0,$S203,$S203+IF($E204=1,0,1))</f>
        <v/>
      </c>
      <c r="T204" s="38">
        <f>IF($A204=0,$T203,$T203+IF($F204=1,0,1))</f>
        <v/>
      </c>
      <c r="U204" s="38">
        <f>IF($A204=0,$U203,$U203+IF($G204=1,0,1))</f>
        <v/>
      </c>
      <c r="V204" s="38">
        <f>IF($A204=0,$V203,$V203+IF($H204=1,0,1))</f>
        <v/>
      </c>
      <c r="W204" s="38">
        <f>SUM($B204:$H204)</f>
        <v/>
      </c>
      <c r="X204" s="38">
        <f>IF(AND($A204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204=1),1,0)+IF(AND($G$1=7,$C204=1),1,0)+IF(AND($H$1=7,$D204=1),1,0)+IF(AND($I$1=7,$E204=1),1,0)+IF(AND($J$1=7,$F204=1),1,0)+IF(AND($K$1=7,$G204=1),1,0)+IF(AND($L$1=7,$H204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4" s="38">
        <f>IF($B204=1,IF($F$1&lt;7,10,IF(AND($F$1=7,$I203=0,$P203&gt;1),15,IF($I203&gt;=20,15,IF($I203&gt;=6,13,10)))),0)+IF($C204=1,IF($G$1&lt;7,10,IF(AND($G$1=7,$J203=0,$Q203&gt;1),15,IF($J203&gt;=20,15,IF($J203&gt;=6,13,10)))),0)+IF($D204=1,IF($H$1&lt;7,10,IF(AND($H$1=7,$K203=0,$R203&gt;1),15,IF($K203&gt;=20,15,IF($K203&gt;=6,13,10)))),0)+IF($E204=1,IF($I$1&lt;7,10,IF(AND($I$1=7,$L203=0,$S203&gt;1),15,IF($L203&gt;=20,15,IF($L203&gt;=6,13,10)))),0)+IF($F204=1,IF($J$1&lt;7,10,IF(AND($J$1=7,$M203=0,$T203&gt;1),15,IF($M203&gt;=20,15,IF($M203&gt;=6,13,10)))),0)+IF($G204=1,IF($K$1&lt;7,10,IF(AND($K$1=7,$N203=0,$U203&gt;1),15,IF($N203&gt;=20,15,IF($N203&gt;=6,13,10)))),0)+IF($H204=1,IF($L$1&lt;7,10,IF(AND($L$1=7,$O203=0,$V203&gt;1),15,IF($O203&gt;=20,15,IF($O203&gt;=6,13,10)))),0)</f>
        <v/>
      </c>
      <c r="Z204" s="38">
        <f>$Z203+$Y204</f>
        <v/>
      </c>
      <c r="AA204" s="38">
        <f>IF(AND($B204=1,AND($F$1=7,$I203=0,$P203&gt;1)),1,0)+IF(AND($C204=1,AND($G$1=7,$J203=0,$Q203&gt;1)),1,0)+IF(AND($D204=1,AND($H$1=7,$K203=0,$R203&gt;1)),1,0)+IF(AND($E204=1,AND($I$1=7,$L203=0,$S203&gt;1)),1,0)+IF(AND($F204=1,AND($J$1=7,$M203=0,$T203&gt;1)),1,0)+IF(AND($G204=1,AND($K$1=7,$N203=0,$U203&gt;1)),1,0)+IF(AND($H204=1,AND($L$1=7,$O203=0,$V203&gt;1)),1,0)</f>
        <v/>
      </c>
      <c r="AB204" s="38">
        <f>IF(IFERROR('Июл'!$I18,"")="",0,$AB203+1)</f>
        <v/>
      </c>
    </row>
    <row r="205" spans="1:28">
      <c r="A205" s="38">
        <f>IF($B$1&gt;=DATE(2026,7,14),1,0)</f>
        <v/>
      </c>
      <c r="B205" s="38">
        <f>IFERROR(IF('Июл'!$B19=TRUE,1,0),0)</f>
        <v/>
      </c>
      <c r="C205" s="38">
        <f>IFERROR(IF('Июл'!$C19=TRUE,1,0),0)</f>
        <v/>
      </c>
      <c r="D205" s="38">
        <f>IFERROR(IF('Июл'!$D19=TRUE,1,0),0)</f>
        <v/>
      </c>
      <c r="E205" s="38">
        <f>IFERROR(IF('Июл'!$E19=TRUE,1,0),0)</f>
        <v/>
      </c>
      <c r="F205" s="38">
        <f>IFERROR(IF('Июл'!$F19=TRUE,1,0),0)</f>
        <v/>
      </c>
      <c r="G205" s="38">
        <f>IFERROR(IF('Июл'!$G19=TRUE,1,0),0)</f>
        <v/>
      </c>
      <c r="H205" s="38">
        <f>IFERROR(IF('Июл'!$H19=TRUE,1,0),0)</f>
        <v/>
      </c>
      <c r="I205" s="38">
        <f>IF($A205=0,$I204,IF($B205=1,$I204+1,IF($P205&lt;=1,$I204,0)))</f>
        <v/>
      </c>
      <c r="J205" s="38">
        <f>IF($A205=0,$J204,IF($C205=1,$J204+1,IF($Q205&lt;=1,$J204,0)))</f>
        <v/>
      </c>
      <c r="K205" s="38">
        <f>IF($A205=0,$K204,IF($D205=1,$K204+1,IF($R205&lt;=1,$K204,0)))</f>
        <v/>
      </c>
      <c r="L205" s="38">
        <f>IF($A205=0,$L204,IF($E205=1,$L204+1,IF($S205&lt;=1,$L204,0)))</f>
        <v/>
      </c>
      <c r="M205" s="38">
        <f>IF($A205=0,$M204,IF($F205=1,$M204+1,IF($T205&lt;=1,$M204,0)))</f>
        <v/>
      </c>
      <c r="N205" s="38">
        <f>IF($A205=0,$N204,IF($G205=1,$N204+1,IF($U205&lt;=1,$N204,0)))</f>
        <v/>
      </c>
      <c r="O205" s="38">
        <f>IF($A205=0,$O204,IF($H205=1,$O204+1,IF($V205&lt;=1,$O204,0)))</f>
        <v/>
      </c>
      <c r="P205" s="38">
        <f>IF($A205=0,$P204,$P204+IF($B205=1,0,1))</f>
        <v/>
      </c>
      <c r="Q205" s="38">
        <f>IF($A205=0,$Q204,$Q204+IF($C205=1,0,1))</f>
        <v/>
      </c>
      <c r="R205" s="38">
        <f>IF($A205=0,$R204,$R204+IF($D205=1,0,1))</f>
        <v/>
      </c>
      <c r="S205" s="38">
        <f>IF($A205=0,$S204,$S204+IF($E205=1,0,1))</f>
        <v/>
      </c>
      <c r="T205" s="38">
        <f>IF($A205=0,$T204,$T204+IF($F205=1,0,1))</f>
        <v/>
      </c>
      <c r="U205" s="38">
        <f>IF($A205=0,$U204,$U204+IF($G205=1,0,1))</f>
        <v/>
      </c>
      <c r="V205" s="38">
        <f>IF($A205=0,$V204,$V204+IF($H205=1,0,1))</f>
        <v/>
      </c>
      <c r="W205" s="38">
        <f>SUM($B205:$H205)</f>
        <v/>
      </c>
      <c r="X205" s="38">
        <f>IF(AND($A205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205=1),1,0)+IF(AND($G$1=7,$C205=1),1,0)+IF(AND($H$1=7,$D205=1),1,0)+IF(AND($I$1=7,$E205=1),1,0)+IF(AND($J$1=7,$F205=1),1,0)+IF(AND($K$1=7,$G205=1),1,0)+IF(AND($L$1=7,$H205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5" s="38">
        <f>IF($B205=1,IF($F$1&lt;7,10,IF(AND($F$1=7,$I204=0,$P204&gt;1),15,IF($I204&gt;=20,15,IF($I204&gt;=6,13,10)))),0)+IF($C205=1,IF($G$1&lt;7,10,IF(AND($G$1=7,$J204=0,$Q204&gt;1),15,IF($J204&gt;=20,15,IF($J204&gt;=6,13,10)))),0)+IF($D205=1,IF($H$1&lt;7,10,IF(AND($H$1=7,$K204=0,$R204&gt;1),15,IF($K204&gt;=20,15,IF($K204&gt;=6,13,10)))),0)+IF($E205=1,IF($I$1&lt;7,10,IF(AND($I$1=7,$L204=0,$S204&gt;1),15,IF($L204&gt;=20,15,IF($L204&gt;=6,13,10)))),0)+IF($F205=1,IF($J$1&lt;7,10,IF(AND($J$1=7,$M204=0,$T204&gt;1),15,IF($M204&gt;=20,15,IF($M204&gt;=6,13,10)))),0)+IF($G205=1,IF($K$1&lt;7,10,IF(AND($K$1=7,$N204=0,$U204&gt;1),15,IF($N204&gt;=20,15,IF($N204&gt;=6,13,10)))),0)+IF($H205=1,IF($L$1&lt;7,10,IF(AND($L$1=7,$O204=0,$V204&gt;1),15,IF($O204&gt;=20,15,IF($O204&gt;=6,13,10)))),0)</f>
        <v/>
      </c>
      <c r="Z205" s="38">
        <f>$Z204+$Y205</f>
        <v/>
      </c>
      <c r="AA205" s="38">
        <f>IF(AND($B205=1,AND($F$1=7,$I204=0,$P204&gt;1)),1,0)+IF(AND($C205=1,AND($G$1=7,$J204=0,$Q204&gt;1)),1,0)+IF(AND($D205=1,AND($H$1=7,$K204=0,$R204&gt;1)),1,0)+IF(AND($E205=1,AND($I$1=7,$L204=0,$S204&gt;1)),1,0)+IF(AND($F205=1,AND($J$1=7,$M204=0,$T204&gt;1)),1,0)+IF(AND($G205=1,AND($K$1=7,$N204=0,$U204&gt;1)),1,0)+IF(AND($H205=1,AND($L$1=7,$O204=0,$V204&gt;1)),1,0)</f>
        <v/>
      </c>
      <c r="AB205" s="38">
        <f>IF(IFERROR('Июл'!$I19,"")="",0,$AB204+1)</f>
        <v/>
      </c>
    </row>
    <row r="206" spans="1:28">
      <c r="A206" s="38">
        <f>IF($B$1&gt;=DATE(2026,7,15),1,0)</f>
        <v/>
      </c>
      <c r="B206" s="38">
        <f>IFERROR(IF('Июл'!$B20=TRUE,1,0),0)</f>
        <v/>
      </c>
      <c r="C206" s="38">
        <f>IFERROR(IF('Июл'!$C20=TRUE,1,0),0)</f>
        <v/>
      </c>
      <c r="D206" s="38">
        <f>IFERROR(IF('Июл'!$D20=TRUE,1,0),0)</f>
        <v/>
      </c>
      <c r="E206" s="38">
        <f>IFERROR(IF('Июл'!$E20=TRUE,1,0),0)</f>
        <v/>
      </c>
      <c r="F206" s="38">
        <f>IFERROR(IF('Июл'!$F20=TRUE,1,0),0)</f>
        <v/>
      </c>
      <c r="G206" s="38">
        <f>IFERROR(IF('Июл'!$G20=TRUE,1,0),0)</f>
        <v/>
      </c>
      <c r="H206" s="38">
        <f>IFERROR(IF('Июл'!$H20=TRUE,1,0),0)</f>
        <v/>
      </c>
      <c r="I206" s="38">
        <f>IF($A206=0,$I205,IF($B206=1,$I205+1,IF($P206&lt;=1,$I205,0)))</f>
        <v/>
      </c>
      <c r="J206" s="38">
        <f>IF($A206=0,$J205,IF($C206=1,$J205+1,IF($Q206&lt;=1,$J205,0)))</f>
        <v/>
      </c>
      <c r="K206" s="38">
        <f>IF($A206=0,$K205,IF($D206=1,$K205+1,IF($R206&lt;=1,$K205,0)))</f>
        <v/>
      </c>
      <c r="L206" s="38">
        <f>IF($A206=0,$L205,IF($E206=1,$L205+1,IF($S206&lt;=1,$L205,0)))</f>
        <v/>
      </c>
      <c r="M206" s="38">
        <f>IF($A206=0,$M205,IF($F206=1,$M205+1,IF($T206&lt;=1,$M205,0)))</f>
        <v/>
      </c>
      <c r="N206" s="38">
        <f>IF($A206=0,$N205,IF($G206=1,$N205+1,IF($U206&lt;=1,$N205,0)))</f>
        <v/>
      </c>
      <c r="O206" s="38">
        <f>IF($A206=0,$O205,IF($H206=1,$O205+1,IF($V206&lt;=1,$O205,0)))</f>
        <v/>
      </c>
      <c r="P206" s="38">
        <f>IF($A206=0,$P205,$P205+IF($B206=1,0,1))</f>
        <v/>
      </c>
      <c r="Q206" s="38">
        <f>IF($A206=0,$Q205,$Q205+IF($C206=1,0,1))</f>
        <v/>
      </c>
      <c r="R206" s="38">
        <f>IF($A206=0,$R205,$R205+IF($D206=1,0,1))</f>
        <v/>
      </c>
      <c r="S206" s="38">
        <f>IF($A206=0,$S205,$S205+IF($E206=1,0,1))</f>
        <v/>
      </c>
      <c r="T206" s="38">
        <f>IF($A206=0,$T205,$T205+IF($F206=1,0,1))</f>
        <v/>
      </c>
      <c r="U206" s="38">
        <f>IF($A206=0,$U205,$U205+IF($G206=1,0,1))</f>
        <v/>
      </c>
      <c r="V206" s="38">
        <f>IF($A206=0,$V205,$V205+IF($H206=1,0,1))</f>
        <v/>
      </c>
      <c r="W206" s="38">
        <f>SUM($B206:$H206)</f>
        <v/>
      </c>
      <c r="X206" s="38">
        <f>IF(AND($A206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206=1),1,0)+IF(AND($G$1=7,$C206=1),1,0)+IF(AND($H$1=7,$D206=1),1,0)+IF(AND($I$1=7,$E206=1),1,0)+IF(AND($J$1=7,$F206=1),1,0)+IF(AND($K$1=7,$G206=1),1,0)+IF(AND($L$1=7,$H206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6" s="38">
        <f>IF($B206=1,IF($F$1&lt;7,10,IF(AND($F$1=7,$I205=0,$P205&gt;1),15,IF($I205&gt;=20,15,IF($I205&gt;=6,13,10)))),0)+IF($C206=1,IF($G$1&lt;7,10,IF(AND($G$1=7,$J205=0,$Q205&gt;1),15,IF($J205&gt;=20,15,IF($J205&gt;=6,13,10)))),0)+IF($D206=1,IF($H$1&lt;7,10,IF(AND($H$1=7,$K205=0,$R205&gt;1),15,IF($K205&gt;=20,15,IF($K205&gt;=6,13,10)))),0)+IF($E206=1,IF($I$1&lt;7,10,IF(AND($I$1=7,$L205=0,$S205&gt;1),15,IF($L205&gt;=20,15,IF($L205&gt;=6,13,10)))),0)+IF($F206=1,IF($J$1&lt;7,10,IF(AND($J$1=7,$M205=0,$T205&gt;1),15,IF($M205&gt;=20,15,IF($M205&gt;=6,13,10)))),0)+IF($G206=1,IF($K$1&lt;7,10,IF(AND($K$1=7,$N205=0,$U205&gt;1),15,IF($N205&gt;=20,15,IF($N205&gt;=6,13,10)))),0)+IF($H206=1,IF($L$1&lt;7,10,IF(AND($L$1=7,$O205=0,$V205&gt;1),15,IF($O205&gt;=20,15,IF($O205&gt;=6,13,10)))),0)</f>
        <v/>
      </c>
      <c r="Z206" s="38">
        <f>$Z205+$Y206</f>
        <v/>
      </c>
      <c r="AA206" s="38">
        <f>IF(AND($B206=1,AND($F$1=7,$I205=0,$P205&gt;1)),1,0)+IF(AND($C206=1,AND($G$1=7,$J205=0,$Q205&gt;1)),1,0)+IF(AND($D206=1,AND($H$1=7,$K205=0,$R205&gt;1)),1,0)+IF(AND($E206=1,AND($I$1=7,$L205=0,$S205&gt;1)),1,0)+IF(AND($F206=1,AND($J$1=7,$M205=0,$T205&gt;1)),1,0)+IF(AND($G206=1,AND($K$1=7,$N205=0,$U205&gt;1)),1,0)+IF(AND($H206=1,AND($L$1=7,$O205=0,$V205&gt;1)),1,0)</f>
        <v/>
      </c>
      <c r="AB206" s="38">
        <f>IF(IFERROR('Июл'!$I20,"")="",0,$AB205+1)</f>
        <v/>
      </c>
    </row>
    <row r="207" spans="1:28">
      <c r="A207" s="38">
        <f>IF($B$1&gt;=DATE(2026,7,16),1,0)</f>
        <v/>
      </c>
      <c r="B207" s="38">
        <f>IFERROR(IF('Июл'!$B21=TRUE,1,0),0)</f>
        <v/>
      </c>
      <c r="C207" s="38">
        <f>IFERROR(IF('Июл'!$C21=TRUE,1,0),0)</f>
        <v/>
      </c>
      <c r="D207" s="38">
        <f>IFERROR(IF('Июл'!$D21=TRUE,1,0),0)</f>
        <v/>
      </c>
      <c r="E207" s="38">
        <f>IFERROR(IF('Июл'!$E21=TRUE,1,0),0)</f>
        <v/>
      </c>
      <c r="F207" s="38">
        <f>IFERROR(IF('Июл'!$F21=TRUE,1,0),0)</f>
        <v/>
      </c>
      <c r="G207" s="38">
        <f>IFERROR(IF('Июл'!$G21=TRUE,1,0),0)</f>
        <v/>
      </c>
      <c r="H207" s="38">
        <f>IFERROR(IF('Июл'!$H21=TRUE,1,0),0)</f>
        <v/>
      </c>
      <c r="I207" s="38">
        <f>IF($A207=0,$I206,IF($B207=1,$I206+1,IF($P207&lt;=1,$I206,0)))</f>
        <v/>
      </c>
      <c r="J207" s="38">
        <f>IF($A207=0,$J206,IF($C207=1,$J206+1,IF($Q207&lt;=1,$J206,0)))</f>
        <v/>
      </c>
      <c r="K207" s="38">
        <f>IF($A207=0,$K206,IF($D207=1,$K206+1,IF($R207&lt;=1,$K206,0)))</f>
        <v/>
      </c>
      <c r="L207" s="38">
        <f>IF($A207=0,$L206,IF($E207=1,$L206+1,IF($S207&lt;=1,$L206,0)))</f>
        <v/>
      </c>
      <c r="M207" s="38">
        <f>IF($A207=0,$M206,IF($F207=1,$M206+1,IF($T207&lt;=1,$M206,0)))</f>
        <v/>
      </c>
      <c r="N207" s="38">
        <f>IF($A207=0,$N206,IF($G207=1,$N206+1,IF($U207&lt;=1,$N206,0)))</f>
        <v/>
      </c>
      <c r="O207" s="38">
        <f>IF($A207=0,$O206,IF($H207=1,$O206+1,IF($V207&lt;=1,$O206,0)))</f>
        <v/>
      </c>
      <c r="P207" s="38">
        <f>IF($A207=0,$P206,$P206+IF($B207=1,0,1))</f>
        <v/>
      </c>
      <c r="Q207" s="38">
        <f>IF($A207=0,$Q206,$Q206+IF($C207=1,0,1))</f>
        <v/>
      </c>
      <c r="R207" s="38">
        <f>IF($A207=0,$R206,$R206+IF($D207=1,0,1))</f>
        <v/>
      </c>
      <c r="S207" s="38">
        <f>IF($A207=0,$S206,$S206+IF($E207=1,0,1))</f>
        <v/>
      </c>
      <c r="T207" s="38">
        <f>IF($A207=0,$T206,$T206+IF($F207=1,0,1))</f>
        <v/>
      </c>
      <c r="U207" s="38">
        <f>IF($A207=0,$U206,$U206+IF($G207=1,0,1))</f>
        <v/>
      </c>
      <c r="V207" s="38">
        <f>IF($A207=0,$V206,$V206+IF($H207=1,0,1))</f>
        <v/>
      </c>
      <c r="W207" s="38">
        <f>SUM($B207:$H207)</f>
        <v/>
      </c>
      <c r="X207" s="38">
        <f>IF(AND($A207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207=1),1,0)+IF(AND($G$1=7,$C207=1),1,0)+IF(AND($H$1=7,$D207=1),1,0)+IF(AND($I$1=7,$E207=1),1,0)+IF(AND($J$1=7,$F207=1),1,0)+IF(AND($K$1=7,$G207=1),1,0)+IF(AND($L$1=7,$H207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7" s="38">
        <f>IF($B207=1,IF($F$1&lt;7,10,IF(AND($F$1=7,$I206=0,$P206&gt;1),15,IF($I206&gt;=20,15,IF($I206&gt;=6,13,10)))),0)+IF($C207=1,IF($G$1&lt;7,10,IF(AND($G$1=7,$J206=0,$Q206&gt;1),15,IF($J206&gt;=20,15,IF($J206&gt;=6,13,10)))),0)+IF($D207=1,IF($H$1&lt;7,10,IF(AND($H$1=7,$K206=0,$R206&gt;1),15,IF($K206&gt;=20,15,IF($K206&gt;=6,13,10)))),0)+IF($E207=1,IF($I$1&lt;7,10,IF(AND($I$1=7,$L206=0,$S206&gt;1),15,IF($L206&gt;=20,15,IF($L206&gt;=6,13,10)))),0)+IF($F207=1,IF($J$1&lt;7,10,IF(AND($J$1=7,$M206=0,$T206&gt;1),15,IF($M206&gt;=20,15,IF($M206&gt;=6,13,10)))),0)+IF($G207=1,IF($K$1&lt;7,10,IF(AND($K$1=7,$N206=0,$U206&gt;1),15,IF($N206&gt;=20,15,IF($N206&gt;=6,13,10)))),0)+IF($H207=1,IF($L$1&lt;7,10,IF(AND($L$1=7,$O206=0,$V206&gt;1),15,IF($O206&gt;=20,15,IF($O206&gt;=6,13,10)))),0)</f>
        <v/>
      </c>
      <c r="Z207" s="38">
        <f>$Z206+$Y207</f>
        <v/>
      </c>
      <c r="AA207" s="38">
        <f>IF(AND($B207=1,AND($F$1=7,$I206=0,$P206&gt;1)),1,0)+IF(AND($C207=1,AND($G$1=7,$J206=0,$Q206&gt;1)),1,0)+IF(AND($D207=1,AND($H$1=7,$K206=0,$R206&gt;1)),1,0)+IF(AND($E207=1,AND($I$1=7,$L206=0,$S206&gt;1)),1,0)+IF(AND($F207=1,AND($J$1=7,$M206=0,$T206&gt;1)),1,0)+IF(AND($G207=1,AND($K$1=7,$N206=0,$U206&gt;1)),1,0)+IF(AND($H207=1,AND($L$1=7,$O206=0,$V206&gt;1)),1,0)</f>
        <v/>
      </c>
      <c r="AB207" s="38">
        <f>IF(IFERROR('Июл'!$I21,"")="",0,$AB206+1)</f>
        <v/>
      </c>
    </row>
    <row r="208" spans="1:28">
      <c r="A208" s="38">
        <f>IF($B$1&gt;=DATE(2026,7,17),1,0)</f>
        <v/>
      </c>
      <c r="B208" s="38">
        <f>IFERROR(IF('Июл'!$B22=TRUE,1,0),0)</f>
        <v/>
      </c>
      <c r="C208" s="38">
        <f>IFERROR(IF('Июл'!$C22=TRUE,1,0),0)</f>
        <v/>
      </c>
      <c r="D208" s="38">
        <f>IFERROR(IF('Июл'!$D22=TRUE,1,0),0)</f>
        <v/>
      </c>
      <c r="E208" s="38">
        <f>IFERROR(IF('Июл'!$E22=TRUE,1,0),0)</f>
        <v/>
      </c>
      <c r="F208" s="38">
        <f>IFERROR(IF('Июл'!$F22=TRUE,1,0),0)</f>
        <v/>
      </c>
      <c r="G208" s="38">
        <f>IFERROR(IF('Июл'!$G22=TRUE,1,0),0)</f>
        <v/>
      </c>
      <c r="H208" s="38">
        <f>IFERROR(IF('Июл'!$H22=TRUE,1,0),0)</f>
        <v/>
      </c>
      <c r="I208" s="38">
        <f>IF($A208=0,$I207,IF($B208=1,$I207+1,IF($P208&lt;=1,$I207,0)))</f>
        <v/>
      </c>
      <c r="J208" s="38">
        <f>IF($A208=0,$J207,IF($C208=1,$J207+1,IF($Q208&lt;=1,$J207,0)))</f>
        <v/>
      </c>
      <c r="K208" s="38">
        <f>IF($A208=0,$K207,IF($D208=1,$K207+1,IF($R208&lt;=1,$K207,0)))</f>
        <v/>
      </c>
      <c r="L208" s="38">
        <f>IF($A208=0,$L207,IF($E208=1,$L207+1,IF($S208&lt;=1,$L207,0)))</f>
        <v/>
      </c>
      <c r="M208" s="38">
        <f>IF($A208=0,$M207,IF($F208=1,$M207+1,IF($T208&lt;=1,$M207,0)))</f>
        <v/>
      </c>
      <c r="N208" s="38">
        <f>IF($A208=0,$N207,IF($G208=1,$N207+1,IF($U208&lt;=1,$N207,0)))</f>
        <v/>
      </c>
      <c r="O208" s="38">
        <f>IF($A208=0,$O207,IF($H208=1,$O207+1,IF($V208&lt;=1,$O207,0)))</f>
        <v/>
      </c>
      <c r="P208" s="38">
        <f>IF($A208=0,$P207,$P207+IF($B208=1,0,1))</f>
        <v/>
      </c>
      <c r="Q208" s="38">
        <f>IF($A208=0,$Q207,$Q207+IF($C208=1,0,1))</f>
        <v/>
      </c>
      <c r="R208" s="38">
        <f>IF($A208=0,$R207,$R207+IF($D208=1,0,1))</f>
        <v/>
      </c>
      <c r="S208" s="38">
        <f>IF($A208=0,$S207,$S207+IF($E208=1,0,1))</f>
        <v/>
      </c>
      <c r="T208" s="38">
        <f>IF($A208=0,$T207,$T207+IF($F208=1,0,1))</f>
        <v/>
      </c>
      <c r="U208" s="38">
        <f>IF($A208=0,$U207,$U207+IF($G208=1,0,1))</f>
        <v/>
      </c>
      <c r="V208" s="38">
        <f>IF($A208=0,$V207,$V207+IF($H208=1,0,1))</f>
        <v/>
      </c>
      <c r="W208" s="38">
        <f>SUM($B208:$H208)</f>
        <v/>
      </c>
      <c r="X208" s="38">
        <f>IF(AND($A208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208=1),1,0)+IF(AND($G$1=7,$C208=1),1,0)+IF(AND($H$1=7,$D208=1),1,0)+IF(AND($I$1=7,$E208=1),1,0)+IF(AND($J$1=7,$F208=1),1,0)+IF(AND($K$1=7,$G208=1),1,0)+IF(AND($L$1=7,$H208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8" s="38">
        <f>IF($B208=1,IF($F$1&lt;7,10,IF(AND($F$1=7,$I207=0,$P207&gt;1),15,IF($I207&gt;=20,15,IF($I207&gt;=6,13,10)))),0)+IF($C208=1,IF($G$1&lt;7,10,IF(AND($G$1=7,$J207=0,$Q207&gt;1),15,IF($J207&gt;=20,15,IF($J207&gt;=6,13,10)))),0)+IF($D208=1,IF($H$1&lt;7,10,IF(AND($H$1=7,$K207=0,$R207&gt;1),15,IF($K207&gt;=20,15,IF($K207&gt;=6,13,10)))),0)+IF($E208=1,IF($I$1&lt;7,10,IF(AND($I$1=7,$L207=0,$S207&gt;1),15,IF($L207&gt;=20,15,IF($L207&gt;=6,13,10)))),0)+IF($F208=1,IF($J$1&lt;7,10,IF(AND($J$1=7,$M207=0,$T207&gt;1),15,IF($M207&gt;=20,15,IF($M207&gt;=6,13,10)))),0)+IF($G208=1,IF($K$1&lt;7,10,IF(AND($K$1=7,$N207=0,$U207&gt;1),15,IF($N207&gt;=20,15,IF($N207&gt;=6,13,10)))),0)+IF($H208=1,IF($L$1&lt;7,10,IF(AND($L$1=7,$O207=0,$V207&gt;1),15,IF($O207&gt;=20,15,IF($O207&gt;=6,13,10)))),0)</f>
        <v/>
      </c>
      <c r="Z208" s="38">
        <f>$Z207+$Y208</f>
        <v/>
      </c>
      <c r="AA208" s="38">
        <f>IF(AND($B208=1,AND($F$1=7,$I207=0,$P207&gt;1)),1,0)+IF(AND($C208=1,AND($G$1=7,$J207=0,$Q207&gt;1)),1,0)+IF(AND($D208=1,AND($H$1=7,$K207=0,$R207&gt;1)),1,0)+IF(AND($E208=1,AND($I$1=7,$L207=0,$S207&gt;1)),1,0)+IF(AND($F208=1,AND($J$1=7,$M207=0,$T207&gt;1)),1,0)+IF(AND($G208=1,AND($K$1=7,$N207=0,$U207&gt;1)),1,0)+IF(AND($H208=1,AND($L$1=7,$O207=0,$V207&gt;1)),1,0)</f>
        <v/>
      </c>
      <c r="AB208" s="38">
        <f>IF(IFERROR('Июл'!$I22,"")="",0,$AB207+1)</f>
        <v/>
      </c>
    </row>
    <row r="209" spans="1:28">
      <c r="A209" s="38">
        <f>IF($B$1&gt;=DATE(2026,7,18),1,0)</f>
        <v/>
      </c>
      <c r="B209" s="38">
        <f>IFERROR(IF('Июл'!$B23=TRUE,1,0),0)</f>
        <v/>
      </c>
      <c r="C209" s="38">
        <f>IFERROR(IF('Июл'!$C23=TRUE,1,0),0)</f>
        <v/>
      </c>
      <c r="D209" s="38">
        <f>IFERROR(IF('Июл'!$D23=TRUE,1,0),0)</f>
        <v/>
      </c>
      <c r="E209" s="38">
        <f>IFERROR(IF('Июл'!$E23=TRUE,1,0),0)</f>
        <v/>
      </c>
      <c r="F209" s="38">
        <f>IFERROR(IF('Июл'!$F23=TRUE,1,0),0)</f>
        <v/>
      </c>
      <c r="G209" s="38">
        <f>IFERROR(IF('Июл'!$G23=TRUE,1,0),0)</f>
        <v/>
      </c>
      <c r="H209" s="38">
        <f>IFERROR(IF('Июл'!$H23=TRUE,1,0),0)</f>
        <v/>
      </c>
      <c r="I209" s="38">
        <f>IF($A209=0,$I208,IF($B209=1,$I208+1,IF($P209&lt;=1,$I208,0)))</f>
        <v/>
      </c>
      <c r="J209" s="38">
        <f>IF($A209=0,$J208,IF($C209=1,$J208+1,IF($Q209&lt;=1,$J208,0)))</f>
        <v/>
      </c>
      <c r="K209" s="38">
        <f>IF($A209=0,$K208,IF($D209=1,$K208+1,IF($R209&lt;=1,$K208,0)))</f>
        <v/>
      </c>
      <c r="L209" s="38">
        <f>IF($A209=0,$L208,IF($E209=1,$L208+1,IF($S209&lt;=1,$L208,0)))</f>
        <v/>
      </c>
      <c r="M209" s="38">
        <f>IF($A209=0,$M208,IF($F209=1,$M208+1,IF($T209&lt;=1,$M208,0)))</f>
        <v/>
      </c>
      <c r="N209" s="38">
        <f>IF($A209=0,$N208,IF($G209=1,$N208+1,IF($U209&lt;=1,$N208,0)))</f>
        <v/>
      </c>
      <c r="O209" s="38">
        <f>IF($A209=0,$O208,IF($H209=1,$O208+1,IF($V209&lt;=1,$O208,0)))</f>
        <v/>
      </c>
      <c r="P209" s="38">
        <f>IF($A209=0,$P208,$P208+IF($B209=1,0,1))</f>
        <v/>
      </c>
      <c r="Q209" s="38">
        <f>IF($A209=0,$Q208,$Q208+IF($C209=1,0,1))</f>
        <v/>
      </c>
      <c r="R209" s="38">
        <f>IF($A209=0,$R208,$R208+IF($D209=1,0,1))</f>
        <v/>
      </c>
      <c r="S209" s="38">
        <f>IF($A209=0,$S208,$S208+IF($E209=1,0,1))</f>
        <v/>
      </c>
      <c r="T209" s="38">
        <f>IF($A209=0,$T208,$T208+IF($F209=1,0,1))</f>
        <v/>
      </c>
      <c r="U209" s="38">
        <f>IF($A209=0,$U208,$U208+IF($G209=1,0,1))</f>
        <v/>
      </c>
      <c r="V209" s="38">
        <f>IF($A209=0,$V208,$V208+IF($H209=1,0,1))</f>
        <v/>
      </c>
      <c r="W209" s="38">
        <f>SUM($B209:$H209)</f>
        <v/>
      </c>
      <c r="X209" s="38">
        <f>IF(AND($A209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209=1),1,0)+IF(AND($G$1=7,$C209=1),1,0)+IF(AND($H$1=7,$D209=1),1,0)+IF(AND($I$1=7,$E209=1),1,0)+IF(AND($J$1=7,$F209=1),1,0)+IF(AND($K$1=7,$G209=1),1,0)+IF(AND($L$1=7,$H209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9" s="38">
        <f>IF($B209=1,IF($F$1&lt;7,10,IF(AND($F$1=7,$I208=0,$P208&gt;1),15,IF($I208&gt;=20,15,IF($I208&gt;=6,13,10)))),0)+IF($C209=1,IF($G$1&lt;7,10,IF(AND($G$1=7,$J208=0,$Q208&gt;1),15,IF($J208&gt;=20,15,IF($J208&gt;=6,13,10)))),0)+IF($D209=1,IF($H$1&lt;7,10,IF(AND($H$1=7,$K208=0,$R208&gt;1),15,IF($K208&gt;=20,15,IF($K208&gt;=6,13,10)))),0)+IF($E209=1,IF($I$1&lt;7,10,IF(AND($I$1=7,$L208=0,$S208&gt;1),15,IF($L208&gt;=20,15,IF($L208&gt;=6,13,10)))),0)+IF($F209=1,IF($J$1&lt;7,10,IF(AND($J$1=7,$M208=0,$T208&gt;1),15,IF($M208&gt;=20,15,IF($M208&gt;=6,13,10)))),0)+IF($G209=1,IF($K$1&lt;7,10,IF(AND($K$1=7,$N208=0,$U208&gt;1),15,IF($N208&gt;=20,15,IF($N208&gt;=6,13,10)))),0)+IF($H209=1,IF($L$1&lt;7,10,IF(AND($L$1=7,$O208=0,$V208&gt;1),15,IF($O208&gt;=20,15,IF($O208&gt;=6,13,10)))),0)</f>
        <v/>
      </c>
      <c r="Z209" s="38">
        <f>$Z208+$Y209</f>
        <v/>
      </c>
      <c r="AA209" s="38">
        <f>IF(AND($B209=1,AND($F$1=7,$I208=0,$P208&gt;1)),1,0)+IF(AND($C209=1,AND($G$1=7,$J208=0,$Q208&gt;1)),1,0)+IF(AND($D209=1,AND($H$1=7,$K208=0,$R208&gt;1)),1,0)+IF(AND($E209=1,AND($I$1=7,$L208=0,$S208&gt;1)),1,0)+IF(AND($F209=1,AND($J$1=7,$M208=0,$T208&gt;1)),1,0)+IF(AND($G209=1,AND($K$1=7,$N208=0,$U208&gt;1)),1,0)+IF(AND($H209=1,AND($L$1=7,$O208=0,$V208&gt;1)),1,0)</f>
        <v/>
      </c>
      <c r="AB209" s="38">
        <f>IF(IFERROR('Июл'!$I23,"")="",0,$AB208+1)</f>
        <v/>
      </c>
    </row>
    <row r="210" spans="1:28">
      <c r="A210" s="38">
        <f>IF($B$1&gt;=DATE(2026,7,19),1,0)</f>
        <v/>
      </c>
      <c r="B210" s="38">
        <f>IFERROR(IF('Июл'!$B24=TRUE,1,0),0)</f>
        <v/>
      </c>
      <c r="C210" s="38">
        <f>IFERROR(IF('Июл'!$C24=TRUE,1,0),0)</f>
        <v/>
      </c>
      <c r="D210" s="38">
        <f>IFERROR(IF('Июл'!$D24=TRUE,1,0),0)</f>
        <v/>
      </c>
      <c r="E210" s="38">
        <f>IFERROR(IF('Июл'!$E24=TRUE,1,0),0)</f>
        <v/>
      </c>
      <c r="F210" s="38">
        <f>IFERROR(IF('Июл'!$F24=TRUE,1,0),0)</f>
        <v/>
      </c>
      <c r="G210" s="38">
        <f>IFERROR(IF('Июл'!$G24=TRUE,1,0),0)</f>
        <v/>
      </c>
      <c r="H210" s="38">
        <f>IFERROR(IF('Июл'!$H24=TRUE,1,0),0)</f>
        <v/>
      </c>
      <c r="I210" s="38">
        <f>IF($A210=0,$I209,IF($B210=1,$I209+1,IF($P210&lt;=1,$I209,0)))</f>
        <v/>
      </c>
      <c r="J210" s="38">
        <f>IF($A210=0,$J209,IF($C210=1,$J209+1,IF($Q210&lt;=1,$J209,0)))</f>
        <v/>
      </c>
      <c r="K210" s="38">
        <f>IF($A210=0,$K209,IF($D210=1,$K209+1,IF($R210&lt;=1,$K209,0)))</f>
        <v/>
      </c>
      <c r="L210" s="38">
        <f>IF($A210=0,$L209,IF($E210=1,$L209+1,IF($S210&lt;=1,$L209,0)))</f>
        <v/>
      </c>
      <c r="M210" s="38">
        <f>IF($A210=0,$M209,IF($F210=1,$M209+1,IF($T210&lt;=1,$M209,0)))</f>
        <v/>
      </c>
      <c r="N210" s="38">
        <f>IF($A210=0,$N209,IF($G210=1,$N209+1,IF($U210&lt;=1,$N209,0)))</f>
        <v/>
      </c>
      <c r="O210" s="38">
        <f>IF($A210=0,$O209,IF($H210=1,$O209+1,IF($V210&lt;=1,$O209,0)))</f>
        <v/>
      </c>
      <c r="P210" s="38">
        <f>IF($A210=0,$P209,$P209+IF($B210=1,0,1))</f>
        <v/>
      </c>
      <c r="Q210" s="38">
        <f>IF($A210=0,$Q209,$Q209+IF($C210=1,0,1))</f>
        <v/>
      </c>
      <c r="R210" s="38">
        <f>IF($A210=0,$R209,$R209+IF($D210=1,0,1))</f>
        <v/>
      </c>
      <c r="S210" s="38">
        <f>IF($A210=0,$S209,$S209+IF($E210=1,0,1))</f>
        <v/>
      </c>
      <c r="T210" s="38">
        <f>IF($A210=0,$T209,$T209+IF($F210=1,0,1))</f>
        <v/>
      </c>
      <c r="U210" s="38">
        <f>IF($A210=0,$U209,$U209+IF($G210=1,0,1))</f>
        <v/>
      </c>
      <c r="V210" s="38">
        <f>IF($A210=0,$V209,$V209+IF($H210=1,0,1))</f>
        <v/>
      </c>
      <c r="W210" s="38">
        <f>SUM($B210:$H210)</f>
        <v/>
      </c>
      <c r="X210" s="38">
        <f>IF(AND($A210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210=1),1,0)+IF(AND($G$1=7,$C210=1),1,0)+IF(AND($H$1=7,$D210=1),1,0)+IF(AND($I$1=7,$E210=1),1,0)+IF(AND($J$1=7,$F210=1),1,0)+IF(AND($K$1=7,$G210=1),1,0)+IF(AND($L$1=7,$H210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0" s="38">
        <f>IF($B210=1,IF($F$1&lt;7,10,IF(AND($F$1=7,$I209=0,$P209&gt;1),15,IF($I209&gt;=20,15,IF($I209&gt;=6,13,10)))),0)+IF($C210=1,IF($G$1&lt;7,10,IF(AND($G$1=7,$J209=0,$Q209&gt;1),15,IF($J209&gt;=20,15,IF($J209&gt;=6,13,10)))),0)+IF($D210=1,IF($H$1&lt;7,10,IF(AND($H$1=7,$K209=0,$R209&gt;1),15,IF($K209&gt;=20,15,IF($K209&gt;=6,13,10)))),0)+IF($E210=1,IF($I$1&lt;7,10,IF(AND($I$1=7,$L209=0,$S209&gt;1),15,IF($L209&gt;=20,15,IF($L209&gt;=6,13,10)))),0)+IF($F210=1,IF($J$1&lt;7,10,IF(AND($J$1=7,$M209=0,$T209&gt;1),15,IF($M209&gt;=20,15,IF($M209&gt;=6,13,10)))),0)+IF($G210=1,IF($K$1&lt;7,10,IF(AND($K$1=7,$N209=0,$U209&gt;1),15,IF($N209&gt;=20,15,IF($N209&gt;=6,13,10)))),0)+IF($H210=1,IF($L$1&lt;7,10,IF(AND($L$1=7,$O209=0,$V209&gt;1),15,IF($O209&gt;=20,15,IF($O209&gt;=6,13,10)))),0)</f>
        <v/>
      </c>
      <c r="Z210" s="38">
        <f>$Z209+$Y210</f>
        <v/>
      </c>
      <c r="AA210" s="38">
        <f>IF(AND($B210=1,AND($F$1=7,$I209=0,$P209&gt;1)),1,0)+IF(AND($C210=1,AND($G$1=7,$J209=0,$Q209&gt;1)),1,0)+IF(AND($D210=1,AND($H$1=7,$K209=0,$R209&gt;1)),1,0)+IF(AND($E210=1,AND($I$1=7,$L209=0,$S209&gt;1)),1,0)+IF(AND($F210=1,AND($J$1=7,$M209=0,$T209&gt;1)),1,0)+IF(AND($G210=1,AND($K$1=7,$N209=0,$U209&gt;1)),1,0)+IF(AND($H210=1,AND($L$1=7,$O209=0,$V209&gt;1)),1,0)</f>
        <v/>
      </c>
      <c r="AB210" s="38">
        <f>IF(IFERROR('Июл'!$I24,"")="",0,$AB209+1)</f>
        <v/>
      </c>
    </row>
    <row r="211" spans="1:28">
      <c r="A211" s="38">
        <f>IF($B$1&gt;=DATE(2026,7,20),1,0)</f>
        <v/>
      </c>
      <c r="B211" s="38">
        <f>IFERROR(IF('Июл'!$B25=TRUE,1,0),0)</f>
        <v/>
      </c>
      <c r="C211" s="38">
        <f>IFERROR(IF('Июл'!$C25=TRUE,1,0),0)</f>
        <v/>
      </c>
      <c r="D211" s="38">
        <f>IFERROR(IF('Июл'!$D25=TRUE,1,0),0)</f>
        <v/>
      </c>
      <c r="E211" s="38">
        <f>IFERROR(IF('Июл'!$E25=TRUE,1,0),0)</f>
        <v/>
      </c>
      <c r="F211" s="38">
        <f>IFERROR(IF('Июл'!$F25=TRUE,1,0),0)</f>
        <v/>
      </c>
      <c r="G211" s="38">
        <f>IFERROR(IF('Июл'!$G25=TRUE,1,0),0)</f>
        <v/>
      </c>
      <c r="H211" s="38">
        <f>IFERROR(IF('Июл'!$H25=TRUE,1,0),0)</f>
        <v/>
      </c>
      <c r="I211" s="38">
        <f>IF($A211=0,$I210,IF($B211=1,$I210+1,IF($P211&lt;=1,$I210,0)))</f>
        <v/>
      </c>
      <c r="J211" s="38">
        <f>IF($A211=0,$J210,IF($C211=1,$J210+1,IF($Q211&lt;=1,$J210,0)))</f>
        <v/>
      </c>
      <c r="K211" s="38">
        <f>IF($A211=0,$K210,IF($D211=1,$K210+1,IF($R211&lt;=1,$K210,0)))</f>
        <v/>
      </c>
      <c r="L211" s="38">
        <f>IF($A211=0,$L210,IF($E211=1,$L210+1,IF($S211&lt;=1,$L210,0)))</f>
        <v/>
      </c>
      <c r="M211" s="38">
        <f>IF($A211=0,$M210,IF($F211=1,$M210+1,IF($T211&lt;=1,$M210,0)))</f>
        <v/>
      </c>
      <c r="N211" s="38">
        <f>IF($A211=0,$N210,IF($G211=1,$N210+1,IF($U211&lt;=1,$N210,0)))</f>
        <v/>
      </c>
      <c r="O211" s="38">
        <f>IF($A211=0,$O210,IF($H211=1,$O210+1,IF($V211&lt;=1,$O210,0)))</f>
        <v/>
      </c>
      <c r="P211" s="38">
        <f>IF($A211=0,$P210,$P210+IF($B211=1,0,1))</f>
        <v/>
      </c>
      <c r="Q211" s="38">
        <f>IF($A211=0,$Q210,$Q210+IF($C211=1,0,1))</f>
        <v/>
      </c>
      <c r="R211" s="38">
        <f>IF($A211=0,$R210,$R210+IF($D211=1,0,1))</f>
        <v/>
      </c>
      <c r="S211" s="38">
        <f>IF($A211=0,$S210,$S210+IF($E211=1,0,1))</f>
        <v/>
      </c>
      <c r="T211" s="38">
        <f>IF($A211=0,$T210,$T210+IF($F211=1,0,1))</f>
        <v/>
      </c>
      <c r="U211" s="38">
        <f>IF($A211=0,$U210,$U210+IF($G211=1,0,1))</f>
        <v/>
      </c>
      <c r="V211" s="38">
        <f>IF($A211=0,$V210,$V210+IF($H211=1,0,1))</f>
        <v/>
      </c>
      <c r="W211" s="38">
        <f>SUM($B211:$H211)</f>
        <v/>
      </c>
      <c r="X211" s="38">
        <f>IF(AND($A211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211=1),1,0)+IF(AND($G$1=7,$C211=1),1,0)+IF(AND($H$1=7,$D211=1),1,0)+IF(AND($I$1=7,$E211=1),1,0)+IF(AND($J$1=7,$F211=1),1,0)+IF(AND($K$1=7,$G211=1),1,0)+IF(AND($L$1=7,$H211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1" s="38">
        <f>IF($B211=1,IF($F$1&lt;7,10,IF(AND($F$1=7,$I210=0,$P210&gt;1),15,IF($I210&gt;=20,15,IF($I210&gt;=6,13,10)))),0)+IF($C211=1,IF($G$1&lt;7,10,IF(AND($G$1=7,$J210=0,$Q210&gt;1),15,IF($J210&gt;=20,15,IF($J210&gt;=6,13,10)))),0)+IF($D211=1,IF($H$1&lt;7,10,IF(AND($H$1=7,$K210=0,$R210&gt;1),15,IF($K210&gt;=20,15,IF($K210&gt;=6,13,10)))),0)+IF($E211=1,IF($I$1&lt;7,10,IF(AND($I$1=7,$L210=0,$S210&gt;1),15,IF($L210&gt;=20,15,IF($L210&gt;=6,13,10)))),0)+IF($F211=1,IF($J$1&lt;7,10,IF(AND($J$1=7,$M210=0,$T210&gt;1),15,IF($M210&gt;=20,15,IF($M210&gt;=6,13,10)))),0)+IF($G211=1,IF($K$1&lt;7,10,IF(AND($K$1=7,$N210=0,$U210&gt;1),15,IF($N210&gt;=20,15,IF($N210&gt;=6,13,10)))),0)+IF($H211=1,IF($L$1&lt;7,10,IF(AND($L$1=7,$O210=0,$V210&gt;1),15,IF($O210&gt;=20,15,IF($O210&gt;=6,13,10)))),0)</f>
        <v/>
      </c>
      <c r="Z211" s="38">
        <f>$Z210+$Y211</f>
        <v/>
      </c>
      <c r="AA211" s="38">
        <f>IF(AND($B211=1,AND($F$1=7,$I210=0,$P210&gt;1)),1,0)+IF(AND($C211=1,AND($G$1=7,$J210=0,$Q210&gt;1)),1,0)+IF(AND($D211=1,AND($H$1=7,$K210=0,$R210&gt;1)),1,0)+IF(AND($E211=1,AND($I$1=7,$L210=0,$S210&gt;1)),1,0)+IF(AND($F211=1,AND($J$1=7,$M210=0,$T210&gt;1)),1,0)+IF(AND($G211=1,AND($K$1=7,$N210=0,$U210&gt;1)),1,0)+IF(AND($H211=1,AND($L$1=7,$O210=0,$V210&gt;1)),1,0)</f>
        <v/>
      </c>
      <c r="AB211" s="38">
        <f>IF(IFERROR('Июл'!$I25,"")="",0,$AB210+1)</f>
        <v/>
      </c>
    </row>
    <row r="212" spans="1:28">
      <c r="A212" s="38">
        <f>IF($B$1&gt;=DATE(2026,7,21),1,0)</f>
        <v/>
      </c>
      <c r="B212" s="38">
        <f>IFERROR(IF('Июл'!$B26=TRUE,1,0),0)</f>
        <v/>
      </c>
      <c r="C212" s="38">
        <f>IFERROR(IF('Июл'!$C26=TRUE,1,0),0)</f>
        <v/>
      </c>
      <c r="D212" s="38">
        <f>IFERROR(IF('Июл'!$D26=TRUE,1,0),0)</f>
        <v/>
      </c>
      <c r="E212" s="38">
        <f>IFERROR(IF('Июл'!$E26=TRUE,1,0),0)</f>
        <v/>
      </c>
      <c r="F212" s="38">
        <f>IFERROR(IF('Июл'!$F26=TRUE,1,0),0)</f>
        <v/>
      </c>
      <c r="G212" s="38">
        <f>IFERROR(IF('Июл'!$G26=TRUE,1,0),0)</f>
        <v/>
      </c>
      <c r="H212" s="38">
        <f>IFERROR(IF('Июл'!$H26=TRUE,1,0),0)</f>
        <v/>
      </c>
      <c r="I212" s="38">
        <f>IF($A212=0,$I211,IF($B212=1,$I211+1,IF($P212&lt;=1,$I211,0)))</f>
        <v/>
      </c>
      <c r="J212" s="38">
        <f>IF($A212=0,$J211,IF($C212=1,$J211+1,IF($Q212&lt;=1,$J211,0)))</f>
        <v/>
      </c>
      <c r="K212" s="38">
        <f>IF($A212=0,$K211,IF($D212=1,$K211+1,IF($R212&lt;=1,$K211,0)))</f>
        <v/>
      </c>
      <c r="L212" s="38">
        <f>IF($A212=0,$L211,IF($E212=1,$L211+1,IF($S212&lt;=1,$L211,0)))</f>
        <v/>
      </c>
      <c r="M212" s="38">
        <f>IF($A212=0,$M211,IF($F212=1,$M211+1,IF($T212&lt;=1,$M211,0)))</f>
        <v/>
      </c>
      <c r="N212" s="38">
        <f>IF($A212=0,$N211,IF($G212=1,$N211+1,IF($U212&lt;=1,$N211,0)))</f>
        <v/>
      </c>
      <c r="O212" s="38">
        <f>IF($A212=0,$O211,IF($H212=1,$O211+1,IF($V212&lt;=1,$O211,0)))</f>
        <v/>
      </c>
      <c r="P212" s="38">
        <f>IF($A212=0,$P211,$P211+IF($B212=1,0,1))</f>
        <v/>
      </c>
      <c r="Q212" s="38">
        <f>IF($A212=0,$Q211,$Q211+IF($C212=1,0,1))</f>
        <v/>
      </c>
      <c r="R212" s="38">
        <f>IF($A212=0,$R211,$R211+IF($D212=1,0,1))</f>
        <v/>
      </c>
      <c r="S212" s="38">
        <f>IF($A212=0,$S211,$S211+IF($E212=1,0,1))</f>
        <v/>
      </c>
      <c r="T212" s="38">
        <f>IF($A212=0,$T211,$T211+IF($F212=1,0,1))</f>
        <v/>
      </c>
      <c r="U212" s="38">
        <f>IF($A212=0,$U211,$U211+IF($G212=1,0,1))</f>
        <v/>
      </c>
      <c r="V212" s="38">
        <f>IF($A212=0,$V211,$V211+IF($H212=1,0,1))</f>
        <v/>
      </c>
      <c r="W212" s="38">
        <f>SUM($B212:$H212)</f>
        <v/>
      </c>
      <c r="X212" s="38">
        <f>IF(AND($A212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212=1),1,0)+IF(AND($G$1=7,$C212=1),1,0)+IF(AND($H$1=7,$D212=1),1,0)+IF(AND($I$1=7,$E212=1),1,0)+IF(AND($J$1=7,$F212=1),1,0)+IF(AND($K$1=7,$G212=1),1,0)+IF(AND($L$1=7,$H212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2" s="38">
        <f>IF($B212=1,IF($F$1&lt;7,10,IF(AND($F$1=7,$I211=0,$P211&gt;1),15,IF($I211&gt;=20,15,IF($I211&gt;=6,13,10)))),0)+IF($C212=1,IF($G$1&lt;7,10,IF(AND($G$1=7,$J211=0,$Q211&gt;1),15,IF($J211&gt;=20,15,IF($J211&gt;=6,13,10)))),0)+IF($D212=1,IF($H$1&lt;7,10,IF(AND($H$1=7,$K211=0,$R211&gt;1),15,IF($K211&gt;=20,15,IF($K211&gt;=6,13,10)))),0)+IF($E212=1,IF($I$1&lt;7,10,IF(AND($I$1=7,$L211=0,$S211&gt;1),15,IF($L211&gt;=20,15,IF($L211&gt;=6,13,10)))),0)+IF($F212=1,IF($J$1&lt;7,10,IF(AND($J$1=7,$M211=0,$T211&gt;1),15,IF($M211&gt;=20,15,IF($M211&gt;=6,13,10)))),0)+IF($G212=1,IF($K$1&lt;7,10,IF(AND($K$1=7,$N211=0,$U211&gt;1),15,IF($N211&gt;=20,15,IF($N211&gt;=6,13,10)))),0)+IF($H212=1,IF($L$1&lt;7,10,IF(AND($L$1=7,$O211=0,$V211&gt;1),15,IF($O211&gt;=20,15,IF($O211&gt;=6,13,10)))),0)</f>
        <v/>
      </c>
      <c r="Z212" s="38">
        <f>$Z211+$Y212</f>
        <v/>
      </c>
      <c r="AA212" s="38">
        <f>IF(AND($B212=1,AND($F$1=7,$I211=0,$P211&gt;1)),1,0)+IF(AND($C212=1,AND($G$1=7,$J211=0,$Q211&gt;1)),1,0)+IF(AND($D212=1,AND($H$1=7,$K211=0,$R211&gt;1)),1,0)+IF(AND($E212=1,AND($I$1=7,$L211=0,$S211&gt;1)),1,0)+IF(AND($F212=1,AND($J$1=7,$M211=0,$T211&gt;1)),1,0)+IF(AND($G212=1,AND($K$1=7,$N211=0,$U211&gt;1)),1,0)+IF(AND($H212=1,AND($L$1=7,$O211=0,$V211&gt;1)),1,0)</f>
        <v/>
      </c>
      <c r="AB212" s="38">
        <f>IF(IFERROR('Июл'!$I26,"")="",0,$AB211+1)</f>
        <v/>
      </c>
    </row>
    <row r="213" spans="1:28">
      <c r="A213" s="38">
        <f>IF($B$1&gt;=DATE(2026,7,22),1,0)</f>
        <v/>
      </c>
      <c r="B213" s="38">
        <f>IFERROR(IF('Июл'!$B27=TRUE,1,0),0)</f>
        <v/>
      </c>
      <c r="C213" s="38">
        <f>IFERROR(IF('Июл'!$C27=TRUE,1,0),0)</f>
        <v/>
      </c>
      <c r="D213" s="38">
        <f>IFERROR(IF('Июл'!$D27=TRUE,1,0),0)</f>
        <v/>
      </c>
      <c r="E213" s="38">
        <f>IFERROR(IF('Июл'!$E27=TRUE,1,0),0)</f>
        <v/>
      </c>
      <c r="F213" s="38">
        <f>IFERROR(IF('Июл'!$F27=TRUE,1,0),0)</f>
        <v/>
      </c>
      <c r="G213" s="38">
        <f>IFERROR(IF('Июл'!$G27=TRUE,1,0),0)</f>
        <v/>
      </c>
      <c r="H213" s="38">
        <f>IFERROR(IF('Июл'!$H27=TRUE,1,0),0)</f>
        <v/>
      </c>
      <c r="I213" s="38">
        <f>IF($A213=0,$I212,IF($B213=1,$I212+1,IF($P213&lt;=1,$I212,0)))</f>
        <v/>
      </c>
      <c r="J213" s="38">
        <f>IF($A213=0,$J212,IF($C213=1,$J212+1,IF($Q213&lt;=1,$J212,0)))</f>
        <v/>
      </c>
      <c r="K213" s="38">
        <f>IF($A213=0,$K212,IF($D213=1,$K212+1,IF($R213&lt;=1,$K212,0)))</f>
        <v/>
      </c>
      <c r="L213" s="38">
        <f>IF($A213=0,$L212,IF($E213=1,$L212+1,IF($S213&lt;=1,$L212,0)))</f>
        <v/>
      </c>
      <c r="M213" s="38">
        <f>IF($A213=0,$M212,IF($F213=1,$M212+1,IF($T213&lt;=1,$M212,0)))</f>
        <v/>
      </c>
      <c r="N213" s="38">
        <f>IF($A213=0,$N212,IF($G213=1,$N212+1,IF($U213&lt;=1,$N212,0)))</f>
        <v/>
      </c>
      <c r="O213" s="38">
        <f>IF($A213=0,$O212,IF($H213=1,$O212+1,IF($V213&lt;=1,$O212,0)))</f>
        <v/>
      </c>
      <c r="P213" s="38">
        <f>IF($A213=0,$P212,$P212+IF($B213=1,0,1))</f>
        <v/>
      </c>
      <c r="Q213" s="38">
        <f>IF($A213=0,$Q212,$Q212+IF($C213=1,0,1))</f>
        <v/>
      </c>
      <c r="R213" s="38">
        <f>IF($A213=0,$R212,$R212+IF($D213=1,0,1))</f>
        <v/>
      </c>
      <c r="S213" s="38">
        <f>IF($A213=0,$S212,$S212+IF($E213=1,0,1))</f>
        <v/>
      </c>
      <c r="T213" s="38">
        <f>IF($A213=0,$T212,$T212+IF($F213=1,0,1))</f>
        <v/>
      </c>
      <c r="U213" s="38">
        <f>IF($A213=0,$U212,$U212+IF($G213=1,0,1))</f>
        <v/>
      </c>
      <c r="V213" s="38">
        <f>IF($A213=0,$V212,$V212+IF($H213=1,0,1))</f>
        <v/>
      </c>
      <c r="W213" s="38">
        <f>SUM($B213:$H213)</f>
        <v/>
      </c>
      <c r="X213" s="38">
        <f>IF(AND($A213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213=1),1,0)+IF(AND($G$1=7,$C213=1),1,0)+IF(AND($H$1=7,$D213=1),1,0)+IF(AND($I$1=7,$E213=1),1,0)+IF(AND($J$1=7,$F213=1),1,0)+IF(AND($K$1=7,$G213=1),1,0)+IF(AND($L$1=7,$H213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3" s="38">
        <f>IF($B213=1,IF($F$1&lt;7,10,IF(AND($F$1=7,$I212=0,$P212&gt;1),15,IF($I212&gt;=20,15,IF($I212&gt;=6,13,10)))),0)+IF($C213=1,IF($G$1&lt;7,10,IF(AND($G$1=7,$J212=0,$Q212&gt;1),15,IF($J212&gt;=20,15,IF($J212&gt;=6,13,10)))),0)+IF($D213=1,IF($H$1&lt;7,10,IF(AND($H$1=7,$K212=0,$R212&gt;1),15,IF($K212&gt;=20,15,IF($K212&gt;=6,13,10)))),0)+IF($E213=1,IF($I$1&lt;7,10,IF(AND($I$1=7,$L212=0,$S212&gt;1),15,IF($L212&gt;=20,15,IF($L212&gt;=6,13,10)))),0)+IF($F213=1,IF($J$1&lt;7,10,IF(AND($J$1=7,$M212=0,$T212&gt;1),15,IF($M212&gt;=20,15,IF($M212&gt;=6,13,10)))),0)+IF($G213=1,IF($K$1&lt;7,10,IF(AND($K$1=7,$N212=0,$U212&gt;1),15,IF($N212&gt;=20,15,IF($N212&gt;=6,13,10)))),0)+IF($H213=1,IF($L$1&lt;7,10,IF(AND($L$1=7,$O212=0,$V212&gt;1),15,IF($O212&gt;=20,15,IF($O212&gt;=6,13,10)))),0)</f>
        <v/>
      </c>
      <c r="Z213" s="38">
        <f>$Z212+$Y213</f>
        <v/>
      </c>
      <c r="AA213" s="38">
        <f>IF(AND($B213=1,AND($F$1=7,$I212=0,$P212&gt;1)),1,0)+IF(AND($C213=1,AND($G$1=7,$J212=0,$Q212&gt;1)),1,0)+IF(AND($D213=1,AND($H$1=7,$K212=0,$R212&gt;1)),1,0)+IF(AND($E213=1,AND($I$1=7,$L212=0,$S212&gt;1)),1,0)+IF(AND($F213=1,AND($J$1=7,$M212=0,$T212&gt;1)),1,0)+IF(AND($G213=1,AND($K$1=7,$N212=0,$U212&gt;1)),1,0)+IF(AND($H213=1,AND($L$1=7,$O212=0,$V212&gt;1)),1,0)</f>
        <v/>
      </c>
      <c r="AB213" s="38">
        <f>IF(IFERROR('Июл'!$I27,"")="",0,$AB212+1)</f>
        <v/>
      </c>
    </row>
    <row r="214" spans="1:28">
      <c r="A214" s="38">
        <f>IF($B$1&gt;=DATE(2026,7,23),1,0)</f>
        <v/>
      </c>
      <c r="B214" s="38">
        <f>IFERROR(IF('Июл'!$B28=TRUE,1,0),0)</f>
        <v/>
      </c>
      <c r="C214" s="38">
        <f>IFERROR(IF('Июл'!$C28=TRUE,1,0),0)</f>
        <v/>
      </c>
      <c r="D214" s="38">
        <f>IFERROR(IF('Июл'!$D28=TRUE,1,0),0)</f>
        <v/>
      </c>
      <c r="E214" s="38">
        <f>IFERROR(IF('Июл'!$E28=TRUE,1,0),0)</f>
        <v/>
      </c>
      <c r="F214" s="38">
        <f>IFERROR(IF('Июл'!$F28=TRUE,1,0),0)</f>
        <v/>
      </c>
      <c r="G214" s="38">
        <f>IFERROR(IF('Июл'!$G28=TRUE,1,0),0)</f>
        <v/>
      </c>
      <c r="H214" s="38">
        <f>IFERROR(IF('Июл'!$H28=TRUE,1,0),0)</f>
        <v/>
      </c>
      <c r="I214" s="38">
        <f>IF($A214=0,$I213,IF($B214=1,$I213+1,IF($P214&lt;=1,$I213,0)))</f>
        <v/>
      </c>
      <c r="J214" s="38">
        <f>IF($A214=0,$J213,IF($C214=1,$J213+1,IF($Q214&lt;=1,$J213,0)))</f>
        <v/>
      </c>
      <c r="K214" s="38">
        <f>IF($A214=0,$K213,IF($D214=1,$K213+1,IF($R214&lt;=1,$K213,0)))</f>
        <v/>
      </c>
      <c r="L214" s="38">
        <f>IF($A214=0,$L213,IF($E214=1,$L213+1,IF($S214&lt;=1,$L213,0)))</f>
        <v/>
      </c>
      <c r="M214" s="38">
        <f>IF($A214=0,$M213,IF($F214=1,$M213+1,IF($T214&lt;=1,$M213,0)))</f>
        <v/>
      </c>
      <c r="N214" s="38">
        <f>IF($A214=0,$N213,IF($G214=1,$N213+1,IF($U214&lt;=1,$N213,0)))</f>
        <v/>
      </c>
      <c r="O214" s="38">
        <f>IF($A214=0,$O213,IF($H214=1,$O213+1,IF($V214&lt;=1,$O213,0)))</f>
        <v/>
      </c>
      <c r="P214" s="38">
        <f>IF($A214=0,$P213,$P213+IF($B214=1,0,1))</f>
        <v/>
      </c>
      <c r="Q214" s="38">
        <f>IF($A214=0,$Q213,$Q213+IF($C214=1,0,1))</f>
        <v/>
      </c>
      <c r="R214" s="38">
        <f>IF($A214=0,$R213,$R213+IF($D214=1,0,1))</f>
        <v/>
      </c>
      <c r="S214" s="38">
        <f>IF($A214=0,$S213,$S213+IF($E214=1,0,1))</f>
        <v/>
      </c>
      <c r="T214" s="38">
        <f>IF($A214=0,$T213,$T213+IF($F214=1,0,1))</f>
        <v/>
      </c>
      <c r="U214" s="38">
        <f>IF($A214=0,$U213,$U213+IF($G214=1,0,1))</f>
        <v/>
      </c>
      <c r="V214" s="38">
        <f>IF($A214=0,$V213,$V213+IF($H214=1,0,1))</f>
        <v/>
      </c>
      <c r="W214" s="38">
        <f>SUM($B214:$H214)</f>
        <v/>
      </c>
      <c r="X214" s="38">
        <f>IF(AND($A214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214=1),1,0)+IF(AND($G$1=7,$C214=1),1,0)+IF(AND($H$1=7,$D214=1),1,0)+IF(AND($I$1=7,$E214=1),1,0)+IF(AND($J$1=7,$F214=1),1,0)+IF(AND($K$1=7,$G214=1),1,0)+IF(AND($L$1=7,$H214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4" s="38">
        <f>IF($B214=1,IF($F$1&lt;7,10,IF(AND($F$1=7,$I213=0,$P213&gt;1),15,IF($I213&gt;=20,15,IF($I213&gt;=6,13,10)))),0)+IF($C214=1,IF($G$1&lt;7,10,IF(AND($G$1=7,$J213=0,$Q213&gt;1),15,IF($J213&gt;=20,15,IF($J213&gt;=6,13,10)))),0)+IF($D214=1,IF($H$1&lt;7,10,IF(AND($H$1=7,$K213=0,$R213&gt;1),15,IF($K213&gt;=20,15,IF($K213&gt;=6,13,10)))),0)+IF($E214=1,IF($I$1&lt;7,10,IF(AND($I$1=7,$L213=0,$S213&gt;1),15,IF($L213&gt;=20,15,IF($L213&gt;=6,13,10)))),0)+IF($F214=1,IF($J$1&lt;7,10,IF(AND($J$1=7,$M213=0,$T213&gt;1),15,IF($M213&gt;=20,15,IF($M213&gt;=6,13,10)))),0)+IF($G214=1,IF($K$1&lt;7,10,IF(AND($K$1=7,$N213=0,$U213&gt;1),15,IF($N213&gt;=20,15,IF($N213&gt;=6,13,10)))),0)+IF($H214=1,IF($L$1&lt;7,10,IF(AND($L$1=7,$O213=0,$V213&gt;1),15,IF($O213&gt;=20,15,IF($O213&gt;=6,13,10)))),0)</f>
        <v/>
      </c>
      <c r="Z214" s="38">
        <f>$Z213+$Y214</f>
        <v/>
      </c>
      <c r="AA214" s="38">
        <f>IF(AND($B214=1,AND($F$1=7,$I213=0,$P213&gt;1)),1,0)+IF(AND($C214=1,AND($G$1=7,$J213=0,$Q213&gt;1)),1,0)+IF(AND($D214=1,AND($H$1=7,$K213=0,$R213&gt;1)),1,0)+IF(AND($E214=1,AND($I$1=7,$L213=0,$S213&gt;1)),1,0)+IF(AND($F214=1,AND($J$1=7,$M213=0,$T213&gt;1)),1,0)+IF(AND($G214=1,AND($K$1=7,$N213=0,$U213&gt;1)),1,0)+IF(AND($H214=1,AND($L$1=7,$O213=0,$V213&gt;1)),1,0)</f>
        <v/>
      </c>
      <c r="AB214" s="38">
        <f>IF(IFERROR('Июл'!$I28,"")="",0,$AB213+1)</f>
        <v/>
      </c>
    </row>
    <row r="215" spans="1:28">
      <c r="A215" s="38">
        <f>IF($B$1&gt;=DATE(2026,7,24),1,0)</f>
        <v/>
      </c>
      <c r="B215" s="38">
        <f>IFERROR(IF('Июл'!$B29=TRUE,1,0),0)</f>
        <v/>
      </c>
      <c r="C215" s="38">
        <f>IFERROR(IF('Июл'!$C29=TRUE,1,0),0)</f>
        <v/>
      </c>
      <c r="D215" s="38">
        <f>IFERROR(IF('Июл'!$D29=TRUE,1,0),0)</f>
        <v/>
      </c>
      <c r="E215" s="38">
        <f>IFERROR(IF('Июл'!$E29=TRUE,1,0),0)</f>
        <v/>
      </c>
      <c r="F215" s="38">
        <f>IFERROR(IF('Июл'!$F29=TRUE,1,0),0)</f>
        <v/>
      </c>
      <c r="G215" s="38">
        <f>IFERROR(IF('Июл'!$G29=TRUE,1,0),0)</f>
        <v/>
      </c>
      <c r="H215" s="38">
        <f>IFERROR(IF('Июл'!$H29=TRUE,1,0),0)</f>
        <v/>
      </c>
      <c r="I215" s="38">
        <f>IF($A215=0,$I214,IF($B215=1,$I214+1,IF($P215&lt;=1,$I214,0)))</f>
        <v/>
      </c>
      <c r="J215" s="38">
        <f>IF($A215=0,$J214,IF($C215=1,$J214+1,IF($Q215&lt;=1,$J214,0)))</f>
        <v/>
      </c>
      <c r="K215" s="38">
        <f>IF($A215=0,$K214,IF($D215=1,$K214+1,IF($R215&lt;=1,$K214,0)))</f>
        <v/>
      </c>
      <c r="L215" s="38">
        <f>IF($A215=0,$L214,IF($E215=1,$L214+1,IF($S215&lt;=1,$L214,0)))</f>
        <v/>
      </c>
      <c r="M215" s="38">
        <f>IF($A215=0,$M214,IF($F215=1,$M214+1,IF($T215&lt;=1,$M214,0)))</f>
        <v/>
      </c>
      <c r="N215" s="38">
        <f>IF($A215=0,$N214,IF($G215=1,$N214+1,IF($U215&lt;=1,$N214,0)))</f>
        <v/>
      </c>
      <c r="O215" s="38">
        <f>IF($A215=0,$O214,IF($H215=1,$O214+1,IF($V215&lt;=1,$O214,0)))</f>
        <v/>
      </c>
      <c r="P215" s="38">
        <f>IF($A215=0,$P214,$P214+IF($B215=1,0,1))</f>
        <v/>
      </c>
      <c r="Q215" s="38">
        <f>IF($A215=0,$Q214,$Q214+IF($C215=1,0,1))</f>
        <v/>
      </c>
      <c r="R215" s="38">
        <f>IF($A215=0,$R214,$R214+IF($D215=1,0,1))</f>
        <v/>
      </c>
      <c r="S215" s="38">
        <f>IF($A215=0,$S214,$S214+IF($E215=1,0,1))</f>
        <v/>
      </c>
      <c r="T215" s="38">
        <f>IF($A215=0,$T214,$T214+IF($F215=1,0,1))</f>
        <v/>
      </c>
      <c r="U215" s="38">
        <f>IF($A215=0,$U214,$U214+IF($G215=1,0,1))</f>
        <v/>
      </c>
      <c r="V215" s="38">
        <f>IF($A215=0,$V214,$V214+IF($H215=1,0,1))</f>
        <v/>
      </c>
      <c r="W215" s="38">
        <f>SUM($B215:$H215)</f>
        <v/>
      </c>
      <c r="X215" s="38">
        <f>IF(AND($A215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215=1),1,0)+IF(AND($G$1=7,$C215=1),1,0)+IF(AND($H$1=7,$D215=1),1,0)+IF(AND($I$1=7,$E215=1),1,0)+IF(AND($J$1=7,$F215=1),1,0)+IF(AND($K$1=7,$G215=1),1,0)+IF(AND($L$1=7,$H215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5" s="38">
        <f>IF($B215=1,IF($F$1&lt;7,10,IF(AND($F$1=7,$I214=0,$P214&gt;1),15,IF($I214&gt;=20,15,IF($I214&gt;=6,13,10)))),0)+IF($C215=1,IF($G$1&lt;7,10,IF(AND($G$1=7,$J214=0,$Q214&gt;1),15,IF($J214&gt;=20,15,IF($J214&gt;=6,13,10)))),0)+IF($D215=1,IF($H$1&lt;7,10,IF(AND($H$1=7,$K214=0,$R214&gt;1),15,IF($K214&gt;=20,15,IF($K214&gt;=6,13,10)))),0)+IF($E215=1,IF($I$1&lt;7,10,IF(AND($I$1=7,$L214=0,$S214&gt;1),15,IF($L214&gt;=20,15,IF($L214&gt;=6,13,10)))),0)+IF($F215=1,IF($J$1&lt;7,10,IF(AND($J$1=7,$M214=0,$T214&gt;1),15,IF($M214&gt;=20,15,IF($M214&gt;=6,13,10)))),0)+IF($G215=1,IF($K$1&lt;7,10,IF(AND($K$1=7,$N214=0,$U214&gt;1),15,IF($N214&gt;=20,15,IF($N214&gt;=6,13,10)))),0)+IF($H215=1,IF($L$1&lt;7,10,IF(AND($L$1=7,$O214=0,$V214&gt;1),15,IF($O214&gt;=20,15,IF($O214&gt;=6,13,10)))),0)</f>
        <v/>
      </c>
      <c r="Z215" s="38">
        <f>$Z214+$Y215</f>
        <v/>
      </c>
      <c r="AA215" s="38">
        <f>IF(AND($B215=1,AND($F$1=7,$I214=0,$P214&gt;1)),1,0)+IF(AND($C215=1,AND($G$1=7,$J214=0,$Q214&gt;1)),1,0)+IF(AND($D215=1,AND($H$1=7,$K214=0,$R214&gt;1)),1,0)+IF(AND($E215=1,AND($I$1=7,$L214=0,$S214&gt;1)),1,0)+IF(AND($F215=1,AND($J$1=7,$M214=0,$T214&gt;1)),1,0)+IF(AND($G215=1,AND($K$1=7,$N214=0,$U214&gt;1)),1,0)+IF(AND($H215=1,AND($L$1=7,$O214=0,$V214&gt;1)),1,0)</f>
        <v/>
      </c>
      <c r="AB215" s="38">
        <f>IF(IFERROR('Июл'!$I29,"")="",0,$AB214+1)</f>
        <v/>
      </c>
    </row>
    <row r="216" spans="1:28">
      <c r="A216" s="38">
        <f>IF($B$1&gt;=DATE(2026,7,25),1,0)</f>
        <v/>
      </c>
      <c r="B216" s="38">
        <f>IFERROR(IF('Июл'!$B30=TRUE,1,0),0)</f>
        <v/>
      </c>
      <c r="C216" s="38">
        <f>IFERROR(IF('Июл'!$C30=TRUE,1,0),0)</f>
        <v/>
      </c>
      <c r="D216" s="38">
        <f>IFERROR(IF('Июл'!$D30=TRUE,1,0),0)</f>
        <v/>
      </c>
      <c r="E216" s="38">
        <f>IFERROR(IF('Июл'!$E30=TRUE,1,0),0)</f>
        <v/>
      </c>
      <c r="F216" s="38">
        <f>IFERROR(IF('Июл'!$F30=TRUE,1,0),0)</f>
        <v/>
      </c>
      <c r="G216" s="38">
        <f>IFERROR(IF('Июл'!$G30=TRUE,1,0),0)</f>
        <v/>
      </c>
      <c r="H216" s="38">
        <f>IFERROR(IF('Июл'!$H30=TRUE,1,0),0)</f>
        <v/>
      </c>
      <c r="I216" s="38">
        <f>IF($A216=0,$I215,IF($B216=1,$I215+1,IF($P216&lt;=1,$I215,0)))</f>
        <v/>
      </c>
      <c r="J216" s="38">
        <f>IF($A216=0,$J215,IF($C216=1,$J215+1,IF($Q216&lt;=1,$J215,0)))</f>
        <v/>
      </c>
      <c r="K216" s="38">
        <f>IF($A216=0,$K215,IF($D216=1,$K215+1,IF($R216&lt;=1,$K215,0)))</f>
        <v/>
      </c>
      <c r="L216" s="38">
        <f>IF($A216=0,$L215,IF($E216=1,$L215+1,IF($S216&lt;=1,$L215,0)))</f>
        <v/>
      </c>
      <c r="M216" s="38">
        <f>IF($A216=0,$M215,IF($F216=1,$M215+1,IF($T216&lt;=1,$M215,0)))</f>
        <v/>
      </c>
      <c r="N216" s="38">
        <f>IF($A216=0,$N215,IF($G216=1,$N215+1,IF($U216&lt;=1,$N215,0)))</f>
        <v/>
      </c>
      <c r="O216" s="38">
        <f>IF($A216=0,$O215,IF($H216=1,$O215+1,IF($V216&lt;=1,$O215,0)))</f>
        <v/>
      </c>
      <c r="P216" s="38">
        <f>IF($A216=0,$P215,$P215+IF($B216=1,0,1))</f>
        <v/>
      </c>
      <c r="Q216" s="38">
        <f>IF($A216=0,$Q215,$Q215+IF($C216=1,0,1))</f>
        <v/>
      </c>
      <c r="R216" s="38">
        <f>IF($A216=0,$R215,$R215+IF($D216=1,0,1))</f>
        <v/>
      </c>
      <c r="S216" s="38">
        <f>IF($A216=0,$S215,$S215+IF($E216=1,0,1))</f>
        <v/>
      </c>
      <c r="T216" s="38">
        <f>IF($A216=0,$T215,$T215+IF($F216=1,0,1))</f>
        <v/>
      </c>
      <c r="U216" s="38">
        <f>IF($A216=0,$U215,$U215+IF($G216=1,0,1))</f>
        <v/>
      </c>
      <c r="V216" s="38">
        <f>IF($A216=0,$V215,$V215+IF($H216=1,0,1))</f>
        <v/>
      </c>
      <c r="W216" s="38">
        <f>SUM($B216:$H216)</f>
        <v/>
      </c>
      <c r="X216" s="38">
        <f>IF(AND($A216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216=1),1,0)+IF(AND($G$1=7,$C216=1),1,0)+IF(AND($H$1=7,$D216=1),1,0)+IF(AND($I$1=7,$E216=1),1,0)+IF(AND($J$1=7,$F216=1),1,0)+IF(AND($K$1=7,$G216=1),1,0)+IF(AND($L$1=7,$H216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6" s="38">
        <f>IF($B216=1,IF($F$1&lt;7,10,IF(AND($F$1=7,$I215=0,$P215&gt;1),15,IF($I215&gt;=20,15,IF($I215&gt;=6,13,10)))),0)+IF($C216=1,IF($G$1&lt;7,10,IF(AND($G$1=7,$J215=0,$Q215&gt;1),15,IF($J215&gt;=20,15,IF($J215&gt;=6,13,10)))),0)+IF($D216=1,IF($H$1&lt;7,10,IF(AND($H$1=7,$K215=0,$R215&gt;1),15,IF($K215&gt;=20,15,IF($K215&gt;=6,13,10)))),0)+IF($E216=1,IF($I$1&lt;7,10,IF(AND($I$1=7,$L215=0,$S215&gt;1),15,IF($L215&gt;=20,15,IF($L215&gt;=6,13,10)))),0)+IF($F216=1,IF($J$1&lt;7,10,IF(AND($J$1=7,$M215=0,$T215&gt;1),15,IF($M215&gt;=20,15,IF($M215&gt;=6,13,10)))),0)+IF($G216=1,IF($K$1&lt;7,10,IF(AND($K$1=7,$N215=0,$U215&gt;1),15,IF($N215&gt;=20,15,IF($N215&gt;=6,13,10)))),0)+IF($H216=1,IF($L$1&lt;7,10,IF(AND($L$1=7,$O215=0,$V215&gt;1),15,IF($O215&gt;=20,15,IF($O215&gt;=6,13,10)))),0)</f>
        <v/>
      </c>
      <c r="Z216" s="38">
        <f>$Z215+$Y216</f>
        <v/>
      </c>
      <c r="AA216" s="38">
        <f>IF(AND($B216=1,AND($F$1=7,$I215=0,$P215&gt;1)),1,0)+IF(AND($C216=1,AND($G$1=7,$J215=0,$Q215&gt;1)),1,0)+IF(AND($D216=1,AND($H$1=7,$K215=0,$R215&gt;1)),1,0)+IF(AND($E216=1,AND($I$1=7,$L215=0,$S215&gt;1)),1,0)+IF(AND($F216=1,AND($J$1=7,$M215=0,$T215&gt;1)),1,0)+IF(AND($G216=1,AND($K$1=7,$N215=0,$U215&gt;1)),1,0)+IF(AND($H216=1,AND($L$1=7,$O215=0,$V215&gt;1)),1,0)</f>
        <v/>
      </c>
      <c r="AB216" s="38">
        <f>IF(IFERROR('Июл'!$I30,"")="",0,$AB215+1)</f>
        <v/>
      </c>
    </row>
    <row r="217" spans="1:28">
      <c r="A217" s="38">
        <f>IF($B$1&gt;=DATE(2026,7,26),1,0)</f>
        <v/>
      </c>
      <c r="B217" s="38">
        <f>IFERROR(IF('Июл'!$B31=TRUE,1,0),0)</f>
        <v/>
      </c>
      <c r="C217" s="38">
        <f>IFERROR(IF('Июл'!$C31=TRUE,1,0),0)</f>
        <v/>
      </c>
      <c r="D217" s="38">
        <f>IFERROR(IF('Июл'!$D31=TRUE,1,0),0)</f>
        <v/>
      </c>
      <c r="E217" s="38">
        <f>IFERROR(IF('Июл'!$E31=TRUE,1,0),0)</f>
        <v/>
      </c>
      <c r="F217" s="38">
        <f>IFERROR(IF('Июл'!$F31=TRUE,1,0),0)</f>
        <v/>
      </c>
      <c r="G217" s="38">
        <f>IFERROR(IF('Июл'!$G31=TRUE,1,0),0)</f>
        <v/>
      </c>
      <c r="H217" s="38">
        <f>IFERROR(IF('Июл'!$H31=TRUE,1,0),0)</f>
        <v/>
      </c>
      <c r="I217" s="38">
        <f>IF($A217=0,$I216,IF($B217=1,$I216+1,IF($P217&lt;=1,$I216,0)))</f>
        <v/>
      </c>
      <c r="J217" s="38">
        <f>IF($A217=0,$J216,IF($C217=1,$J216+1,IF($Q217&lt;=1,$J216,0)))</f>
        <v/>
      </c>
      <c r="K217" s="38">
        <f>IF($A217=0,$K216,IF($D217=1,$K216+1,IF($R217&lt;=1,$K216,0)))</f>
        <v/>
      </c>
      <c r="L217" s="38">
        <f>IF($A217=0,$L216,IF($E217=1,$L216+1,IF($S217&lt;=1,$L216,0)))</f>
        <v/>
      </c>
      <c r="M217" s="38">
        <f>IF($A217=0,$M216,IF($F217=1,$M216+1,IF($T217&lt;=1,$M216,0)))</f>
        <v/>
      </c>
      <c r="N217" s="38">
        <f>IF($A217=0,$N216,IF($G217=1,$N216+1,IF($U217&lt;=1,$N216,0)))</f>
        <v/>
      </c>
      <c r="O217" s="38">
        <f>IF($A217=0,$O216,IF($H217=1,$O216+1,IF($V217&lt;=1,$O216,0)))</f>
        <v/>
      </c>
      <c r="P217" s="38">
        <f>IF($A217=0,$P216,$P216+IF($B217=1,0,1))</f>
        <v/>
      </c>
      <c r="Q217" s="38">
        <f>IF($A217=0,$Q216,$Q216+IF($C217=1,0,1))</f>
        <v/>
      </c>
      <c r="R217" s="38">
        <f>IF($A217=0,$R216,$R216+IF($D217=1,0,1))</f>
        <v/>
      </c>
      <c r="S217" s="38">
        <f>IF($A217=0,$S216,$S216+IF($E217=1,0,1))</f>
        <v/>
      </c>
      <c r="T217" s="38">
        <f>IF($A217=0,$T216,$T216+IF($F217=1,0,1))</f>
        <v/>
      </c>
      <c r="U217" s="38">
        <f>IF($A217=0,$U216,$U216+IF($G217=1,0,1))</f>
        <v/>
      </c>
      <c r="V217" s="38">
        <f>IF($A217=0,$V216,$V216+IF($H217=1,0,1))</f>
        <v/>
      </c>
      <c r="W217" s="38">
        <f>SUM($B217:$H217)</f>
        <v/>
      </c>
      <c r="X217" s="38">
        <f>IF(AND($A217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217=1),1,0)+IF(AND($G$1=7,$C217=1),1,0)+IF(AND($H$1=7,$D217=1),1,0)+IF(AND($I$1=7,$E217=1),1,0)+IF(AND($J$1=7,$F217=1),1,0)+IF(AND($K$1=7,$G217=1),1,0)+IF(AND($L$1=7,$H217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7" s="38">
        <f>IF($B217=1,IF($F$1&lt;7,10,IF(AND($F$1=7,$I216=0,$P216&gt;1),15,IF($I216&gt;=20,15,IF($I216&gt;=6,13,10)))),0)+IF($C217=1,IF($G$1&lt;7,10,IF(AND($G$1=7,$J216=0,$Q216&gt;1),15,IF($J216&gt;=20,15,IF($J216&gt;=6,13,10)))),0)+IF($D217=1,IF($H$1&lt;7,10,IF(AND($H$1=7,$K216=0,$R216&gt;1),15,IF($K216&gt;=20,15,IF($K216&gt;=6,13,10)))),0)+IF($E217=1,IF($I$1&lt;7,10,IF(AND($I$1=7,$L216=0,$S216&gt;1),15,IF($L216&gt;=20,15,IF($L216&gt;=6,13,10)))),0)+IF($F217=1,IF($J$1&lt;7,10,IF(AND($J$1=7,$M216=0,$T216&gt;1),15,IF($M216&gt;=20,15,IF($M216&gt;=6,13,10)))),0)+IF($G217=1,IF($K$1&lt;7,10,IF(AND($K$1=7,$N216=0,$U216&gt;1),15,IF($N216&gt;=20,15,IF($N216&gt;=6,13,10)))),0)+IF($H217=1,IF($L$1&lt;7,10,IF(AND($L$1=7,$O216=0,$V216&gt;1),15,IF($O216&gt;=20,15,IF($O216&gt;=6,13,10)))),0)</f>
        <v/>
      </c>
      <c r="Z217" s="38">
        <f>$Z216+$Y217</f>
        <v/>
      </c>
      <c r="AA217" s="38">
        <f>IF(AND($B217=1,AND($F$1=7,$I216=0,$P216&gt;1)),1,0)+IF(AND($C217=1,AND($G$1=7,$J216=0,$Q216&gt;1)),1,0)+IF(AND($D217=1,AND($H$1=7,$K216=0,$R216&gt;1)),1,0)+IF(AND($E217=1,AND($I$1=7,$L216=0,$S216&gt;1)),1,0)+IF(AND($F217=1,AND($J$1=7,$M216=0,$T216&gt;1)),1,0)+IF(AND($G217=1,AND($K$1=7,$N216=0,$U216&gt;1)),1,0)+IF(AND($H217=1,AND($L$1=7,$O216=0,$V216&gt;1)),1,0)</f>
        <v/>
      </c>
      <c r="AB217" s="38">
        <f>IF(IFERROR('Июл'!$I31,"")="",0,$AB216+1)</f>
        <v/>
      </c>
    </row>
    <row r="218" spans="1:28">
      <c r="A218" s="38">
        <f>IF($B$1&gt;=DATE(2026,7,27),1,0)</f>
        <v/>
      </c>
      <c r="B218" s="38">
        <f>IFERROR(IF('Июл'!$B32=TRUE,1,0),0)</f>
        <v/>
      </c>
      <c r="C218" s="38">
        <f>IFERROR(IF('Июл'!$C32=TRUE,1,0),0)</f>
        <v/>
      </c>
      <c r="D218" s="38">
        <f>IFERROR(IF('Июл'!$D32=TRUE,1,0),0)</f>
        <v/>
      </c>
      <c r="E218" s="38">
        <f>IFERROR(IF('Июл'!$E32=TRUE,1,0),0)</f>
        <v/>
      </c>
      <c r="F218" s="38">
        <f>IFERROR(IF('Июл'!$F32=TRUE,1,0),0)</f>
        <v/>
      </c>
      <c r="G218" s="38">
        <f>IFERROR(IF('Июл'!$G32=TRUE,1,0),0)</f>
        <v/>
      </c>
      <c r="H218" s="38">
        <f>IFERROR(IF('Июл'!$H32=TRUE,1,0),0)</f>
        <v/>
      </c>
      <c r="I218" s="38">
        <f>IF($A218=0,$I217,IF($B218=1,$I217+1,IF($P218&lt;=1,$I217,0)))</f>
        <v/>
      </c>
      <c r="J218" s="38">
        <f>IF($A218=0,$J217,IF($C218=1,$J217+1,IF($Q218&lt;=1,$J217,0)))</f>
        <v/>
      </c>
      <c r="K218" s="38">
        <f>IF($A218=0,$K217,IF($D218=1,$K217+1,IF($R218&lt;=1,$K217,0)))</f>
        <v/>
      </c>
      <c r="L218" s="38">
        <f>IF($A218=0,$L217,IF($E218=1,$L217+1,IF($S218&lt;=1,$L217,0)))</f>
        <v/>
      </c>
      <c r="M218" s="38">
        <f>IF($A218=0,$M217,IF($F218=1,$M217+1,IF($T218&lt;=1,$M217,0)))</f>
        <v/>
      </c>
      <c r="N218" s="38">
        <f>IF($A218=0,$N217,IF($G218=1,$N217+1,IF($U218&lt;=1,$N217,0)))</f>
        <v/>
      </c>
      <c r="O218" s="38">
        <f>IF($A218=0,$O217,IF($H218=1,$O217+1,IF($V218&lt;=1,$O217,0)))</f>
        <v/>
      </c>
      <c r="P218" s="38">
        <f>IF($A218=0,$P217,$P217+IF($B218=1,0,1))</f>
        <v/>
      </c>
      <c r="Q218" s="38">
        <f>IF($A218=0,$Q217,$Q217+IF($C218=1,0,1))</f>
        <v/>
      </c>
      <c r="R218" s="38">
        <f>IF($A218=0,$R217,$R217+IF($D218=1,0,1))</f>
        <v/>
      </c>
      <c r="S218" s="38">
        <f>IF($A218=0,$S217,$S217+IF($E218=1,0,1))</f>
        <v/>
      </c>
      <c r="T218" s="38">
        <f>IF($A218=0,$T217,$T217+IF($F218=1,0,1))</f>
        <v/>
      </c>
      <c r="U218" s="38">
        <f>IF($A218=0,$U217,$U217+IF($G218=1,0,1))</f>
        <v/>
      </c>
      <c r="V218" s="38">
        <f>IF($A218=0,$V217,$V217+IF($H218=1,0,1))</f>
        <v/>
      </c>
      <c r="W218" s="38">
        <f>SUM($B218:$H218)</f>
        <v/>
      </c>
      <c r="X218" s="38">
        <f>IF(AND($A218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218=1),1,0)+IF(AND($G$1=7,$C218=1),1,0)+IF(AND($H$1=7,$D218=1),1,0)+IF(AND($I$1=7,$E218=1),1,0)+IF(AND($J$1=7,$F218=1),1,0)+IF(AND($K$1=7,$G218=1),1,0)+IF(AND($L$1=7,$H218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8" s="38">
        <f>IF($B218=1,IF($F$1&lt;7,10,IF(AND($F$1=7,$I217=0,$P217&gt;1),15,IF($I217&gt;=20,15,IF($I217&gt;=6,13,10)))),0)+IF($C218=1,IF($G$1&lt;7,10,IF(AND($G$1=7,$J217=0,$Q217&gt;1),15,IF($J217&gt;=20,15,IF($J217&gt;=6,13,10)))),0)+IF($D218=1,IF($H$1&lt;7,10,IF(AND($H$1=7,$K217=0,$R217&gt;1),15,IF($K217&gt;=20,15,IF($K217&gt;=6,13,10)))),0)+IF($E218=1,IF($I$1&lt;7,10,IF(AND($I$1=7,$L217=0,$S217&gt;1),15,IF($L217&gt;=20,15,IF($L217&gt;=6,13,10)))),0)+IF($F218=1,IF($J$1&lt;7,10,IF(AND($J$1=7,$M217=0,$T217&gt;1),15,IF($M217&gt;=20,15,IF($M217&gt;=6,13,10)))),0)+IF($G218=1,IF($K$1&lt;7,10,IF(AND($K$1=7,$N217=0,$U217&gt;1),15,IF($N217&gt;=20,15,IF($N217&gt;=6,13,10)))),0)+IF($H218=1,IF($L$1&lt;7,10,IF(AND($L$1=7,$O217=0,$V217&gt;1),15,IF($O217&gt;=20,15,IF($O217&gt;=6,13,10)))),0)</f>
        <v/>
      </c>
      <c r="Z218" s="38">
        <f>$Z217+$Y218</f>
        <v/>
      </c>
      <c r="AA218" s="38">
        <f>IF(AND($B218=1,AND($F$1=7,$I217=0,$P217&gt;1)),1,0)+IF(AND($C218=1,AND($G$1=7,$J217=0,$Q217&gt;1)),1,0)+IF(AND($D218=1,AND($H$1=7,$K217=0,$R217&gt;1)),1,0)+IF(AND($E218=1,AND($I$1=7,$L217=0,$S217&gt;1)),1,0)+IF(AND($F218=1,AND($J$1=7,$M217=0,$T217&gt;1)),1,0)+IF(AND($G218=1,AND($K$1=7,$N217=0,$U217&gt;1)),1,0)+IF(AND($H218=1,AND($L$1=7,$O217=0,$V217&gt;1)),1,0)</f>
        <v/>
      </c>
      <c r="AB218" s="38">
        <f>IF(IFERROR('Июл'!$I32,"")="",0,$AB217+1)</f>
        <v/>
      </c>
    </row>
    <row r="219" spans="1:28">
      <c r="A219" s="38">
        <f>IF($B$1&gt;=DATE(2026,7,28),1,0)</f>
        <v/>
      </c>
      <c r="B219" s="38">
        <f>IFERROR(IF('Июл'!$B33=TRUE,1,0),0)</f>
        <v/>
      </c>
      <c r="C219" s="38">
        <f>IFERROR(IF('Июл'!$C33=TRUE,1,0),0)</f>
        <v/>
      </c>
      <c r="D219" s="38">
        <f>IFERROR(IF('Июл'!$D33=TRUE,1,0),0)</f>
        <v/>
      </c>
      <c r="E219" s="38">
        <f>IFERROR(IF('Июл'!$E33=TRUE,1,0),0)</f>
        <v/>
      </c>
      <c r="F219" s="38">
        <f>IFERROR(IF('Июл'!$F33=TRUE,1,0),0)</f>
        <v/>
      </c>
      <c r="G219" s="38">
        <f>IFERROR(IF('Июл'!$G33=TRUE,1,0),0)</f>
        <v/>
      </c>
      <c r="H219" s="38">
        <f>IFERROR(IF('Июл'!$H33=TRUE,1,0),0)</f>
        <v/>
      </c>
      <c r="I219" s="38">
        <f>IF($A219=0,$I218,IF($B219=1,$I218+1,IF($P219&lt;=1,$I218,0)))</f>
        <v/>
      </c>
      <c r="J219" s="38">
        <f>IF($A219=0,$J218,IF($C219=1,$J218+1,IF($Q219&lt;=1,$J218,0)))</f>
        <v/>
      </c>
      <c r="K219" s="38">
        <f>IF($A219=0,$K218,IF($D219=1,$K218+1,IF($R219&lt;=1,$K218,0)))</f>
        <v/>
      </c>
      <c r="L219" s="38">
        <f>IF($A219=0,$L218,IF($E219=1,$L218+1,IF($S219&lt;=1,$L218,0)))</f>
        <v/>
      </c>
      <c r="M219" s="38">
        <f>IF($A219=0,$M218,IF($F219=1,$M218+1,IF($T219&lt;=1,$M218,0)))</f>
        <v/>
      </c>
      <c r="N219" s="38">
        <f>IF($A219=0,$N218,IF($G219=1,$N218+1,IF($U219&lt;=1,$N218,0)))</f>
        <v/>
      </c>
      <c r="O219" s="38">
        <f>IF($A219=0,$O218,IF($H219=1,$O218+1,IF($V219&lt;=1,$O218,0)))</f>
        <v/>
      </c>
      <c r="P219" s="38">
        <f>IF($A219=0,$P218,$P218+IF($B219=1,0,1))</f>
        <v/>
      </c>
      <c r="Q219" s="38">
        <f>IF($A219=0,$Q218,$Q218+IF($C219=1,0,1))</f>
        <v/>
      </c>
      <c r="R219" s="38">
        <f>IF($A219=0,$R218,$R218+IF($D219=1,0,1))</f>
        <v/>
      </c>
      <c r="S219" s="38">
        <f>IF($A219=0,$S218,$S218+IF($E219=1,0,1))</f>
        <v/>
      </c>
      <c r="T219" s="38">
        <f>IF($A219=0,$T218,$T218+IF($F219=1,0,1))</f>
        <v/>
      </c>
      <c r="U219" s="38">
        <f>IF($A219=0,$U218,$U218+IF($G219=1,0,1))</f>
        <v/>
      </c>
      <c r="V219" s="38">
        <f>IF($A219=0,$V218,$V218+IF($H219=1,0,1))</f>
        <v/>
      </c>
      <c r="W219" s="38">
        <f>SUM($B219:$H219)</f>
        <v/>
      </c>
      <c r="X219" s="38">
        <f>IF(AND($A219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219=1),1,0)+IF(AND($G$1=7,$C219=1),1,0)+IF(AND($H$1=7,$D219=1),1,0)+IF(AND($I$1=7,$E219=1),1,0)+IF(AND($J$1=7,$F219=1),1,0)+IF(AND($K$1=7,$G219=1),1,0)+IF(AND($L$1=7,$H219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9" s="38">
        <f>IF($B219=1,IF($F$1&lt;7,10,IF(AND($F$1=7,$I218=0,$P218&gt;1),15,IF($I218&gt;=20,15,IF($I218&gt;=6,13,10)))),0)+IF($C219=1,IF($G$1&lt;7,10,IF(AND($G$1=7,$J218=0,$Q218&gt;1),15,IF($J218&gt;=20,15,IF($J218&gt;=6,13,10)))),0)+IF($D219=1,IF($H$1&lt;7,10,IF(AND($H$1=7,$K218=0,$R218&gt;1),15,IF($K218&gt;=20,15,IF($K218&gt;=6,13,10)))),0)+IF($E219=1,IF($I$1&lt;7,10,IF(AND($I$1=7,$L218=0,$S218&gt;1),15,IF($L218&gt;=20,15,IF($L218&gt;=6,13,10)))),0)+IF($F219=1,IF($J$1&lt;7,10,IF(AND($J$1=7,$M218=0,$T218&gt;1),15,IF($M218&gt;=20,15,IF($M218&gt;=6,13,10)))),0)+IF($G219=1,IF($K$1&lt;7,10,IF(AND($K$1=7,$N218=0,$U218&gt;1),15,IF($N218&gt;=20,15,IF($N218&gt;=6,13,10)))),0)+IF($H219=1,IF($L$1&lt;7,10,IF(AND($L$1=7,$O218=0,$V218&gt;1),15,IF($O218&gt;=20,15,IF($O218&gt;=6,13,10)))),0)</f>
        <v/>
      </c>
      <c r="Z219" s="38">
        <f>$Z218+$Y219</f>
        <v/>
      </c>
      <c r="AA219" s="38">
        <f>IF(AND($B219=1,AND($F$1=7,$I218=0,$P218&gt;1)),1,0)+IF(AND($C219=1,AND($G$1=7,$J218=0,$Q218&gt;1)),1,0)+IF(AND($D219=1,AND($H$1=7,$K218=0,$R218&gt;1)),1,0)+IF(AND($E219=1,AND($I$1=7,$L218=0,$S218&gt;1)),1,0)+IF(AND($F219=1,AND($J$1=7,$M218=0,$T218&gt;1)),1,0)+IF(AND($G219=1,AND($K$1=7,$N218=0,$U218&gt;1)),1,0)+IF(AND($H219=1,AND($L$1=7,$O218=0,$V218&gt;1)),1,0)</f>
        <v/>
      </c>
      <c r="AB219" s="38">
        <f>IF(IFERROR('Июл'!$I33,"")="",0,$AB218+1)</f>
        <v/>
      </c>
    </row>
    <row r="220" spans="1:28">
      <c r="A220" s="38">
        <f>IF($B$1&gt;=DATE(2026,7,29),1,0)</f>
        <v/>
      </c>
      <c r="B220" s="38">
        <f>IFERROR(IF('Июл'!$B34=TRUE,1,0),0)</f>
        <v/>
      </c>
      <c r="C220" s="38">
        <f>IFERROR(IF('Июл'!$C34=TRUE,1,0),0)</f>
        <v/>
      </c>
      <c r="D220" s="38">
        <f>IFERROR(IF('Июл'!$D34=TRUE,1,0),0)</f>
        <v/>
      </c>
      <c r="E220" s="38">
        <f>IFERROR(IF('Июл'!$E34=TRUE,1,0),0)</f>
        <v/>
      </c>
      <c r="F220" s="38">
        <f>IFERROR(IF('Июл'!$F34=TRUE,1,0),0)</f>
        <v/>
      </c>
      <c r="G220" s="38">
        <f>IFERROR(IF('Июл'!$G34=TRUE,1,0),0)</f>
        <v/>
      </c>
      <c r="H220" s="38">
        <f>IFERROR(IF('Июл'!$H34=TRUE,1,0),0)</f>
        <v/>
      </c>
      <c r="I220" s="38">
        <f>IF($A220=0,$I219,IF($B220=1,$I219+1,IF($P220&lt;=1,$I219,0)))</f>
        <v/>
      </c>
      <c r="J220" s="38">
        <f>IF($A220=0,$J219,IF($C220=1,$J219+1,IF($Q220&lt;=1,$J219,0)))</f>
        <v/>
      </c>
      <c r="K220" s="38">
        <f>IF($A220=0,$K219,IF($D220=1,$K219+1,IF($R220&lt;=1,$K219,0)))</f>
        <v/>
      </c>
      <c r="L220" s="38">
        <f>IF($A220=0,$L219,IF($E220=1,$L219+1,IF($S220&lt;=1,$L219,0)))</f>
        <v/>
      </c>
      <c r="M220" s="38">
        <f>IF($A220=0,$M219,IF($F220=1,$M219+1,IF($T220&lt;=1,$M219,0)))</f>
        <v/>
      </c>
      <c r="N220" s="38">
        <f>IF($A220=0,$N219,IF($G220=1,$N219+1,IF($U220&lt;=1,$N219,0)))</f>
        <v/>
      </c>
      <c r="O220" s="38">
        <f>IF($A220=0,$O219,IF($H220=1,$O219+1,IF($V220&lt;=1,$O219,0)))</f>
        <v/>
      </c>
      <c r="P220" s="38">
        <f>IF($A220=0,$P219,$P219+IF($B220=1,0,1))</f>
        <v/>
      </c>
      <c r="Q220" s="38">
        <f>IF($A220=0,$Q219,$Q219+IF($C220=1,0,1))</f>
        <v/>
      </c>
      <c r="R220" s="38">
        <f>IF($A220=0,$R219,$R219+IF($D220=1,0,1))</f>
        <v/>
      </c>
      <c r="S220" s="38">
        <f>IF($A220=0,$S219,$S219+IF($E220=1,0,1))</f>
        <v/>
      </c>
      <c r="T220" s="38">
        <f>IF($A220=0,$T219,$T219+IF($F220=1,0,1))</f>
        <v/>
      </c>
      <c r="U220" s="38">
        <f>IF($A220=0,$U219,$U219+IF($G220=1,0,1))</f>
        <v/>
      </c>
      <c r="V220" s="38">
        <f>IF($A220=0,$V219,$V219+IF($H220=1,0,1))</f>
        <v/>
      </c>
      <c r="W220" s="38">
        <f>SUM($B220:$H220)</f>
        <v/>
      </c>
      <c r="X220" s="38">
        <f>IF(AND($A220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220=1),1,0)+IF(AND($G$1=7,$C220=1),1,0)+IF(AND($H$1=7,$D220=1),1,0)+IF(AND($I$1=7,$E220=1),1,0)+IF(AND($J$1=7,$F220=1),1,0)+IF(AND($K$1=7,$G220=1),1,0)+IF(AND($L$1=7,$H220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0" s="38">
        <f>IF($B220=1,IF($F$1&lt;7,10,IF(AND($F$1=7,$I219=0,$P219&gt;1),15,IF($I219&gt;=20,15,IF($I219&gt;=6,13,10)))),0)+IF($C220=1,IF($G$1&lt;7,10,IF(AND($G$1=7,$J219=0,$Q219&gt;1),15,IF($J219&gt;=20,15,IF($J219&gt;=6,13,10)))),0)+IF($D220=1,IF($H$1&lt;7,10,IF(AND($H$1=7,$K219=0,$R219&gt;1),15,IF($K219&gt;=20,15,IF($K219&gt;=6,13,10)))),0)+IF($E220=1,IF($I$1&lt;7,10,IF(AND($I$1=7,$L219=0,$S219&gt;1),15,IF($L219&gt;=20,15,IF($L219&gt;=6,13,10)))),0)+IF($F220=1,IF($J$1&lt;7,10,IF(AND($J$1=7,$M219=0,$T219&gt;1),15,IF($M219&gt;=20,15,IF($M219&gt;=6,13,10)))),0)+IF($G220=1,IF($K$1&lt;7,10,IF(AND($K$1=7,$N219=0,$U219&gt;1),15,IF($N219&gt;=20,15,IF($N219&gt;=6,13,10)))),0)+IF($H220=1,IF($L$1&lt;7,10,IF(AND($L$1=7,$O219=0,$V219&gt;1),15,IF($O219&gt;=20,15,IF($O219&gt;=6,13,10)))),0)</f>
        <v/>
      </c>
      <c r="Z220" s="38">
        <f>$Z219+$Y220</f>
        <v/>
      </c>
      <c r="AA220" s="38">
        <f>IF(AND($B220=1,AND($F$1=7,$I219=0,$P219&gt;1)),1,0)+IF(AND($C220=1,AND($G$1=7,$J219=0,$Q219&gt;1)),1,0)+IF(AND($D220=1,AND($H$1=7,$K219=0,$R219&gt;1)),1,0)+IF(AND($E220=1,AND($I$1=7,$L219=0,$S219&gt;1)),1,0)+IF(AND($F220=1,AND($J$1=7,$M219=0,$T219&gt;1)),1,0)+IF(AND($G220=1,AND($K$1=7,$N219=0,$U219&gt;1)),1,0)+IF(AND($H220=1,AND($L$1=7,$O219=0,$V219&gt;1)),1,0)</f>
        <v/>
      </c>
      <c r="AB220" s="38">
        <f>IF(IFERROR('Июл'!$I34,"")="",0,$AB219+1)</f>
        <v/>
      </c>
    </row>
    <row r="221" spans="1:28">
      <c r="A221" s="38">
        <f>IF($B$1&gt;=DATE(2026,7,30),1,0)</f>
        <v/>
      </c>
      <c r="B221" s="38">
        <f>IFERROR(IF('Июл'!$B35=TRUE,1,0),0)</f>
        <v/>
      </c>
      <c r="C221" s="38">
        <f>IFERROR(IF('Июл'!$C35=TRUE,1,0),0)</f>
        <v/>
      </c>
      <c r="D221" s="38">
        <f>IFERROR(IF('Июл'!$D35=TRUE,1,0),0)</f>
        <v/>
      </c>
      <c r="E221" s="38">
        <f>IFERROR(IF('Июл'!$E35=TRUE,1,0),0)</f>
        <v/>
      </c>
      <c r="F221" s="38">
        <f>IFERROR(IF('Июл'!$F35=TRUE,1,0),0)</f>
        <v/>
      </c>
      <c r="G221" s="38">
        <f>IFERROR(IF('Июл'!$G35=TRUE,1,0),0)</f>
        <v/>
      </c>
      <c r="H221" s="38">
        <f>IFERROR(IF('Июл'!$H35=TRUE,1,0),0)</f>
        <v/>
      </c>
      <c r="I221" s="38">
        <f>IF($A221=0,$I220,IF($B221=1,$I220+1,IF($P221&lt;=1,$I220,0)))</f>
        <v/>
      </c>
      <c r="J221" s="38">
        <f>IF($A221=0,$J220,IF($C221=1,$J220+1,IF($Q221&lt;=1,$J220,0)))</f>
        <v/>
      </c>
      <c r="K221" s="38">
        <f>IF($A221=0,$K220,IF($D221=1,$K220+1,IF($R221&lt;=1,$K220,0)))</f>
        <v/>
      </c>
      <c r="L221" s="38">
        <f>IF($A221=0,$L220,IF($E221=1,$L220+1,IF($S221&lt;=1,$L220,0)))</f>
        <v/>
      </c>
      <c r="M221" s="38">
        <f>IF($A221=0,$M220,IF($F221=1,$M220+1,IF($T221&lt;=1,$M220,0)))</f>
        <v/>
      </c>
      <c r="N221" s="38">
        <f>IF($A221=0,$N220,IF($G221=1,$N220+1,IF($U221&lt;=1,$N220,0)))</f>
        <v/>
      </c>
      <c r="O221" s="38">
        <f>IF($A221=0,$O220,IF($H221=1,$O220+1,IF($V221&lt;=1,$O220,0)))</f>
        <v/>
      </c>
      <c r="P221" s="38">
        <f>IF($A221=0,$P220,$P220+IF($B221=1,0,1))</f>
        <v/>
      </c>
      <c r="Q221" s="38">
        <f>IF($A221=0,$Q220,$Q220+IF($C221=1,0,1))</f>
        <v/>
      </c>
      <c r="R221" s="38">
        <f>IF($A221=0,$R220,$R220+IF($D221=1,0,1))</f>
        <v/>
      </c>
      <c r="S221" s="38">
        <f>IF($A221=0,$S220,$S220+IF($E221=1,0,1))</f>
        <v/>
      </c>
      <c r="T221" s="38">
        <f>IF($A221=0,$T220,$T220+IF($F221=1,0,1))</f>
        <v/>
      </c>
      <c r="U221" s="38">
        <f>IF($A221=0,$U220,$U220+IF($G221=1,0,1))</f>
        <v/>
      </c>
      <c r="V221" s="38">
        <f>IF($A221=0,$V220,$V220+IF($H221=1,0,1))</f>
        <v/>
      </c>
      <c r="W221" s="38">
        <f>SUM($B221:$H221)</f>
        <v/>
      </c>
      <c r="X221" s="38">
        <f>IF(AND($A221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221=1),1,0)+IF(AND($G$1=7,$C221=1),1,0)+IF(AND($H$1=7,$D221=1),1,0)+IF(AND($I$1=7,$E221=1),1,0)+IF(AND($J$1=7,$F221=1),1,0)+IF(AND($K$1=7,$G221=1),1,0)+IF(AND($L$1=7,$H221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1" s="38">
        <f>IF($B221=1,IF($F$1&lt;7,10,IF(AND($F$1=7,$I220=0,$P220&gt;1),15,IF($I220&gt;=20,15,IF($I220&gt;=6,13,10)))),0)+IF($C221=1,IF($G$1&lt;7,10,IF(AND($G$1=7,$J220=0,$Q220&gt;1),15,IF($J220&gt;=20,15,IF($J220&gt;=6,13,10)))),0)+IF($D221=1,IF($H$1&lt;7,10,IF(AND($H$1=7,$K220=0,$R220&gt;1),15,IF($K220&gt;=20,15,IF($K220&gt;=6,13,10)))),0)+IF($E221=1,IF($I$1&lt;7,10,IF(AND($I$1=7,$L220=0,$S220&gt;1),15,IF($L220&gt;=20,15,IF($L220&gt;=6,13,10)))),0)+IF($F221=1,IF($J$1&lt;7,10,IF(AND($J$1=7,$M220=0,$T220&gt;1),15,IF($M220&gt;=20,15,IF($M220&gt;=6,13,10)))),0)+IF($G221=1,IF($K$1&lt;7,10,IF(AND($K$1=7,$N220=0,$U220&gt;1),15,IF($N220&gt;=20,15,IF($N220&gt;=6,13,10)))),0)+IF($H221=1,IF($L$1&lt;7,10,IF(AND($L$1=7,$O220=0,$V220&gt;1),15,IF($O220&gt;=20,15,IF($O220&gt;=6,13,10)))),0)</f>
        <v/>
      </c>
      <c r="Z221" s="38">
        <f>$Z220+$Y221</f>
        <v/>
      </c>
      <c r="AA221" s="38">
        <f>IF(AND($B221=1,AND($F$1=7,$I220=0,$P220&gt;1)),1,0)+IF(AND($C221=1,AND($G$1=7,$J220=0,$Q220&gt;1)),1,0)+IF(AND($D221=1,AND($H$1=7,$K220=0,$R220&gt;1)),1,0)+IF(AND($E221=1,AND($I$1=7,$L220=0,$S220&gt;1)),1,0)+IF(AND($F221=1,AND($J$1=7,$M220=0,$T220&gt;1)),1,0)+IF(AND($G221=1,AND($K$1=7,$N220=0,$U220&gt;1)),1,0)+IF(AND($H221=1,AND($L$1=7,$O220=0,$V220&gt;1)),1,0)</f>
        <v/>
      </c>
      <c r="AB221" s="38">
        <f>IF(IFERROR('Июл'!$I35,"")="",0,$AB220+1)</f>
        <v/>
      </c>
    </row>
    <row r="222" spans="1:28">
      <c r="A222" s="38">
        <f>IF($B$1&gt;=DATE(2026,7,31),1,0)</f>
        <v/>
      </c>
      <c r="B222" s="38">
        <f>IFERROR(IF('Июл'!$B36=TRUE,1,0),0)</f>
        <v/>
      </c>
      <c r="C222" s="38">
        <f>IFERROR(IF('Июл'!$C36=TRUE,1,0),0)</f>
        <v/>
      </c>
      <c r="D222" s="38">
        <f>IFERROR(IF('Июл'!$D36=TRUE,1,0),0)</f>
        <v/>
      </c>
      <c r="E222" s="38">
        <f>IFERROR(IF('Июл'!$E36=TRUE,1,0),0)</f>
        <v/>
      </c>
      <c r="F222" s="38">
        <f>IFERROR(IF('Июл'!$F36=TRUE,1,0),0)</f>
        <v/>
      </c>
      <c r="G222" s="38">
        <f>IFERROR(IF('Июл'!$G36=TRUE,1,0),0)</f>
        <v/>
      </c>
      <c r="H222" s="38">
        <f>IFERROR(IF('Июл'!$H36=TRUE,1,0),0)</f>
        <v/>
      </c>
      <c r="I222" s="38">
        <f>IF($A222=0,$I221,IF($B222=1,$I221+1,IF($P222&lt;=1,$I221,0)))</f>
        <v/>
      </c>
      <c r="J222" s="38">
        <f>IF($A222=0,$J221,IF($C222=1,$J221+1,IF($Q222&lt;=1,$J221,0)))</f>
        <v/>
      </c>
      <c r="K222" s="38">
        <f>IF($A222=0,$K221,IF($D222=1,$K221+1,IF($R222&lt;=1,$K221,0)))</f>
        <v/>
      </c>
      <c r="L222" s="38">
        <f>IF($A222=0,$L221,IF($E222=1,$L221+1,IF($S222&lt;=1,$L221,0)))</f>
        <v/>
      </c>
      <c r="M222" s="38">
        <f>IF($A222=0,$M221,IF($F222=1,$M221+1,IF($T222&lt;=1,$M221,0)))</f>
        <v/>
      </c>
      <c r="N222" s="38">
        <f>IF($A222=0,$N221,IF($G222=1,$N221+1,IF($U222&lt;=1,$N221,0)))</f>
        <v/>
      </c>
      <c r="O222" s="38">
        <f>IF($A222=0,$O221,IF($H222=1,$O221+1,IF($V222&lt;=1,$O221,0)))</f>
        <v/>
      </c>
      <c r="P222" s="38">
        <f>IF($A222=0,$P221,$P221+IF($B222=1,0,1))</f>
        <v/>
      </c>
      <c r="Q222" s="38">
        <f>IF($A222=0,$Q221,$Q221+IF($C222=1,0,1))</f>
        <v/>
      </c>
      <c r="R222" s="38">
        <f>IF($A222=0,$R221,$R221+IF($D222=1,0,1))</f>
        <v/>
      </c>
      <c r="S222" s="38">
        <f>IF($A222=0,$S221,$S221+IF($E222=1,0,1))</f>
        <v/>
      </c>
      <c r="T222" s="38">
        <f>IF($A222=0,$T221,$T221+IF($F222=1,0,1))</f>
        <v/>
      </c>
      <c r="U222" s="38">
        <f>IF($A222=0,$U221,$U221+IF($G222=1,0,1))</f>
        <v/>
      </c>
      <c r="V222" s="38">
        <f>IF($A222=0,$V221,$V221+IF($H222=1,0,1))</f>
        <v/>
      </c>
      <c r="W222" s="38">
        <f>SUM($B222:$H222)</f>
        <v/>
      </c>
      <c r="X222" s="38">
        <f>IF(AND($A222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222=1),1,0)+IF(AND($G$1=7,$C222=1),1,0)+IF(AND($H$1=7,$D222=1),1,0)+IF(AND($I$1=7,$E222=1),1,0)+IF(AND($J$1=7,$F222=1),1,0)+IF(AND($K$1=7,$G222=1),1,0)+IF(AND($L$1=7,$H222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2" s="38">
        <f>IF($B222=1,IF($F$1&lt;7,10,IF(AND($F$1=7,$I221=0,$P221&gt;1),15,IF($I221&gt;=20,15,IF($I221&gt;=6,13,10)))),0)+IF($C222=1,IF($G$1&lt;7,10,IF(AND($G$1=7,$J221=0,$Q221&gt;1),15,IF($J221&gt;=20,15,IF($J221&gt;=6,13,10)))),0)+IF($D222=1,IF($H$1&lt;7,10,IF(AND($H$1=7,$K221=0,$R221&gt;1),15,IF($K221&gt;=20,15,IF($K221&gt;=6,13,10)))),0)+IF($E222=1,IF($I$1&lt;7,10,IF(AND($I$1=7,$L221=0,$S221&gt;1),15,IF($L221&gt;=20,15,IF($L221&gt;=6,13,10)))),0)+IF($F222=1,IF($J$1&lt;7,10,IF(AND($J$1=7,$M221=0,$T221&gt;1),15,IF($M221&gt;=20,15,IF($M221&gt;=6,13,10)))),0)+IF($G222=1,IF($K$1&lt;7,10,IF(AND($K$1=7,$N221=0,$U221&gt;1),15,IF($N221&gt;=20,15,IF($N221&gt;=6,13,10)))),0)+IF($H222=1,IF($L$1&lt;7,10,IF(AND($L$1=7,$O221=0,$V221&gt;1),15,IF($O221&gt;=20,15,IF($O221&gt;=6,13,10)))),0)</f>
        <v/>
      </c>
      <c r="Z222" s="38">
        <f>$Z221+$Y222</f>
        <v/>
      </c>
      <c r="AA222" s="38">
        <f>IF(AND($B222=1,AND($F$1=7,$I221=0,$P221&gt;1)),1,0)+IF(AND($C222=1,AND($G$1=7,$J221=0,$Q221&gt;1)),1,0)+IF(AND($D222=1,AND($H$1=7,$K221=0,$R221&gt;1)),1,0)+IF(AND($E222=1,AND($I$1=7,$L221=0,$S221&gt;1)),1,0)+IF(AND($F222=1,AND($J$1=7,$M221=0,$T221&gt;1)),1,0)+IF(AND($G222=1,AND($K$1=7,$N221=0,$U221&gt;1)),1,0)+IF(AND($H222=1,AND($L$1=7,$O221=0,$V221&gt;1)),1,0)</f>
        <v/>
      </c>
      <c r="AB222" s="38">
        <f>IF(IFERROR('Июл'!$I36,"")="",0,$AB221+1)</f>
        <v/>
      </c>
    </row>
    <row r="223" spans="1:28">
      <c r="A223" s="38">
        <f>IF($B$1&gt;=DATE(2026,8,1),1,0)</f>
        <v/>
      </c>
      <c r="B223" s="38">
        <f>IFERROR(IF('Авг'!$B6=TRUE,1,0),0)</f>
        <v/>
      </c>
      <c r="C223" s="38">
        <f>IFERROR(IF('Авг'!$C6=TRUE,1,0),0)</f>
        <v/>
      </c>
      <c r="D223" s="38">
        <f>IFERROR(IF('Авг'!$D6=TRUE,1,0),0)</f>
        <v/>
      </c>
      <c r="E223" s="38">
        <f>IFERROR(IF('Авг'!$E6=TRUE,1,0),0)</f>
        <v/>
      </c>
      <c r="F223" s="38">
        <f>IFERROR(IF('Авг'!$F6=TRUE,1,0),0)</f>
        <v/>
      </c>
      <c r="G223" s="38">
        <f>IFERROR(IF('Авг'!$G6=TRUE,1,0),0)</f>
        <v/>
      </c>
      <c r="H223" s="38">
        <f>IFERROR(IF('Авг'!$H6=TRUE,1,0),0)</f>
        <v/>
      </c>
      <c r="I223" s="38">
        <f>IF($A223=0,$I222,IF($B223=1,$I222+1,IF($P223&lt;=1,$I222,0)))</f>
        <v/>
      </c>
      <c r="J223" s="38">
        <f>IF($A223=0,$J222,IF($C223=1,$J222+1,IF($Q223&lt;=1,$J222,0)))</f>
        <v/>
      </c>
      <c r="K223" s="38">
        <f>IF($A223=0,$K222,IF($D223=1,$K222+1,IF($R223&lt;=1,$K222,0)))</f>
        <v/>
      </c>
      <c r="L223" s="38">
        <f>IF($A223=0,$L222,IF($E223=1,$L222+1,IF($S223&lt;=1,$L222,0)))</f>
        <v/>
      </c>
      <c r="M223" s="38">
        <f>IF($A223=0,$M222,IF($F223=1,$M222+1,IF($T223&lt;=1,$M222,0)))</f>
        <v/>
      </c>
      <c r="N223" s="38">
        <f>IF($A223=0,$N222,IF($G223=1,$N222+1,IF($U223&lt;=1,$N222,0)))</f>
        <v/>
      </c>
      <c r="O223" s="38">
        <f>IF($A223=0,$O222,IF($H223=1,$O222+1,IF($V223&lt;=1,$O222,0)))</f>
        <v/>
      </c>
      <c r="P223" s="38">
        <f>IF($A223=0,0,0+IF($B223=1,0,1))</f>
        <v/>
      </c>
      <c r="Q223" s="38">
        <f>IF($A223=0,0,0+IF($C223=1,0,1))</f>
        <v/>
      </c>
      <c r="R223" s="38">
        <f>IF($A223=0,0,0+IF($D223=1,0,1))</f>
        <v/>
      </c>
      <c r="S223" s="38">
        <f>IF($A223=0,0,0+IF($E223=1,0,1))</f>
        <v/>
      </c>
      <c r="T223" s="38">
        <f>IF($A223=0,0,0+IF($F223=1,0,1))</f>
        <v/>
      </c>
      <c r="U223" s="38">
        <f>IF($A223=0,0,0+IF($G223=1,0,1))</f>
        <v/>
      </c>
      <c r="V223" s="38">
        <f>IF($A223=0,0,0+IF($H223=1,0,1))</f>
        <v/>
      </c>
      <c r="W223" s="38">
        <f>SUM($B223:$H223)</f>
        <v/>
      </c>
      <c r="X223" s="38">
        <f>IF(AND($A223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223=1),1,0)+IF(AND($G$1=7,$C223=1),1,0)+IF(AND($H$1=7,$D223=1),1,0)+IF(AND($I$1=7,$E223=1),1,0)+IF(AND($J$1=7,$F223=1),1,0)+IF(AND($K$1=7,$G223=1),1,0)+IF(AND($L$1=7,$H223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3" s="38">
        <f>IF($B223=1,IF($F$1&lt;7,10,IF(AND($F$1=7,$I222=0,0&gt;1),15,IF($I222&gt;=20,15,IF($I222&gt;=6,13,10)))),0)+IF($C223=1,IF($G$1&lt;7,10,IF(AND($G$1=7,$J222=0,0&gt;1),15,IF($J222&gt;=20,15,IF($J222&gt;=6,13,10)))),0)+IF($D223=1,IF($H$1&lt;7,10,IF(AND($H$1=7,$K222=0,0&gt;1),15,IF($K222&gt;=20,15,IF($K222&gt;=6,13,10)))),0)+IF($E223=1,IF($I$1&lt;7,10,IF(AND($I$1=7,$L222=0,0&gt;1),15,IF($L222&gt;=20,15,IF($L222&gt;=6,13,10)))),0)+IF($F223=1,IF($J$1&lt;7,10,IF(AND($J$1=7,$M222=0,0&gt;1),15,IF($M222&gt;=20,15,IF($M222&gt;=6,13,10)))),0)+IF($G223=1,IF($K$1&lt;7,10,IF(AND($K$1=7,$N222=0,0&gt;1),15,IF($N222&gt;=20,15,IF($N222&gt;=6,13,10)))),0)+IF($H223=1,IF($L$1&lt;7,10,IF(AND($L$1=7,$O222=0,0&gt;1),15,IF($O222&gt;=20,15,IF($O222&gt;=6,13,10)))),0)</f>
        <v/>
      </c>
      <c r="Z223" s="38">
        <f>$Z222+$Y223</f>
        <v/>
      </c>
      <c r="AA223" s="38">
        <f>IF(AND($B223=1,AND($F$1=7,$I222=0,0&gt;1)),1,0)+IF(AND($C223=1,AND($G$1=7,$J222=0,0&gt;1)),1,0)+IF(AND($D223=1,AND($H$1=7,$K222=0,0&gt;1)),1,0)+IF(AND($E223=1,AND($I$1=7,$L222=0,0&gt;1)),1,0)+IF(AND($F223=1,AND($J$1=7,$M222=0,0&gt;1)),1,0)+IF(AND($G223=1,AND($K$1=7,$N222=0,0&gt;1)),1,0)+IF(AND($H223=1,AND($L$1=7,$O222=0,0&gt;1)),1,0)</f>
        <v/>
      </c>
      <c r="AB223" s="38">
        <f>IF(IFERROR('Авг'!$I6,"")="",0,$AB222+1)</f>
        <v/>
      </c>
    </row>
    <row r="224" spans="1:28">
      <c r="A224" s="38">
        <f>IF($B$1&gt;=DATE(2026,8,2),1,0)</f>
        <v/>
      </c>
      <c r="B224" s="38">
        <f>IFERROR(IF('Авг'!$B7=TRUE,1,0),0)</f>
        <v/>
      </c>
      <c r="C224" s="38">
        <f>IFERROR(IF('Авг'!$C7=TRUE,1,0),0)</f>
        <v/>
      </c>
      <c r="D224" s="38">
        <f>IFERROR(IF('Авг'!$D7=TRUE,1,0),0)</f>
        <v/>
      </c>
      <c r="E224" s="38">
        <f>IFERROR(IF('Авг'!$E7=TRUE,1,0),0)</f>
        <v/>
      </c>
      <c r="F224" s="38">
        <f>IFERROR(IF('Авг'!$F7=TRUE,1,0),0)</f>
        <v/>
      </c>
      <c r="G224" s="38">
        <f>IFERROR(IF('Авг'!$G7=TRUE,1,0),0)</f>
        <v/>
      </c>
      <c r="H224" s="38">
        <f>IFERROR(IF('Авг'!$H7=TRUE,1,0),0)</f>
        <v/>
      </c>
      <c r="I224" s="38">
        <f>IF($A224=0,$I223,IF($B224=1,$I223+1,IF($P224&lt;=1,$I223,0)))</f>
        <v/>
      </c>
      <c r="J224" s="38">
        <f>IF($A224=0,$J223,IF($C224=1,$J223+1,IF($Q224&lt;=1,$J223,0)))</f>
        <v/>
      </c>
      <c r="K224" s="38">
        <f>IF($A224=0,$K223,IF($D224=1,$K223+1,IF($R224&lt;=1,$K223,0)))</f>
        <v/>
      </c>
      <c r="L224" s="38">
        <f>IF($A224=0,$L223,IF($E224=1,$L223+1,IF($S224&lt;=1,$L223,0)))</f>
        <v/>
      </c>
      <c r="M224" s="38">
        <f>IF($A224=0,$M223,IF($F224=1,$M223+1,IF($T224&lt;=1,$M223,0)))</f>
        <v/>
      </c>
      <c r="N224" s="38">
        <f>IF($A224=0,$N223,IF($G224=1,$N223+1,IF($U224&lt;=1,$N223,0)))</f>
        <v/>
      </c>
      <c r="O224" s="38">
        <f>IF($A224=0,$O223,IF($H224=1,$O223+1,IF($V224&lt;=1,$O223,0)))</f>
        <v/>
      </c>
      <c r="P224" s="38">
        <f>IF($A224=0,$P223,$P223+IF($B224=1,0,1))</f>
        <v/>
      </c>
      <c r="Q224" s="38">
        <f>IF($A224=0,$Q223,$Q223+IF($C224=1,0,1))</f>
        <v/>
      </c>
      <c r="R224" s="38">
        <f>IF($A224=0,$R223,$R223+IF($D224=1,0,1))</f>
        <v/>
      </c>
      <c r="S224" s="38">
        <f>IF($A224=0,$S223,$S223+IF($E224=1,0,1))</f>
        <v/>
      </c>
      <c r="T224" s="38">
        <f>IF($A224=0,$T223,$T223+IF($F224=1,0,1))</f>
        <v/>
      </c>
      <c r="U224" s="38">
        <f>IF($A224=0,$U223,$U223+IF($G224=1,0,1))</f>
        <v/>
      </c>
      <c r="V224" s="38">
        <f>IF($A224=0,$V223,$V223+IF($H224=1,0,1))</f>
        <v/>
      </c>
      <c r="W224" s="38">
        <f>SUM($B224:$H224)</f>
        <v/>
      </c>
      <c r="X224" s="38">
        <f>IF(AND($A224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224=1),1,0)+IF(AND($G$1=7,$C224=1),1,0)+IF(AND($H$1=7,$D224=1),1,0)+IF(AND($I$1=7,$E224=1),1,0)+IF(AND($J$1=7,$F224=1),1,0)+IF(AND($K$1=7,$G224=1),1,0)+IF(AND($L$1=7,$H224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4" s="38">
        <f>IF($B224=1,IF($F$1&lt;7,10,IF(AND($F$1=7,$I223=0,$P223&gt;1),15,IF($I223&gt;=20,15,IF($I223&gt;=6,13,10)))),0)+IF($C224=1,IF($G$1&lt;7,10,IF(AND($G$1=7,$J223=0,$Q223&gt;1),15,IF($J223&gt;=20,15,IF($J223&gt;=6,13,10)))),0)+IF($D224=1,IF($H$1&lt;7,10,IF(AND($H$1=7,$K223=0,$R223&gt;1),15,IF($K223&gt;=20,15,IF($K223&gt;=6,13,10)))),0)+IF($E224=1,IF($I$1&lt;7,10,IF(AND($I$1=7,$L223=0,$S223&gt;1),15,IF($L223&gt;=20,15,IF($L223&gt;=6,13,10)))),0)+IF($F224=1,IF($J$1&lt;7,10,IF(AND($J$1=7,$M223=0,$T223&gt;1),15,IF($M223&gt;=20,15,IF($M223&gt;=6,13,10)))),0)+IF($G224=1,IF($K$1&lt;7,10,IF(AND($K$1=7,$N223=0,$U223&gt;1),15,IF($N223&gt;=20,15,IF($N223&gt;=6,13,10)))),0)+IF($H224=1,IF($L$1&lt;7,10,IF(AND($L$1=7,$O223=0,$V223&gt;1),15,IF($O223&gt;=20,15,IF($O223&gt;=6,13,10)))),0)</f>
        <v/>
      </c>
      <c r="Z224" s="38">
        <f>$Z223+$Y224</f>
        <v/>
      </c>
      <c r="AA224" s="38">
        <f>IF(AND($B224=1,AND($F$1=7,$I223=0,$P223&gt;1)),1,0)+IF(AND($C224=1,AND($G$1=7,$J223=0,$Q223&gt;1)),1,0)+IF(AND($D224=1,AND($H$1=7,$K223=0,$R223&gt;1)),1,0)+IF(AND($E224=1,AND($I$1=7,$L223=0,$S223&gt;1)),1,0)+IF(AND($F224=1,AND($J$1=7,$M223=0,$T223&gt;1)),1,0)+IF(AND($G224=1,AND($K$1=7,$N223=0,$U223&gt;1)),1,0)+IF(AND($H224=1,AND($L$1=7,$O223=0,$V223&gt;1)),1,0)</f>
        <v/>
      </c>
      <c r="AB224" s="38">
        <f>IF(IFERROR('Авг'!$I7,"")="",0,$AB223+1)</f>
        <v/>
      </c>
    </row>
    <row r="225" spans="1:28">
      <c r="A225" s="38">
        <f>IF($B$1&gt;=DATE(2026,8,3),1,0)</f>
        <v/>
      </c>
      <c r="B225" s="38">
        <f>IFERROR(IF('Авг'!$B8=TRUE,1,0),0)</f>
        <v/>
      </c>
      <c r="C225" s="38">
        <f>IFERROR(IF('Авг'!$C8=TRUE,1,0),0)</f>
        <v/>
      </c>
      <c r="D225" s="38">
        <f>IFERROR(IF('Авг'!$D8=TRUE,1,0),0)</f>
        <v/>
      </c>
      <c r="E225" s="38">
        <f>IFERROR(IF('Авг'!$E8=TRUE,1,0),0)</f>
        <v/>
      </c>
      <c r="F225" s="38">
        <f>IFERROR(IF('Авг'!$F8=TRUE,1,0),0)</f>
        <v/>
      </c>
      <c r="G225" s="38">
        <f>IFERROR(IF('Авг'!$G8=TRUE,1,0),0)</f>
        <v/>
      </c>
      <c r="H225" s="38">
        <f>IFERROR(IF('Авг'!$H8=TRUE,1,0),0)</f>
        <v/>
      </c>
      <c r="I225" s="38">
        <f>IF($A225=0,$I224,IF($B225=1,$I224+1,IF($P225&lt;=1,$I224,0)))</f>
        <v/>
      </c>
      <c r="J225" s="38">
        <f>IF($A225=0,$J224,IF($C225=1,$J224+1,IF($Q225&lt;=1,$J224,0)))</f>
        <v/>
      </c>
      <c r="K225" s="38">
        <f>IF($A225=0,$K224,IF($D225=1,$K224+1,IF($R225&lt;=1,$K224,0)))</f>
        <v/>
      </c>
      <c r="L225" s="38">
        <f>IF($A225=0,$L224,IF($E225=1,$L224+1,IF($S225&lt;=1,$L224,0)))</f>
        <v/>
      </c>
      <c r="M225" s="38">
        <f>IF($A225=0,$M224,IF($F225=1,$M224+1,IF($T225&lt;=1,$M224,0)))</f>
        <v/>
      </c>
      <c r="N225" s="38">
        <f>IF($A225=0,$N224,IF($G225=1,$N224+1,IF($U225&lt;=1,$N224,0)))</f>
        <v/>
      </c>
      <c r="O225" s="38">
        <f>IF($A225=0,$O224,IF($H225=1,$O224+1,IF($V225&lt;=1,$O224,0)))</f>
        <v/>
      </c>
      <c r="P225" s="38">
        <f>IF($A225=0,$P224,$P224+IF($B225=1,0,1))</f>
        <v/>
      </c>
      <c r="Q225" s="38">
        <f>IF($A225=0,$Q224,$Q224+IF($C225=1,0,1))</f>
        <v/>
      </c>
      <c r="R225" s="38">
        <f>IF($A225=0,$R224,$R224+IF($D225=1,0,1))</f>
        <v/>
      </c>
      <c r="S225" s="38">
        <f>IF($A225=0,$S224,$S224+IF($E225=1,0,1))</f>
        <v/>
      </c>
      <c r="T225" s="38">
        <f>IF($A225=0,$T224,$T224+IF($F225=1,0,1))</f>
        <v/>
      </c>
      <c r="U225" s="38">
        <f>IF($A225=0,$U224,$U224+IF($G225=1,0,1))</f>
        <v/>
      </c>
      <c r="V225" s="38">
        <f>IF($A225=0,$V224,$V224+IF($H225=1,0,1))</f>
        <v/>
      </c>
      <c r="W225" s="38">
        <f>SUM($B225:$H225)</f>
        <v/>
      </c>
      <c r="X225" s="38">
        <f>IF(AND($A225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225=1),1,0)+IF(AND($G$1=7,$C225=1),1,0)+IF(AND($H$1=7,$D225=1),1,0)+IF(AND($I$1=7,$E225=1),1,0)+IF(AND($J$1=7,$F225=1),1,0)+IF(AND($K$1=7,$G225=1),1,0)+IF(AND($L$1=7,$H225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5" s="38">
        <f>IF($B225=1,IF($F$1&lt;7,10,IF(AND($F$1=7,$I224=0,$P224&gt;1),15,IF($I224&gt;=20,15,IF($I224&gt;=6,13,10)))),0)+IF($C225=1,IF($G$1&lt;7,10,IF(AND($G$1=7,$J224=0,$Q224&gt;1),15,IF($J224&gt;=20,15,IF($J224&gt;=6,13,10)))),0)+IF($D225=1,IF($H$1&lt;7,10,IF(AND($H$1=7,$K224=0,$R224&gt;1),15,IF($K224&gt;=20,15,IF($K224&gt;=6,13,10)))),0)+IF($E225=1,IF($I$1&lt;7,10,IF(AND($I$1=7,$L224=0,$S224&gt;1),15,IF($L224&gt;=20,15,IF($L224&gt;=6,13,10)))),0)+IF($F225=1,IF($J$1&lt;7,10,IF(AND($J$1=7,$M224=0,$T224&gt;1),15,IF($M224&gt;=20,15,IF($M224&gt;=6,13,10)))),0)+IF($G225=1,IF($K$1&lt;7,10,IF(AND($K$1=7,$N224=0,$U224&gt;1),15,IF($N224&gt;=20,15,IF($N224&gt;=6,13,10)))),0)+IF($H225=1,IF($L$1&lt;7,10,IF(AND($L$1=7,$O224=0,$V224&gt;1),15,IF($O224&gt;=20,15,IF($O224&gt;=6,13,10)))),0)</f>
        <v/>
      </c>
      <c r="Z225" s="38">
        <f>$Z224+$Y225</f>
        <v/>
      </c>
      <c r="AA225" s="38">
        <f>IF(AND($B225=1,AND($F$1=7,$I224=0,$P224&gt;1)),1,0)+IF(AND($C225=1,AND($G$1=7,$J224=0,$Q224&gt;1)),1,0)+IF(AND($D225=1,AND($H$1=7,$K224=0,$R224&gt;1)),1,0)+IF(AND($E225=1,AND($I$1=7,$L224=0,$S224&gt;1)),1,0)+IF(AND($F225=1,AND($J$1=7,$M224=0,$T224&gt;1)),1,0)+IF(AND($G225=1,AND($K$1=7,$N224=0,$U224&gt;1)),1,0)+IF(AND($H225=1,AND($L$1=7,$O224=0,$V224&gt;1)),1,0)</f>
        <v/>
      </c>
      <c r="AB225" s="38">
        <f>IF(IFERROR('Авг'!$I8,"")="",0,$AB224+1)</f>
        <v/>
      </c>
    </row>
    <row r="226" spans="1:28">
      <c r="A226" s="38">
        <f>IF($B$1&gt;=DATE(2026,8,4),1,0)</f>
        <v/>
      </c>
      <c r="B226" s="38">
        <f>IFERROR(IF('Авг'!$B9=TRUE,1,0),0)</f>
        <v/>
      </c>
      <c r="C226" s="38">
        <f>IFERROR(IF('Авг'!$C9=TRUE,1,0),0)</f>
        <v/>
      </c>
      <c r="D226" s="38">
        <f>IFERROR(IF('Авг'!$D9=TRUE,1,0),0)</f>
        <v/>
      </c>
      <c r="E226" s="38">
        <f>IFERROR(IF('Авг'!$E9=TRUE,1,0),0)</f>
        <v/>
      </c>
      <c r="F226" s="38">
        <f>IFERROR(IF('Авг'!$F9=TRUE,1,0),0)</f>
        <v/>
      </c>
      <c r="G226" s="38">
        <f>IFERROR(IF('Авг'!$G9=TRUE,1,0),0)</f>
        <v/>
      </c>
      <c r="H226" s="38">
        <f>IFERROR(IF('Авг'!$H9=TRUE,1,0),0)</f>
        <v/>
      </c>
      <c r="I226" s="38">
        <f>IF($A226=0,$I225,IF($B226=1,$I225+1,IF($P226&lt;=1,$I225,0)))</f>
        <v/>
      </c>
      <c r="J226" s="38">
        <f>IF($A226=0,$J225,IF($C226=1,$J225+1,IF($Q226&lt;=1,$J225,0)))</f>
        <v/>
      </c>
      <c r="K226" s="38">
        <f>IF($A226=0,$K225,IF($D226=1,$K225+1,IF($R226&lt;=1,$K225,0)))</f>
        <v/>
      </c>
      <c r="L226" s="38">
        <f>IF($A226=0,$L225,IF($E226=1,$L225+1,IF($S226&lt;=1,$L225,0)))</f>
        <v/>
      </c>
      <c r="M226" s="38">
        <f>IF($A226=0,$M225,IF($F226=1,$M225+1,IF($T226&lt;=1,$M225,0)))</f>
        <v/>
      </c>
      <c r="N226" s="38">
        <f>IF($A226=0,$N225,IF($G226=1,$N225+1,IF($U226&lt;=1,$N225,0)))</f>
        <v/>
      </c>
      <c r="O226" s="38">
        <f>IF($A226=0,$O225,IF($H226=1,$O225+1,IF($V226&lt;=1,$O225,0)))</f>
        <v/>
      </c>
      <c r="P226" s="38">
        <f>IF($A226=0,$P225,$P225+IF($B226=1,0,1))</f>
        <v/>
      </c>
      <c r="Q226" s="38">
        <f>IF($A226=0,$Q225,$Q225+IF($C226=1,0,1))</f>
        <v/>
      </c>
      <c r="R226" s="38">
        <f>IF($A226=0,$R225,$R225+IF($D226=1,0,1))</f>
        <v/>
      </c>
      <c r="S226" s="38">
        <f>IF($A226=0,$S225,$S225+IF($E226=1,0,1))</f>
        <v/>
      </c>
      <c r="T226" s="38">
        <f>IF($A226=0,$T225,$T225+IF($F226=1,0,1))</f>
        <v/>
      </c>
      <c r="U226" s="38">
        <f>IF($A226=0,$U225,$U225+IF($G226=1,0,1))</f>
        <v/>
      </c>
      <c r="V226" s="38">
        <f>IF($A226=0,$V225,$V225+IF($H226=1,0,1))</f>
        <v/>
      </c>
      <c r="W226" s="38">
        <f>SUM($B226:$H226)</f>
        <v/>
      </c>
      <c r="X226" s="38">
        <f>IF(AND($A226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226=1),1,0)+IF(AND($G$1=7,$C226=1),1,0)+IF(AND($H$1=7,$D226=1),1,0)+IF(AND($I$1=7,$E226=1),1,0)+IF(AND($J$1=7,$F226=1),1,0)+IF(AND($K$1=7,$G226=1),1,0)+IF(AND($L$1=7,$H226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6" s="38">
        <f>IF($B226=1,IF($F$1&lt;7,10,IF(AND($F$1=7,$I225=0,$P225&gt;1),15,IF($I225&gt;=20,15,IF($I225&gt;=6,13,10)))),0)+IF($C226=1,IF($G$1&lt;7,10,IF(AND($G$1=7,$J225=0,$Q225&gt;1),15,IF($J225&gt;=20,15,IF($J225&gt;=6,13,10)))),0)+IF($D226=1,IF($H$1&lt;7,10,IF(AND($H$1=7,$K225=0,$R225&gt;1),15,IF($K225&gt;=20,15,IF($K225&gt;=6,13,10)))),0)+IF($E226=1,IF($I$1&lt;7,10,IF(AND($I$1=7,$L225=0,$S225&gt;1),15,IF($L225&gt;=20,15,IF($L225&gt;=6,13,10)))),0)+IF($F226=1,IF($J$1&lt;7,10,IF(AND($J$1=7,$M225=0,$T225&gt;1),15,IF($M225&gt;=20,15,IF($M225&gt;=6,13,10)))),0)+IF($G226=1,IF($K$1&lt;7,10,IF(AND($K$1=7,$N225=0,$U225&gt;1),15,IF($N225&gt;=20,15,IF($N225&gt;=6,13,10)))),0)+IF($H226=1,IF($L$1&lt;7,10,IF(AND($L$1=7,$O225=0,$V225&gt;1),15,IF($O225&gt;=20,15,IF($O225&gt;=6,13,10)))),0)</f>
        <v/>
      </c>
      <c r="Z226" s="38">
        <f>$Z225+$Y226</f>
        <v/>
      </c>
      <c r="AA226" s="38">
        <f>IF(AND($B226=1,AND($F$1=7,$I225=0,$P225&gt;1)),1,0)+IF(AND($C226=1,AND($G$1=7,$J225=0,$Q225&gt;1)),1,0)+IF(AND($D226=1,AND($H$1=7,$K225=0,$R225&gt;1)),1,0)+IF(AND($E226=1,AND($I$1=7,$L225=0,$S225&gt;1)),1,0)+IF(AND($F226=1,AND($J$1=7,$M225=0,$T225&gt;1)),1,0)+IF(AND($G226=1,AND($K$1=7,$N225=0,$U225&gt;1)),1,0)+IF(AND($H226=1,AND($L$1=7,$O225=0,$V225&gt;1)),1,0)</f>
        <v/>
      </c>
      <c r="AB226" s="38">
        <f>IF(IFERROR('Авг'!$I9,"")="",0,$AB225+1)</f>
        <v/>
      </c>
    </row>
    <row r="227" spans="1:28">
      <c r="A227" s="38">
        <f>IF($B$1&gt;=DATE(2026,8,5),1,0)</f>
        <v/>
      </c>
      <c r="B227" s="38">
        <f>IFERROR(IF('Авг'!$B10=TRUE,1,0),0)</f>
        <v/>
      </c>
      <c r="C227" s="38">
        <f>IFERROR(IF('Авг'!$C10=TRUE,1,0),0)</f>
        <v/>
      </c>
      <c r="D227" s="38">
        <f>IFERROR(IF('Авг'!$D10=TRUE,1,0),0)</f>
        <v/>
      </c>
      <c r="E227" s="38">
        <f>IFERROR(IF('Авг'!$E10=TRUE,1,0),0)</f>
        <v/>
      </c>
      <c r="F227" s="38">
        <f>IFERROR(IF('Авг'!$F10=TRUE,1,0),0)</f>
        <v/>
      </c>
      <c r="G227" s="38">
        <f>IFERROR(IF('Авг'!$G10=TRUE,1,0),0)</f>
        <v/>
      </c>
      <c r="H227" s="38">
        <f>IFERROR(IF('Авг'!$H10=TRUE,1,0),0)</f>
        <v/>
      </c>
      <c r="I227" s="38">
        <f>IF($A227=0,$I226,IF($B227=1,$I226+1,IF($P227&lt;=1,$I226,0)))</f>
        <v/>
      </c>
      <c r="J227" s="38">
        <f>IF($A227=0,$J226,IF($C227=1,$J226+1,IF($Q227&lt;=1,$J226,0)))</f>
        <v/>
      </c>
      <c r="K227" s="38">
        <f>IF($A227=0,$K226,IF($D227=1,$K226+1,IF($R227&lt;=1,$K226,0)))</f>
        <v/>
      </c>
      <c r="L227" s="38">
        <f>IF($A227=0,$L226,IF($E227=1,$L226+1,IF($S227&lt;=1,$L226,0)))</f>
        <v/>
      </c>
      <c r="M227" s="38">
        <f>IF($A227=0,$M226,IF($F227=1,$M226+1,IF($T227&lt;=1,$M226,0)))</f>
        <v/>
      </c>
      <c r="N227" s="38">
        <f>IF($A227=0,$N226,IF($G227=1,$N226+1,IF($U227&lt;=1,$N226,0)))</f>
        <v/>
      </c>
      <c r="O227" s="38">
        <f>IF($A227=0,$O226,IF($H227=1,$O226+1,IF($V227&lt;=1,$O226,0)))</f>
        <v/>
      </c>
      <c r="P227" s="38">
        <f>IF($A227=0,$P226,$P226+IF($B227=1,0,1))</f>
        <v/>
      </c>
      <c r="Q227" s="38">
        <f>IF($A227=0,$Q226,$Q226+IF($C227=1,0,1))</f>
        <v/>
      </c>
      <c r="R227" s="38">
        <f>IF($A227=0,$R226,$R226+IF($D227=1,0,1))</f>
        <v/>
      </c>
      <c r="S227" s="38">
        <f>IF($A227=0,$S226,$S226+IF($E227=1,0,1))</f>
        <v/>
      </c>
      <c r="T227" s="38">
        <f>IF($A227=0,$T226,$T226+IF($F227=1,0,1))</f>
        <v/>
      </c>
      <c r="U227" s="38">
        <f>IF($A227=0,$U226,$U226+IF($G227=1,0,1))</f>
        <v/>
      </c>
      <c r="V227" s="38">
        <f>IF($A227=0,$V226,$V226+IF($H227=1,0,1))</f>
        <v/>
      </c>
      <c r="W227" s="38">
        <f>SUM($B227:$H227)</f>
        <v/>
      </c>
      <c r="X227" s="38">
        <f>IF(AND($A227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227=1),1,0)+IF(AND($G$1=7,$C227=1),1,0)+IF(AND($H$1=7,$D227=1),1,0)+IF(AND($I$1=7,$E227=1),1,0)+IF(AND($J$1=7,$F227=1),1,0)+IF(AND($K$1=7,$G227=1),1,0)+IF(AND($L$1=7,$H227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7" s="38">
        <f>IF($B227=1,IF($F$1&lt;7,10,IF(AND($F$1=7,$I226=0,$P226&gt;1),15,IF($I226&gt;=20,15,IF($I226&gt;=6,13,10)))),0)+IF($C227=1,IF($G$1&lt;7,10,IF(AND($G$1=7,$J226=0,$Q226&gt;1),15,IF($J226&gt;=20,15,IF($J226&gt;=6,13,10)))),0)+IF($D227=1,IF($H$1&lt;7,10,IF(AND($H$1=7,$K226=0,$R226&gt;1),15,IF($K226&gt;=20,15,IF($K226&gt;=6,13,10)))),0)+IF($E227=1,IF($I$1&lt;7,10,IF(AND($I$1=7,$L226=0,$S226&gt;1),15,IF($L226&gt;=20,15,IF($L226&gt;=6,13,10)))),0)+IF($F227=1,IF($J$1&lt;7,10,IF(AND($J$1=7,$M226=0,$T226&gt;1),15,IF($M226&gt;=20,15,IF($M226&gt;=6,13,10)))),0)+IF($G227=1,IF($K$1&lt;7,10,IF(AND($K$1=7,$N226=0,$U226&gt;1),15,IF($N226&gt;=20,15,IF($N226&gt;=6,13,10)))),0)+IF($H227=1,IF($L$1&lt;7,10,IF(AND($L$1=7,$O226=0,$V226&gt;1),15,IF($O226&gt;=20,15,IF($O226&gt;=6,13,10)))),0)</f>
        <v/>
      </c>
      <c r="Z227" s="38">
        <f>$Z226+$Y227</f>
        <v/>
      </c>
      <c r="AA227" s="38">
        <f>IF(AND($B227=1,AND($F$1=7,$I226=0,$P226&gt;1)),1,0)+IF(AND($C227=1,AND($G$1=7,$J226=0,$Q226&gt;1)),1,0)+IF(AND($D227=1,AND($H$1=7,$K226=0,$R226&gt;1)),1,0)+IF(AND($E227=1,AND($I$1=7,$L226=0,$S226&gt;1)),1,0)+IF(AND($F227=1,AND($J$1=7,$M226=0,$T226&gt;1)),1,0)+IF(AND($G227=1,AND($K$1=7,$N226=0,$U226&gt;1)),1,0)+IF(AND($H227=1,AND($L$1=7,$O226=0,$V226&gt;1)),1,0)</f>
        <v/>
      </c>
      <c r="AB227" s="38">
        <f>IF(IFERROR('Авг'!$I10,"")="",0,$AB226+1)</f>
        <v/>
      </c>
    </row>
    <row r="228" spans="1:28">
      <c r="A228" s="38">
        <f>IF($B$1&gt;=DATE(2026,8,6),1,0)</f>
        <v/>
      </c>
      <c r="B228" s="38">
        <f>IFERROR(IF('Авг'!$B11=TRUE,1,0),0)</f>
        <v/>
      </c>
      <c r="C228" s="38">
        <f>IFERROR(IF('Авг'!$C11=TRUE,1,0),0)</f>
        <v/>
      </c>
      <c r="D228" s="38">
        <f>IFERROR(IF('Авг'!$D11=TRUE,1,0),0)</f>
        <v/>
      </c>
      <c r="E228" s="38">
        <f>IFERROR(IF('Авг'!$E11=TRUE,1,0),0)</f>
        <v/>
      </c>
      <c r="F228" s="38">
        <f>IFERROR(IF('Авг'!$F11=TRUE,1,0),0)</f>
        <v/>
      </c>
      <c r="G228" s="38">
        <f>IFERROR(IF('Авг'!$G11=TRUE,1,0),0)</f>
        <v/>
      </c>
      <c r="H228" s="38">
        <f>IFERROR(IF('Авг'!$H11=TRUE,1,0),0)</f>
        <v/>
      </c>
      <c r="I228" s="38">
        <f>IF($A228=0,$I227,IF($B228=1,$I227+1,IF($P228&lt;=1,$I227,0)))</f>
        <v/>
      </c>
      <c r="J228" s="38">
        <f>IF($A228=0,$J227,IF($C228=1,$J227+1,IF($Q228&lt;=1,$J227,0)))</f>
        <v/>
      </c>
      <c r="K228" s="38">
        <f>IF($A228=0,$K227,IF($D228=1,$K227+1,IF($R228&lt;=1,$K227,0)))</f>
        <v/>
      </c>
      <c r="L228" s="38">
        <f>IF($A228=0,$L227,IF($E228=1,$L227+1,IF($S228&lt;=1,$L227,0)))</f>
        <v/>
      </c>
      <c r="M228" s="38">
        <f>IF($A228=0,$M227,IF($F228=1,$M227+1,IF($T228&lt;=1,$M227,0)))</f>
        <v/>
      </c>
      <c r="N228" s="38">
        <f>IF($A228=0,$N227,IF($G228=1,$N227+1,IF($U228&lt;=1,$N227,0)))</f>
        <v/>
      </c>
      <c r="O228" s="38">
        <f>IF($A228=0,$O227,IF($H228=1,$O227+1,IF($V228&lt;=1,$O227,0)))</f>
        <v/>
      </c>
      <c r="P228" s="38">
        <f>IF($A228=0,$P227,$P227+IF($B228=1,0,1))</f>
        <v/>
      </c>
      <c r="Q228" s="38">
        <f>IF($A228=0,$Q227,$Q227+IF($C228=1,0,1))</f>
        <v/>
      </c>
      <c r="R228" s="38">
        <f>IF($A228=0,$R227,$R227+IF($D228=1,0,1))</f>
        <v/>
      </c>
      <c r="S228" s="38">
        <f>IF($A228=0,$S227,$S227+IF($E228=1,0,1))</f>
        <v/>
      </c>
      <c r="T228" s="38">
        <f>IF($A228=0,$T227,$T227+IF($F228=1,0,1))</f>
        <v/>
      </c>
      <c r="U228" s="38">
        <f>IF($A228=0,$U227,$U227+IF($G228=1,0,1))</f>
        <v/>
      </c>
      <c r="V228" s="38">
        <f>IF($A228=0,$V227,$V227+IF($H228=1,0,1))</f>
        <v/>
      </c>
      <c r="W228" s="38">
        <f>SUM($B228:$H228)</f>
        <v/>
      </c>
      <c r="X228" s="38">
        <f>IF(AND($A228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228=1),1,0)+IF(AND($G$1=7,$C228=1),1,0)+IF(AND($H$1=7,$D228=1),1,0)+IF(AND($I$1=7,$E228=1),1,0)+IF(AND($J$1=7,$F228=1),1,0)+IF(AND($K$1=7,$G228=1),1,0)+IF(AND($L$1=7,$H228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8" s="38">
        <f>IF($B228=1,IF($F$1&lt;7,10,IF(AND($F$1=7,$I227=0,$P227&gt;1),15,IF($I227&gt;=20,15,IF($I227&gt;=6,13,10)))),0)+IF($C228=1,IF($G$1&lt;7,10,IF(AND($G$1=7,$J227=0,$Q227&gt;1),15,IF($J227&gt;=20,15,IF($J227&gt;=6,13,10)))),0)+IF($D228=1,IF($H$1&lt;7,10,IF(AND($H$1=7,$K227=0,$R227&gt;1),15,IF($K227&gt;=20,15,IF($K227&gt;=6,13,10)))),0)+IF($E228=1,IF($I$1&lt;7,10,IF(AND($I$1=7,$L227=0,$S227&gt;1),15,IF($L227&gt;=20,15,IF($L227&gt;=6,13,10)))),0)+IF($F228=1,IF($J$1&lt;7,10,IF(AND($J$1=7,$M227=0,$T227&gt;1),15,IF($M227&gt;=20,15,IF($M227&gt;=6,13,10)))),0)+IF($G228=1,IF($K$1&lt;7,10,IF(AND($K$1=7,$N227=0,$U227&gt;1),15,IF($N227&gt;=20,15,IF($N227&gt;=6,13,10)))),0)+IF($H228=1,IF($L$1&lt;7,10,IF(AND($L$1=7,$O227=0,$V227&gt;1),15,IF($O227&gt;=20,15,IF($O227&gt;=6,13,10)))),0)</f>
        <v/>
      </c>
      <c r="Z228" s="38">
        <f>$Z227+$Y228</f>
        <v/>
      </c>
      <c r="AA228" s="38">
        <f>IF(AND($B228=1,AND($F$1=7,$I227=0,$P227&gt;1)),1,0)+IF(AND($C228=1,AND($G$1=7,$J227=0,$Q227&gt;1)),1,0)+IF(AND($D228=1,AND($H$1=7,$K227=0,$R227&gt;1)),1,0)+IF(AND($E228=1,AND($I$1=7,$L227=0,$S227&gt;1)),1,0)+IF(AND($F228=1,AND($J$1=7,$M227=0,$T227&gt;1)),1,0)+IF(AND($G228=1,AND($K$1=7,$N227=0,$U227&gt;1)),1,0)+IF(AND($H228=1,AND($L$1=7,$O227=0,$V227&gt;1)),1,0)</f>
        <v/>
      </c>
      <c r="AB228" s="38">
        <f>IF(IFERROR('Авг'!$I11,"")="",0,$AB227+1)</f>
        <v/>
      </c>
    </row>
    <row r="229" spans="1:28">
      <c r="A229" s="38">
        <f>IF($B$1&gt;=DATE(2026,8,7),1,0)</f>
        <v/>
      </c>
      <c r="B229" s="38">
        <f>IFERROR(IF('Авг'!$B12=TRUE,1,0),0)</f>
        <v/>
      </c>
      <c r="C229" s="38">
        <f>IFERROR(IF('Авг'!$C12=TRUE,1,0),0)</f>
        <v/>
      </c>
      <c r="D229" s="38">
        <f>IFERROR(IF('Авг'!$D12=TRUE,1,0),0)</f>
        <v/>
      </c>
      <c r="E229" s="38">
        <f>IFERROR(IF('Авг'!$E12=TRUE,1,0),0)</f>
        <v/>
      </c>
      <c r="F229" s="38">
        <f>IFERROR(IF('Авг'!$F12=TRUE,1,0),0)</f>
        <v/>
      </c>
      <c r="G229" s="38">
        <f>IFERROR(IF('Авг'!$G12=TRUE,1,0),0)</f>
        <v/>
      </c>
      <c r="H229" s="38">
        <f>IFERROR(IF('Авг'!$H12=TRUE,1,0),0)</f>
        <v/>
      </c>
      <c r="I229" s="38">
        <f>IF($A229=0,$I228,IF($B229=1,$I228+1,IF($P229&lt;=1,$I228,0)))</f>
        <v/>
      </c>
      <c r="J229" s="38">
        <f>IF($A229=0,$J228,IF($C229=1,$J228+1,IF($Q229&lt;=1,$J228,0)))</f>
        <v/>
      </c>
      <c r="K229" s="38">
        <f>IF($A229=0,$K228,IF($D229=1,$K228+1,IF($R229&lt;=1,$K228,0)))</f>
        <v/>
      </c>
      <c r="L229" s="38">
        <f>IF($A229=0,$L228,IF($E229=1,$L228+1,IF($S229&lt;=1,$L228,0)))</f>
        <v/>
      </c>
      <c r="M229" s="38">
        <f>IF($A229=0,$M228,IF($F229=1,$M228+1,IF($T229&lt;=1,$M228,0)))</f>
        <v/>
      </c>
      <c r="N229" s="38">
        <f>IF($A229=0,$N228,IF($G229=1,$N228+1,IF($U229&lt;=1,$N228,0)))</f>
        <v/>
      </c>
      <c r="O229" s="38">
        <f>IF($A229=0,$O228,IF($H229=1,$O228+1,IF($V229&lt;=1,$O228,0)))</f>
        <v/>
      </c>
      <c r="P229" s="38">
        <f>IF($A229=0,$P228,$P228+IF($B229=1,0,1))</f>
        <v/>
      </c>
      <c r="Q229" s="38">
        <f>IF($A229=0,$Q228,$Q228+IF($C229=1,0,1))</f>
        <v/>
      </c>
      <c r="R229" s="38">
        <f>IF($A229=0,$R228,$R228+IF($D229=1,0,1))</f>
        <v/>
      </c>
      <c r="S229" s="38">
        <f>IF($A229=0,$S228,$S228+IF($E229=1,0,1))</f>
        <v/>
      </c>
      <c r="T229" s="38">
        <f>IF($A229=0,$T228,$T228+IF($F229=1,0,1))</f>
        <v/>
      </c>
      <c r="U229" s="38">
        <f>IF($A229=0,$U228,$U228+IF($G229=1,0,1))</f>
        <v/>
      </c>
      <c r="V229" s="38">
        <f>IF($A229=0,$V228,$V228+IF($H229=1,0,1))</f>
        <v/>
      </c>
      <c r="W229" s="38">
        <f>SUM($B229:$H229)</f>
        <v/>
      </c>
      <c r="X229" s="38">
        <f>IF(AND($A229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229=1),1,0)+IF(AND($G$1=7,$C229=1),1,0)+IF(AND($H$1=7,$D229=1),1,0)+IF(AND($I$1=7,$E229=1),1,0)+IF(AND($J$1=7,$F229=1),1,0)+IF(AND($K$1=7,$G229=1),1,0)+IF(AND($L$1=7,$H229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9" s="38">
        <f>IF($B229=1,IF($F$1&lt;7,10,IF(AND($F$1=7,$I228=0,$P228&gt;1),15,IF($I228&gt;=20,15,IF($I228&gt;=6,13,10)))),0)+IF($C229=1,IF($G$1&lt;7,10,IF(AND($G$1=7,$J228=0,$Q228&gt;1),15,IF($J228&gt;=20,15,IF($J228&gt;=6,13,10)))),0)+IF($D229=1,IF($H$1&lt;7,10,IF(AND($H$1=7,$K228=0,$R228&gt;1),15,IF($K228&gt;=20,15,IF($K228&gt;=6,13,10)))),0)+IF($E229=1,IF($I$1&lt;7,10,IF(AND($I$1=7,$L228=0,$S228&gt;1),15,IF($L228&gt;=20,15,IF($L228&gt;=6,13,10)))),0)+IF($F229=1,IF($J$1&lt;7,10,IF(AND($J$1=7,$M228=0,$T228&gt;1),15,IF($M228&gt;=20,15,IF($M228&gt;=6,13,10)))),0)+IF($G229=1,IF($K$1&lt;7,10,IF(AND($K$1=7,$N228=0,$U228&gt;1),15,IF($N228&gt;=20,15,IF($N228&gt;=6,13,10)))),0)+IF($H229=1,IF($L$1&lt;7,10,IF(AND($L$1=7,$O228=0,$V228&gt;1),15,IF($O228&gt;=20,15,IF($O228&gt;=6,13,10)))),0)</f>
        <v/>
      </c>
      <c r="Z229" s="38">
        <f>$Z228+$Y229</f>
        <v/>
      </c>
      <c r="AA229" s="38">
        <f>IF(AND($B229=1,AND($F$1=7,$I228=0,$P228&gt;1)),1,0)+IF(AND($C229=1,AND($G$1=7,$J228=0,$Q228&gt;1)),1,0)+IF(AND($D229=1,AND($H$1=7,$K228=0,$R228&gt;1)),1,0)+IF(AND($E229=1,AND($I$1=7,$L228=0,$S228&gt;1)),1,0)+IF(AND($F229=1,AND($J$1=7,$M228=0,$T228&gt;1)),1,0)+IF(AND($G229=1,AND($K$1=7,$N228=0,$U228&gt;1)),1,0)+IF(AND($H229=1,AND($L$1=7,$O228=0,$V228&gt;1)),1,0)</f>
        <v/>
      </c>
      <c r="AB229" s="38">
        <f>IF(IFERROR('Авг'!$I12,"")="",0,$AB228+1)</f>
        <v/>
      </c>
    </row>
    <row r="230" spans="1:28">
      <c r="A230" s="38">
        <f>IF($B$1&gt;=DATE(2026,8,8),1,0)</f>
        <v/>
      </c>
      <c r="B230" s="38">
        <f>IFERROR(IF('Авг'!$B13=TRUE,1,0),0)</f>
        <v/>
      </c>
      <c r="C230" s="38">
        <f>IFERROR(IF('Авг'!$C13=TRUE,1,0),0)</f>
        <v/>
      </c>
      <c r="D230" s="38">
        <f>IFERROR(IF('Авг'!$D13=TRUE,1,0),0)</f>
        <v/>
      </c>
      <c r="E230" s="38">
        <f>IFERROR(IF('Авг'!$E13=TRUE,1,0),0)</f>
        <v/>
      </c>
      <c r="F230" s="38">
        <f>IFERROR(IF('Авг'!$F13=TRUE,1,0),0)</f>
        <v/>
      </c>
      <c r="G230" s="38">
        <f>IFERROR(IF('Авг'!$G13=TRUE,1,0),0)</f>
        <v/>
      </c>
      <c r="H230" s="38">
        <f>IFERROR(IF('Авг'!$H13=TRUE,1,0),0)</f>
        <v/>
      </c>
      <c r="I230" s="38">
        <f>IF($A230=0,$I229,IF($B230=1,$I229+1,IF($P230&lt;=1,$I229,0)))</f>
        <v/>
      </c>
      <c r="J230" s="38">
        <f>IF($A230=0,$J229,IF($C230=1,$J229+1,IF($Q230&lt;=1,$J229,0)))</f>
        <v/>
      </c>
      <c r="K230" s="38">
        <f>IF($A230=0,$K229,IF($D230=1,$K229+1,IF($R230&lt;=1,$K229,0)))</f>
        <v/>
      </c>
      <c r="L230" s="38">
        <f>IF($A230=0,$L229,IF($E230=1,$L229+1,IF($S230&lt;=1,$L229,0)))</f>
        <v/>
      </c>
      <c r="M230" s="38">
        <f>IF($A230=0,$M229,IF($F230=1,$M229+1,IF($T230&lt;=1,$M229,0)))</f>
        <v/>
      </c>
      <c r="N230" s="38">
        <f>IF($A230=0,$N229,IF($G230=1,$N229+1,IF($U230&lt;=1,$N229,0)))</f>
        <v/>
      </c>
      <c r="O230" s="38">
        <f>IF($A230=0,$O229,IF($H230=1,$O229+1,IF($V230&lt;=1,$O229,0)))</f>
        <v/>
      </c>
      <c r="P230" s="38">
        <f>IF($A230=0,$P229,$P229+IF($B230=1,0,1))</f>
        <v/>
      </c>
      <c r="Q230" s="38">
        <f>IF($A230=0,$Q229,$Q229+IF($C230=1,0,1))</f>
        <v/>
      </c>
      <c r="R230" s="38">
        <f>IF($A230=0,$R229,$R229+IF($D230=1,0,1))</f>
        <v/>
      </c>
      <c r="S230" s="38">
        <f>IF($A230=0,$S229,$S229+IF($E230=1,0,1))</f>
        <v/>
      </c>
      <c r="T230" s="38">
        <f>IF($A230=0,$T229,$T229+IF($F230=1,0,1))</f>
        <v/>
      </c>
      <c r="U230" s="38">
        <f>IF($A230=0,$U229,$U229+IF($G230=1,0,1))</f>
        <v/>
      </c>
      <c r="V230" s="38">
        <f>IF($A230=0,$V229,$V229+IF($H230=1,0,1))</f>
        <v/>
      </c>
      <c r="W230" s="38">
        <f>SUM($B230:$H230)</f>
        <v/>
      </c>
      <c r="X230" s="38">
        <f>IF(AND($A230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230=1),1,0)+IF(AND($G$1=7,$C230=1),1,0)+IF(AND($H$1=7,$D230=1),1,0)+IF(AND($I$1=7,$E230=1),1,0)+IF(AND($J$1=7,$F230=1),1,0)+IF(AND($K$1=7,$G230=1),1,0)+IF(AND($L$1=7,$H230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0" s="38">
        <f>IF($B230=1,IF($F$1&lt;7,10,IF(AND($F$1=7,$I229=0,$P229&gt;1),15,IF($I229&gt;=20,15,IF($I229&gt;=6,13,10)))),0)+IF($C230=1,IF($G$1&lt;7,10,IF(AND($G$1=7,$J229=0,$Q229&gt;1),15,IF($J229&gt;=20,15,IF($J229&gt;=6,13,10)))),0)+IF($D230=1,IF($H$1&lt;7,10,IF(AND($H$1=7,$K229=0,$R229&gt;1),15,IF($K229&gt;=20,15,IF($K229&gt;=6,13,10)))),0)+IF($E230=1,IF($I$1&lt;7,10,IF(AND($I$1=7,$L229=0,$S229&gt;1),15,IF($L229&gt;=20,15,IF($L229&gt;=6,13,10)))),0)+IF($F230=1,IF($J$1&lt;7,10,IF(AND($J$1=7,$M229=0,$T229&gt;1),15,IF($M229&gt;=20,15,IF($M229&gt;=6,13,10)))),0)+IF($G230=1,IF($K$1&lt;7,10,IF(AND($K$1=7,$N229=0,$U229&gt;1),15,IF($N229&gt;=20,15,IF($N229&gt;=6,13,10)))),0)+IF($H230=1,IF($L$1&lt;7,10,IF(AND($L$1=7,$O229=0,$V229&gt;1),15,IF($O229&gt;=20,15,IF($O229&gt;=6,13,10)))),0)</f>
        <v/>
      </c>
      <c r="Z230" s="38">
        <f>$Z229+$Y230</f>
        <v/>
      </c>
      <c r="AA230" s="38">
        <f>IF(AND($B230=1,AND($F$1=7,$I229=0,$P229&gt;1)),1,0)+IF(AND($C230=1,AND($G$1=7,$J229=0,$Q229&gt;1)),1,0)+IF(AND($D230=1,AND($H$1=7,$K229=0,$R229&gt;1)),1,0)+IF(AND($E230=1,AND($I$1=7,$L229=0,$S229&gt;1)),1,0)+IF(AND($F230=1,AND($J$1=7,$M229=0,$T229&gt;1)),1,0)+IF(AND($G230=1,AND($K$1=7,$N229=0,$U229&gt;1)),1,0)+IF(AND($H230=1,AND($L$1=7,$O229=0,$V229&gt;1)),1,0)</f>
        <v/>
      </c>
      <c r="AB230" s="38">
        <f>IF(IFERROR('Авг'!$I13,"")="",0,$AB229+1)</f>
        <v/>
      </c>
    </row>
    <row r="231" spans="1:28">
      <c r="A231" s="38">
        <f>IF($B$1&gt;=DATE(2026,8,9),1,0)</f>
        <v/>
      </c>
      <c r="B231" s="38">
        <f>IFERROR(IF('Авг'!$B14=TRUE,1,0),0)</f>
        <v/>
      </c>
      <c r="C231" s="38">
        <f>IFERROR(IF('Авг'!$C14=TRUE,1,0),0)</f>
        <v/>
      </c>
      <c r="D231" s="38">
        <f>IFERROR(IF('Авг'!$D14=TRUE,1,0),0)</f>
        <v/>
      </c>
      <c r="E231" s="38">
        <f>IFERROR(IF('Авг'!$E14=TRUE,1,0),0)</f>
        <v/>
      </c>
      <c r="F231" s="38">
        <f>IFERROR(IF('Авг'!$F14=TRUE,1,0),0)</f>
        <v/>
      </c>
      <c r="G231" s="38">
        <f>IFERROR(IF('Авг'!$G14=TRUE,1,0),0)</f>
        <v/>
      </c>
      <c r="H231" s="38">
        <f>IFERROR(IF('Авг'!$H14=TRUE,1,0),0)</f>
        <v/>
      </c>
      <c r="I231" s="38">
        <f>IF($A231=0,$I230,IF($B231=1,$I230+1,IF($P231&lt;=1,$I230,0)))</f>
        <v/>
      </c>
      <c r="J231" s="38">
        <f>IF($A231=0,$J230,IF($C231=1,$J230+1,IF($Q231&lt;=1,$J230,0)))</f>
        <v/>
      </c>
      <c r="K231" s="38">
        <f>IF($A231=0,$K230,IF($D231=1,$K230+1,IF($R231&lt;=1,$K230,0)))</f>
        <v/>
      </c>
      <c r="L231" s="38">
        <f>IF($A231=0,$L230,IF($E231=1,$L230+1,IF($S231&lt;=1,$L230,0)))</f>
        <v/>
      </c>
      <c r="M231" s="38">
        <f>IF($A231=0,$M230,IF($F231=1,$M230+1,IF($T231&lt;=1,$M230,0)))</f>
        <v/>
      </c>
      <c r="N231" s="38">
        <f>IF($A231=0,$N230,IF($G231=1,$N230+1,IF($U231&lt;=1,$N230,0)))</f>
        <v/>
      </c>
      <c r="O231" s="38">
        <f>IF($A231=0,$O230,IF($H231=1,$O230+1,IF($V231&lt;=1,$O230,0)))</f>
        <v/>
      </c>
      <c r="P231" s="38">
        <f>IF($A231=0,$P230,$P230+IF($B231=1,0,1))</f>
        <v/>
      </c>
      <c r="Q231" s="38">
        <f>IF($A231=0,$Q230,$Q230+IF($C231=1,0,1))</f>
        <v/>
      </c>
      <c r="R231" s="38">
        <f>IF($A231=0,$R230,$R230+IF($D231=1,0,1))</f>
        <v/>
      </c>
      <c r="S231" s="38">
        <f>IF($A231=0,$S230,$S230+IF($E231=1,0,1))</f>
        <v/>
      </c>
      <c r="T231" s="38">
        <f>IF($A231=0,$T230,$T230+IF($F231=1,0,1))</f>
        <v/>
      </c>
      <c r="U231" s="38">
        <f>IF($A231=0,$U230,$U230+IF($G231=1,0,1))</f>
        <v/>
      </c>
      <c r="V231" s="38">
        <f>IF($A231=0,$V230,$V230+IF($H231=1,0,1))</f>
        <v/>
      </c>
      <c r="W231" s="38">
        <f>SUM($B231:$H231)</f>
        <v/>
      </c>
      <c r="X231" s="38">
        <f>IF(AND($A231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231=1),1,0)+IF(AND($G$1=7,$C231=1),1,0)+IF(AND($H$1=7,$D231=1),1,0)+IF(AND($I$1=7,$E231=1),1,0)+IF(AND($J$1=7,$F231=1),1,0)+IF(AND($K$1=7,$G231=1),1,0)+IF(AND($L$1=7,$H231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1" s="38">
        <f>IF($B231=1,IF($F$1&lt;7,10,IF(AND($F$1=7,$I230=0,$P230&gt;1),15,IF($I230&gt;=20,15,IF($I230&gt;=6,13,10)))),0)+IF($C231=1,IF($G$1&lt;7,10,IF(AND($G$1=7,$J230=0,$Q230&gt;1),15,IF($J230&gt;=20,15,IF($J230&gt;=6,13,10)))),0)+IF($D231=1,IF($H$1&lt;7,10,IF(AND($H$1=7,$K230=0,$R230&gt;1),15,IF($K230&gt;=20,15,IF($K230&gt;=6,13,10)))),0)+IF($E231=1,IF($I$1&lt;7,10,IF(AND($I$1=7,$L230=0,$S230&gt;1),15,IF($L230&gt;=20,15,IF($L230&gt;=6,13,10)))),0)+IF($F231=1,IF($J$1&lt;7,10,IF(AND($J$1=7,$M230=0,$T230&gt;1),15,IF($M230&gt;=20,15,IF($M230&gt;=6,13,10)))),0)+IF($G231=1,IF($K$1&lt;7,10,IF(AND($K$1=7,$N230=0,$U230&gt;1),15,IF($N230&gt;=20,15,IF($N230&gt;=6,13,10)))),0)+IF($H231=1,IF($L$1&lt;7,10,IF(AND($L$1=7,$O230=0,$V230&gt;1),15,IF($O230&gt;=20,15,IF($O230&gt;=6,13,10)))),0)</f>
        <v/>
      </c>
      <c r="Z231" s="38">
        <f>$Z230+$Y231</f>
        <v/>
      </c>
      <c r="AA231" s="38">
        <f>IF(AND($B231=1,AND($F$1=7,$I230=0,$P230&gt;1)),1,0)+IF(AND($C231=1,AND($G$1=7,$J230=0,$Q230&gt;1)),1,0)+IF(AND($D231=1,AND($H$1=7,$K230=0,$R230&gt;1)),1,0)+IF(AND($E231=1,AND($I$1=7,$L230=0,$S230&gt;1)),1,0)+IF(AND($F231=1,AND($J$1=7,$M230=0,$T230&gt;1)),1,0)+IF(AND($G231=1,AND($K$1=7,$N230=0,$U230&gt;1)),1,0)+IF(AND($H231=1,AND($L$1=7,$O230=0,$V230&gt;1)),1,0)</f>
        <v/>
      </c>
      <c r="AB231" s="38">
        <f>IF(IFERROR('Авг'!$I14,"")="",0,$AB230+1)</f>
        <v/>
      </c>
    </row>
    <row r="232" spans="1:28">
      <c r="A232" s="38">
        <f>IF($B$1&gt;=DATE(2026,8,10),1,0)</f>
        <v/>
      </c>
      <c r="B232" s="38">
        <f>IFERROR(IF('Авг'!$B15=TRUE,1,0),0)</f>
        <v/>
      </c>
      <c r="C232" s="38">
        <f>IFERROR(IF('Авг'!$C15=TRUE,1,0),0)</f>
        <v/>
      </c>
      <c r="D232" s="38">
        <f>IFERROR(IF('Авг'!$D15=TRUE,1,0),0)</f>
        <v/>
      </c>
      <c r="E232" s="38">
        <f>IFERROR(IF('Авг'!$E15=TRUE,1,0),0)</f>
        <v/>
      </c>
      <c r="F232" s="38">
        <f>IFERROR(IF('Авг'!$F15=TRUE,1,0),0)</f>
        <v/>
      </c>
      <c r="G232" s="38">
        <f>IFERROR(IF('Авг'!$G15=TRUE,1,0),0)</f>
        <v/>
      </c>
      <c r="H232" s="38">
        <f>IFERROR(IF('Авг'!$H15=TRUE,1,0),0)</f>
        <v/>
      </c>
      <c r="I232" s="38">
        <f>IF($A232=0,$I231,IF($B232=1,$I231+1,IF($P232&lt;=1,$I231,0)))</f>
        <v/>
      </c>
      <c r="J232" s="38">
        <f>IF($A232=0,$J231,IF($C232=1,$J231+1,IF($Q232&lt;=1,$J231,0)))</f>
        <v/>
      </c>
      <c r="K232" s="38">
        <f>IF($A232=0,$K231,IF($D232=1,$K231+1,IF($R232&lt;=1,$K231,0)))</f>
        <v/>
      </c>
      <c r="L232" s="38">
        <f>IF($A232=0,$L231,IF($E232=1,$L231+1,IF($S232&lt;=1,$L231,0)))</f>
        <v/>
      </c>
      <c r="M232" s="38">
        <f>IF($A232=0,$M231,IF($F232=1,$M231+1,IF($T232&lt;=1,$M231,0)))</f>
        <v/>
      </c>
      <c r="N232" s="38">
        <f>IF($A232=0,$N231,IF($G232=1,$N231+1,IF($U232&lt;=1,$N231,0)))</f>
        <v/>
      </c>
      <c r="O232" s="38">
        <f>IF($A232=0,$O231,IF($H232=1,$O231+1,IF($V232&lt;=1,$O231,0)))</f>
        <v/>
      </c>
      <c r="P232" s="38">
        <f>IF($A232=0,$P231,$P231+IF($B232=1,0,1))</f>
        <v/>
      </c>
      <c r="Q232" s="38">
        <f>IF($A232=0,$Q231,$Q231+IF($C232=1,0,1))</f>
        <v/>
      </c>
      <c r="R232" s="38">
        <f>IF($A232=0,$R231,$R231+IF($D232=1,0,1))</f>
        <v/>
      </c>
      <c r="S232" s="38">
        <f>IF($A232=0,$S231,$S231+IF($E232=1,0,1))</f>
        <v/>
      </c>
      <c r="T232" s="38">
        <f>IF($A232=0,$T231,$T231+IF($F232=1,0,1))</f>
        <v/>
      </c>
      <c r="U232" s="38">
        <f>IF($A232=0,$U231,$U231+IF($G232=1,0,1))</f>
        <v/>
      </c>
      <c r="V232" s="38">
        <f>IF($A232=0,$V231,$V231+IF($H232=1,0,1))</f>
        <v/>
      </c>
      <c r="W232" s="38">
        <f>SUM($B232:$H232)</f>
        <v/>
      </c>
      <c r="X232" s="38">
        <f>IF(AND($A232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232=1),1,0)+IF(AND($G$1=7,$C232=1),1,0)+IF(AND($H$1=7,$D232=1),1,0)+IF(AND($I$1=7,$E232=1),1,0)+IF(AND($J$1=7,$F232=1),1,0)+IF(AND($K$1=7,$G232=1),1,0)+IF(AND($L$1=7,$H232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2" s="38">
        <f>IF($B232=1,IF($F$1&lt;7,10,IF(AND($F$1=7,$I231=0,$P231&gt;1),15,IF($I231&gt;=20,15,IF($I231&gt;=6,13,10)))),0)+IF($C232=1,IF($G$1&lt;7,10,IF(AND($G$1=7,$J231=0,$Q231&gt;1),15,IF($J231&gt;=20,15,IF($J231&gt;=6,13,10)))),0)+IF($D232=1,IF($H$1&lt;7,10,IF(AND($H$1=7,$K231=0,$R231&gt;1),15,IF($K231&gt;=20,15,IF($K231&gt;=6,13,10)))),0)+IF($E232=1,IF($I$1&lt;7,10,IF(AND($I$1=7,$L231=0,$S231&gt;1),15,IF($L231&gt;=20,15,IF($L231&gt;=6,13,10)))),0)+IF($F232=1,IF($J$1&lt;7,10,IF(AND($J$1=7,$M231=0,$T231&gt;1),15,IF($M231&gt;=20,15,IF($M231&gt;=6,13,10)))),0)+IF($G232=1,IF($K$1&lt;7,10,IF(AND($K$1=7,$N231=0,$U231&gt;1),15,IF($N231&gt;=20,15,IF($N231&gt;=6,13,10)))),0)+IF($H232=1,IF($L$1&lt;7,10,IF(AND($L$1=7,$O231=0,$V231&gt;1),15,IF($O231&gt;=20,15,IF($O231&gt;=6,13,10)))),0)</f>
        <v/>
      </c>
      <c r="Z232" s="38">
        <f>$Z231+$Y232</f>
        <v/>
      </c>
      <c r="AA232" s="38">
        <f>IF(AND($B232=1,AND($F$1=7,$I231=0,$P231&gt;1)),1,0)+IF(AND($C232=1,AND($G$1=7,$J231=0,$Q231&gt;1)),1,0)+IF(AND($D232=1,AND($H$1=7,$K231=0,$R231&gt;1)),1,0)+IF(AND($E232=1,AND($I$1=7,$L231=0,$S231&gt;1)),1,0)+IF(AND($F232=1,AND($J$1=7,$M231=0,$T231&gt;1)),1,0)+IF(AND($G232=1,AND($K$1=7,$N231=0,$U231&gt;1)),1,0)+IF(AND($H232=1,AND($L$1=7,$O231=0,$V231&gt;1)),1,0)</f>
        <v/>
      </c>
      <c r="AB232" s="38">
        <f>IF(IFERROR('Авг'!$I15,"")="",0,$AB231+1)</f>
        <v/>
      </c>
    </row>
    <row r="233" spans="1:28">
      <c r="A233" s="38">
        <f>IF($B$1&gt;=DATE(2026,8,11),1,0)</f>
        <v/>
      </c>
      <c r="B233" s="38">
        <f>IFERROR(IF('Авг'!$B16=TRUE,1,0),0)</f>
        <v/>
      </c>
      <c r="C233" s="38">
        <f>IFERROR(IF('Авг'!$C16=TRUE,1,0),0)</f>
        <v/>
      </c>
      <c r="D233" s="38">
        <f>IFERROR(IF('Авг'!$D16=TRUE,1,0),0)</f>
        <v/>
      </c>
      <c r="E233" s="38">
        <f>IFERROR(IF('Авг'!$E16=TRUE,1,0),0)</f>
        <v/>
      </c>
      <c r="F233" s="38">
        <f>IFERROR(IF('Авг'!$F16=TRUE,1,0),0)</f>
        <v/>
      </c>
      <c r="G233" s="38">
        <f>IFERROR(IF('Авг'!$G16=TRUE,1,0),0)</f>
        <v/>
      </c>
      <c r="H233" s="38">
        <f>IFERROR(IF('Авг'!$H16=TRUE,1,0),0)</f>
        <v/>
      </c>
      <c r="I233" s="38">
        <f>IF($A233=0,$I232,IF($B233=1,$I232+1,IF($P233&lt;=1,$I232,0)))</f>
        <v/>
      </c>
      <c r="J233" s="38">
        <f>IF($A233=0,$J232,IF($C233=1,$J232+1,IF($Q233&lt;=1,$J232,0)))</f>
        <v/>
      </c>
      <c r="K233" s="38">
        <f>IF($A233=0,$K232,IF($D233=1,$K232+1,IF($R233&lt;=1,$K232,0)))</f>
        <v/>
      </c>
      <c r="L233" s="38">
        <f>IF($A233=0,$L232,IF($E233=1,$L232+1,IF($S233&lt;=1,$L232,0)))</f>
        <v/>
      </c>
      <c r="M233" s="38">
        <f>IF($A233=0,$M232,IF($F233=1,$M232+1,IF($T233&lt;=1,$M232,0)))</f>
        <v/>
      </c>
      <c r="N233" s="38">
        <f>IF($A233=0,$N232,IF($G233=1,$N232+1,IF($U233&lt;=1,$N232,0)))</f>
        <v/>
      </c>
      <c r="O233" s="38">
        <f>IF($A233=0,$O232,IF($H233=1,$O232+1,IF($V233&lt;=1,$O232,0)))</f>
        <v/>
      </c>
      <c r="P233" s="38">
        <f>IF($A233=0,$P232,$P232+IF($B233=1,0,1))</f>
        <v/>
      </c>
      <c r="Q233" s="38">
        <f>IF($A233=0,$Q232,$Q232+IF($C233=1,0,1))</f>
        <v/>
      </c>
      <c r="R233" s="38">
        <f>IF($A233=0,$R232,$R232+IF($D233=1,0,1))</f>
        <v/>
      </c>
      <c r="S233" s="38">
        <f>IF($A233=0,$S232,$S232+IF($E233=1,0,1))</f>
        <v/>
      </c>
      <c r="T233" s="38">
        <f>IF($A233=0,$T232,$T232+IF($F233=1,0,1))</f>
        <v/>
      </c>
      <c r="U233" s="38">
        <f>IF($A233=0,$U232,$U232+IF($G233=1,0,1))</f>
        <v/>
      </c>
      <c r="V233" s="38">
        <f>IF($A233=0,$V232,$V232+IF($H233=1,0,1))</f>
        <v/>
      </c>
      <c r="W233" s="38">
        <f>SUM($B233:$H233)</f>
        <v/>
      </c>
      <c r="X233" s="38">
        <f>IF(AND($A233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233=1),1,0)+IF(AND($G$1=7,$C233=1),1,0)+IF(AND($H$1=7,$D233=1),1,0)+IF(AND($I$1=7,$E233=1),1,0)+IF(AND($J$1=7,$F233=1),1,0)+IF(AND($K$1=7,$G233=1),1,0)+IF(AND($L$1=7,$H233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3" s="38">
        <f>IF($B233=1,IF($F$1&lt;7,10,IF(AND($F$1=7,$I232=0,$P232&gt;1),15,IF($I232&gt;=20,15,IF($I232&gt;=6,13,10)))),0)+IF($C233=1,IF($G$1&lt;7,10,IF(AND($G$1=7,$J232=0,$Q232&gt;1),15,IF($J232&gt;=20,15,IF($J232&gt;=6,13,10)))),0)+IF($D233=1,IF($H$1&lt;7,10,IF(AND($H$1=7,$K232=0,$R232&gt;1),15,IF($K232&gt;=20,15,IF($K232&gt;=6,13,10)))),0)+IF($E233=1,IF($I$1&lt;7,10,IF(AND($I$1=7,$L232=0,$S232&gt;1),15,IF($L232&gt;=20,15,IF($L232&gt;=6,13,10)))),0)+IF($F233=1,IF($J$1&lt;7,10,IF(AND($J$1=7,$M232=0,$T232&gt;1),15,IF($M232&gt;=20,15,IF($M232&gt;=6,13,10)))),0)+IF($G233=1,IF($K$1&lt;7,10,IF(AND($K$1=7,$N232=0,$U232&gt;1),15,IF($N232&gt;=20,15,IF($N232&gt;=6,13,10)))),0)+IF($H233=1,IF($L$1&lt;7,10,IF(AND($L$1=7,$O232=0,$V232&gt;1),15,IF($O232&gt;=20,15,IF($O232&gt;=6,13,10)))),0)</f>
        <v/>
      </c>
      <c r="Z233" s="38">
        <f>$Z232+$Y233</f>
        <v/>
      </c>
      <c r="AA233" s="38">
        <f>IF(AND($B233=1,AND($F$1=7,$I232=0,$P232&gt;1)),1,0)+IF(AND($C233=1,AND($G$1=7,$J232=0,$Q232&gt;1)),1,0)+IF(AND($D233=1,AND($H$1=7,$K232=0,$R232&gt;1)),1,0)+IF(AND($E233=1,AND($I$1=7,$L232=0,$S232&gt;1)),1,0)+IF(AND($F233=1,AND($J$1=7,$M232=0,$T232&gt;1)),1,0)+IF(AND($G233=1,AND($K$1=7,$N232=0,$U232&gt;1)),1,0)+IF(AND($H233=1,AND($L$1=7,$O232=0,$V232&gt;1)),1,0)</f>
        <v/>
      </c>
      <c r="AB233" s="38">
        <f>IF(IFERROR('Авг'!$I16,"")="",0,$AB232+1)</f>
        <v/>
      </c>
    </row>
    <row r="234" spans="1:28">
      <c r="A234" s="38">
        <f>IF($B$1&gt;=DATE(2026,8,12),1,0)</f>
        <v/>
      </c>
      <c r="B234" s="38">
        <f>IFERROR(IF('Авг'!$B17=TRUE,1,0),0)</f>
        <v/>
      </c>
      <c r="C234" s="38">
        <f>IFERROR(IF('Авг'!$C17=TRUE,1,0),0)</f>
        <v/>
      </c>
      <c r="D234" s="38">
        <f>IFERROR(IF('Авг'!$D17=TRUE,1,0),0)</f>
        <v/>
      </c>
      <c r="E234" s="38">
        <f>IFERROR(IF('Авг'!$E17=TRUE,1,0),0)</f>
        <v/>
      </c>
      <c r="F234" s="38">
        <f>IFERROR(IF('Авг'!$F17=TRUE,1,0),0)</f>
        <v/>
      </c>
      <c r="G234" s="38">
        <f>IFERROR(IF('Авг'!$G17=TRUE,1,0),0)</f>
        <v/>
      </c>
      <c r="H234" s="38">
        <f>IFERROR(IF('Авг'!$H17=TRUE,1,0),0)</f>
        <v/>
      </c>
      <c r="I234" s="38">
        <f>IF($A234=0,$I233,IF($B234=1,$I233+1,IF($P234&lt;=1,$I233,0)))</f>
        <v/>
      </c>
      <c r="J234" s="38">
        <f>IF($A234=0,$J233,IF($C234=1,$J233+1,IF($Q234&lt;=1,$J233,0)))</f>
        <v/>
      </c>
      <c r="K234" s="38">
        <f>IF($A234=0,$K233,IF($D234=1,$K233+1,IF($R234&lt;=1,$K233,0)))</f>
        <v/>
      </c>
      <c r="L234" s="38">
        <f>IF($A234=0,$L233,IF($E234=1,$L233+1,IF($S234&lt;=1,$L233,0)))</f>
        <v/>
      </c>
      <c r="M234" s="38">
        <f>IF($A234=0,$M233,IF($F234=1,$M233+1,IF($T234&lt;=1,$M233,0)))</f>
        <v/>
      </c>
      <c r="N234" s="38">
        <f>IF($A234=0,$N233,IF($G234=1,$N233+1,IF($U234&lt;=1,$N233,0)))</f>
        <v/>
      </c>
      <c r="O234" s="38">
        <f>IF($A234=0,$O233,IF($H234=1,$O233+1,IF($V234&lt;=1,$O233,0)))</f>
        <v/>
      </c>
      <c r="P234" s="38">
        <f>IF($A234=0,$P233,$P233+IF($B234=1,0,1))</f>
        <v/>
      </c>
      <c r="Q234" s="38">
        <f>IF($A234=0,$Q233,$Q233+IF($C234=1,0,1))</f>
        <v/>
      </c>
      <c r="R234" s="38">
        <f>IF($A234=0,$R233,$R233+IF($D234=1,0,1))</f>
        <v/>
      </c>
      <c r="S234" s="38">
        <f>IF($A234=0,$S233,$S233+IF($E234=1,0,1))</f>
        <v/>
      </c>
      <c r="T234" s="38">
        <f>IF($A234=0,$T233,$T233+IF($F234=1,0,1))</f>
        <v/>
      </c>
      <c r="U234" s="38">
        <f>IF($A234=0,$U233,$U233+IF($G234=1,0,1))</f>
        <v/>
      </c>
      <c r="V234" s="38">
        <f>IF($A234=0,$V233,$V233+IF($H234=1,0,1))</f>
        <v/>
      </c>
      <c r="W234" s="38">
        <f>SUM($B234:$H234)</f>
        <v/>
      </c>
      <c r="X234" s="38">
        <f>IF(AND($A234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234=1),1,0)+IF(AND($G$1=7,$C234=1),1,0)+IF(AND($H$1=7,$D234=1),1,0)+IF(AND($I$1=7,$E234=1),1,0)+IF(AND($J$1=7,$F234=1),1,0)+IF(AND($K$1=7,$G234=1),1,0)+IF(AND($L$1=7,$H234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4" s="38">
        <f>IF($B234=1,IF($F$1&lt;7,10,IF(AND($F$1=7,$I233=0,$P233&gt;1),15,IF($I233&gt;=20,15,IF($I233&gt;=6,13,10)))),0)+IF($C234=1,IF($G$1&lt;7,10,IF(AND($G$1=7,$J233=0,$Q233&gt;1),15,IF($J233&gt;=20,15,IF($J233&gt;=6,13,10)))),0)+IF($D234=1,IF($H$1&lt;7,10,IF(AND($H$1=7,$K233=0,$R233&gt;1),15,IF($K233&gt;=20,15,IF($K233&gt;=6,13,10)))),0)+IF($E234=1,IF($I$1&lt;7,10,IF(AND($I$1=7,$L233=0,$S233&gt;1),15,IF($L233&gt;=20,15,IF($L233&gt;=6,13,10)))),0)+IF($F234=1,IF($J$1&lt;7,10,IF(AND($J$1=7,$M233=0,$T233&gt;1),15,IF($M233&gt;=20,15,IF($M233&gt;=6,13,10)))),0)+IF($G234=1,IF($K$1&lt;7,10,IF(AND($K$1=7,$N233=0,$U233&gt;1),15,IF($N233&gt;=20,15,IF($N233&gt;=6,13,10)))),0)+IF($H234=1,IF($L$1&lt;7,10,IF(AND($L$1=7,$O233=0,$V233&gt;1),15,IF($O233&gt;=20,15,IF($O233&gt;=6,13,10)))),0)</f>
        <v/>
      </c>
      <c r="Z234" s="38">
        <f>$Z233+$Y234</f>
        <v/>
      </c>
      <c r="AA234" s="38">
        <f>IF(AND($B234=1,AND($F$1=7,$I233=0,$P233&gt;1)),1,0)+IF(AND($C234=1,AND($G$1=7,$J233=0,$Q233&gt;1)),1,0)+IF(AND($D234=1,AND($H$1=7,$K233=0,$R233&gt;1)),1,0)+IF(AND($E234=1,AND($I$1=7,$L233=0,$S233&gt;1)),1,0)+IF(AND($F234=1,AND($J$1=7,$M233=0,$T233&gt;1)),1,0)+IF(AND($G234=1,AND($K$1=7,$N233=0,$U233&gt;1)),1,0)+IF(AND($H234=1,AND($L$1=7,$O233=0,$V233&gt;1)),1,0)</f>
        <v/>
      </c>
      <c r="AB234" s="38">
        <f>IF(IFERROR('Авг'!$I17,"")="",0,$AB233+1)</f>
        <v/>
      </c>
    </row>
    <row r="235" spans="1:28">
      <c r="A235" s="38">
        <f>IF($B$1&gt;=DATE(2026,8,13),1,0)</f>
        <v/>
      </c>
      <c r="B235" s="38">
        <f>IFERROR(IF('Авг'!$B18=TRUE,1,0),0)</f>
        <v/>
      </c>
      <c r="C235" s="38">
        <f>IFERROR(IF('Авг'!$C18=TRUE,1,0),0)</f>
        <v/>
      </c>
      <c r="D235" s="38">
        <f>IFERROR(IF('Авг'!$D18=TRUE,1,0),0)</f>
        <v/>
      </c>
      <c r="E235" s="38">
        <f>IFERROR(IF('Авг'!$E18=TRUE,1,0),0)</f>
        <v/>
      </c>
      <c r="F235" s="38">
        <f>IFERROR(IF('Авг'!$F18=TRUE,1,0),0)</f>
        <v/>
      </c>
      <c r="G235" s="38">
        <f>IFERROR(IF('Авг'!$G18=TRUE,1,0),0)</f>
        <v/>
      </c>
      <c r="H235" s="38">
        <f>IFERROR(IF('Авг'!$H18=TRUE,1,0),0)</f>
        <v/>
      </c>
      <c r="I235" s="38">
        <f>IF($A235=0,$I234,IF($B235=1,$I234+1,IF($P235&lt;=1,$I234,0)))</f>
        <v/>
      </c>
      <c r="J235" s="38">
        <f>IF($A235=0,$J234,IF($C235=1,$J234+1,IF($Q235&lt;=1,$J234,0)))</f>
        <v/>
      </c>
      <c r="K235" s="38">
        <f>IF($A235=0,$K234,IF($D235=1,$K234+1,IF($R235&lt;=1,$K234,0)))</f>
        <v/>
      </c>
      <c r="L235" s="38">
        <f>IF($A235=0,$L234,IF($E235=1,$L234+1,IF($S235&lt;=1,$L234,0)))</f>
        <v/>
      </c>
      <c r="M235" s="38">
        <f>IF($A235=0,$M234,IF($F235=1,$M234+1,IF($T235&lt;=1,$M234,0)))</f>
        <v/>
      </c>
      <c r="N235" s="38">
        <f>IF($A235=0,$N234,IF($G235=1,$N234+1,IF($U235&lt;=1,$N234,0)))</f>
        <v/>
      </c>
      <c r="O235" s="38">
        <f>IF($A235=0,$O234,IF($H235=1,$O234+1,IF($V235&lt;=1,$O234,0)))</f>
        <v/>
      </c>
      <c r="P235" s="38">
        <f>IF($A235=0,$P234,$P234+IF($B235=1,0,1))</f>
        <v/>
      </c>
      <c r="Q235" s="38">
        <f>IF($A235=0,$Q234,$Q234+IF($C235=1,0,1))</f>
        <v/>
      </c>
      <c r="R235" s="38">
        <f>IF($A235=0,$R234,$R234+IF($D235=1,0,1))</f>
        <v/>
      </c>
      <c r="S235" s="38">
        <f>IF($A235=0,$S234,$S234+IF($E235=1,0,1))</f>
        <v/>
      </c>
      <c r="T235" s="38">
        <f>IF($A235=0,$T234,$T234+IF($F235=1,0,1))</f>
        <v/>
      </c>
      <c r="U235" s="38">
        <f>IF($A235=0,$U234,$U234+IF($G235=1,0,1))</f>
        <v/>
      </c>
      <c r="V235" s="38">
        <f>IF($A235=0,$V234,$V234+IF($H235=1,0,1))</f>
        <v/>
      </c>
      <c r="W235" s="38">
        <f>SUM($B235:$H235)</f>
        <v/>
      </c>
      <c r="X235" s="38">
        <f>IF(AND($A235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235=1),1,0)+IF(AND($G$1=7,$C235=1),1,0)+IF(AND($H$1=7,$D235=1),1,0)+IF(AND($I$1=7,$E235=1),1,0)+IF(AND($J$1=7,$F235=1),1,0)+IF(AND($K$1=7,$G235=1),1,0)+IF(AND($L$1=7,$H235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5" s="38">
        <f>IF($B235=1,IF($F$1&lt;7,10,IF(AND($F$1=7,$I234=0,$P234&gt;1),15,IF($I234&gt;=20,15,IF($I234&gt;=6,13,10)))),0)+IF($C235=1,IF($G$1&lt;7,10,IF(AND($G$1=7,$J234=0,$Q234&gt;1),15,IF($J234&gt;=20,15,IF($J234&gt;=6,13,10)))),0)+IF($D235=1,IF($H$1&lt;7,10,IF(AND($H$1=7,$K234=0,$R234&gt;1),15,IF($K234&gt;=20,15,IF($K234&gt;=6,13,10)))),0)+IF($E235=1,IF($I$1&lt;7,10,IF(AND($I$1=7,$L234=0,$S234&gt;1),15,IF($L234&gt;=20,15,IF($L234&gt;=6,13,10)))),0)+IF($F235=1,IF($J$1&lt;7,10,IF(AND($J$1=7,$M234=0,$T234&gt;1),15,IF($M234&gt;=20,15,IF($M234&gt;=6,13,10)))),0)+IF($G235=1,IF($K$1&lt;7,10,IF(AND($K$1=7,$N234=0,$U234&gt;1),15,IF($N234&gt;=20,15,IF($N234&gt;=6,13,10)))),0)+IF($H235=1,IF($L$1&lt;7,10,IF(AND($L$1=7,$O234=0,$V234&gt;1),15,IF($O234&gt;=20,15,IF($O234&gt;=6,13,10)))),0)</f>
        <v/>
      </c>
      <c r="Z235" s="38">
        <f>$Z234+$Y235</f>
        <v/>
      </c>
      <c r="AA235" s="38">
        <f>IF(AND($B235=1,AND($F$1=7,$I234=0,$P234&gt;1)),1,0)+IF(AND($C235=1,AND($G$1=7,$J234=0,$Q234&gt;1)),1,0)+IF(AND($D235=1,AND($H$1=7,$K234=0,$R234&gt;1)),1,0)+IF(AND($E235=1,AND($I$1=7,$L234=0,$S234&gt;1)),1,0)+IF(AND($F235=1,AND($J$1=7,$M234=0,$T234&gt;1)),1,0)+IF(AND($G235=1,AND($K$1=7,$N234=0,$U234&gt;1)),1,0)+IF(AND($H235=1,AND($L$1=7,$O234=0,$V234&gt;1)),1,0)</f>
        <v/>
      </c>
      <c r="AB235" s="38">
        <f>IF(IFERROR('Авг'!$I18,"")="",0,$AB234+1)</f>
        <v/>
      </c>
    </row>
    <row r="236" spans="1:28">
      <c r="A236" s="38">
        <f>IF($B$1&gt;=DATE(2026,8,14),1,0)</f>
        <v/>
      </c>
      <c r="B236" s="38">
        <f>IFERROR(IF('Авг'!$B19=TRUE,1,0),0)</f>
        <v/>
      </c>
      <c r="C236" s="38">
        <f>IFERROR(IF('Авг'!$C19=TRUE,1,0),0)</f>
        <v/>
      </c>
      <c r="D236" s="38">
        <f>IFERROR(IF('Авг'!$D19=TRUE,1,0),0)</f>
        <v/>
      </c>
      <c r="E236" s="38">
        <f>IFERROR(IF('Авг'!$E19=TRUE,1,0),0)</f>
        <v/>
      </c>
      <c r="F236" s="38">
        <f>IFERROR(IF('Авг'!$F19=TRUE,1,0),0)</f>
        <v/>
      </c>
      <c r="G236" s="38">
        <f>IFERROR(IF('Авг'!$G19=TRUE,1,0),0)</f>
        <v/>
      </c>
      <c r="H236" s="38">
        <f>IFERROR(IF('Авг'!$H19=TRUE,1,0),0)</f>
        <v/>
      </c>
      <c r="I236" s="38">
        <f>IF($A236=0,$I235,IF($B236=1,$I235+1,IF($P236&lt;=1,$I235,0)))</f>
        <v/>
      </c>
      <c r="J236" s="38">
        <f>IF($A236=0,$J235,IF($C236=1,$J235+1,IF($Q236&lt;=1,$J235,0)))</f>
        <v/>
      </c>
      <c r="K236" s="38">
        <f>IF($A236=0,$K235,IF($D236=1,$K235+1,IF($R236&lt;=1,$K235,0)))</f>
        <v/>
      </c>
      <c r="L236" s="38">
        <f>IF($A236=0,$L235,IF($E236=1,$L235+1,IF($S236&lt;=1,$L235,0)))</f>
        <v/>
      </c>
      <c r="M236" s="38">
        <f>IF($A236=0,$M235,IF($F236=1,$M235+1,IF($T236&lt;=1,$M235,0)))</f>
        <v/>
      </c>
      <c r="N236" s="38">
        <f>IF($A236=0,$N235,IF($G236=1,$N235+1,IF($U236&lt;=1,$N235,0)))</f>
        <v/>
      </c>
      <c r="O236" s="38">
        <f>IF($A236=0,$O235,IF($H236=1,$O235+1,IF($V236&lt;=1,$O235,0)))</f>
        <v/>
      </c>
      <c r="P236" s="38">
        <f>IF($A236=0,$P235,$P235+IF($B236=1,0,1))</f>
        <v/>
      </c>
      <c r="Q236" s="38">
        <f>IF($A236=0,$Q235,$Q235+IF($C236=1,0,1))</f>
        <v/>
      </c>
      <c r="R236" s="38">
        <f>IF($A236=0,$R235,$R235+IF($D236=1,0,1))</f>
        <v/>
      </c>
      <c r="S236" s="38">
        <f>IF($A236=0,$S235,$S235+IF($E236=1,0,1))</f>
        <v/>
      </c>
      <c r="T236" s="38">
        <f>IF($A236=0,$T235,$T235+IF($F236=1,0,1))</f>
        <v/>
      </c>
      <c r="U236" s="38">
        <f>IF($A236=0,$U235,$U235+IF($G236=1,0,1))</f>
        <v/>
      </c>
      <c r="V236" s="38">
        <f>IF($A236=0,$V235,$V235+IF($H236=1,0,1))</f>
        <v/>
      </c>
      <c r="W236" s="38">
        <f>SUM($B236:$H236)</f>
        <v/>
      </c>
      <c r="X236" s="38">
        <f>IF(AND($A236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236=1),1,0)+IF(AND($G$1=7,$C236=1),1,0)+IF(AND($H$1=7,$D236=1),1,0)+IF(AND($I$1=7,$E236=1),1,0)+IF(AND($J$1=7,$F236=1),1,0)+IF(AND($K$1=7,$G236=1),1,0)+IF(AND($L$1=7,$H236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6" s="38">
        <f>IF($B236=1,IF($F$1&lt;7,10,IF(AND($F$1=7,$I235=0,$P235&gt;1),15,IF($I235&gt;=20,15,IF($I235&gt;=6,13,10)))),0)+IF($C236=1,IF($G$1&lt;7,10,IF(AND($G$1=7,$J235=0,$Q235&gt;1),15,IF($J235&gt;=20,15,IF($J235&gt;=6,13,10)))),0)+IF($D236=1,IF($H$1&lt;7,10,IF(AND($H$1=7,$K235=0,$R235&gt;1),15,IF($K235&gt;=20,15,IF($K235&gt;=6,13,10)))),0)+IF($E236=1,IF($I$1&lt;7,10,IF(AND($I$1=7,$L235=0,$S235&gt;1),15,IF($L235&gt;=20,15,IF($L235&gt;=6,13,10)))),0)+IF($F236=1,IF($J$1&lt;7,10,IF(AND($J$1=7,$M235=0,$T235&gt;1),15,IF($M235&gt;=20,15,IF($M235&gt;=6,13,10)))),0)+IF($G236=1,IF($K$1&lt;7,10,IF(AND($K$1=7,$N235=0,$U235&gt;1),15,IF($N235&gt;=20,15,IF($N235&gt;=6,13,10)))),0)+IF($H236=1,IF($L$1&lt;7,10,IF(AND($L$1=7,$O235=0,$V235&gt;1),15,IF($O235&gt;=20,15,IF($O235&gt;=6,13,10)))),0)</f>
        <v/>
      </c>
      <c r="Z236" s="38">
        <f>$Z235+$Y236</f>
        <v/>
      </c>
      <c r="AA236" s="38">
        <f>IF(AND($B236=1,AND($F$1=7,$I235=0,$P235&gt;1)),1,0)+IF(AND($C236=1,AND($G$1=7,$J235=0,$Q235&gt;1)),1,0)+IF(AND($D236=1,AND($H$1=7,$K235=0,$R235&gt;1)),1,0)+IF(AND($E236=1,AND($I$1=7,$L235=0,$S235&gt;1)),1,0)+IF(AND($F236=1,AND($J$1=7,$M235=0,$T235&gt;1)),1,0)+IF(AND($G236=1,AND($K$1=7,$N235=0,$U235&gt;1)),1,0)+IF(AND($H236=1,AND($L$1=7,$O235=0,$V235&gt;1)),1,0)</f>
        <v/>
      </c>
      <c r="AB236" s="38">
        <f>IF(IFERROR('Авг'!$I19,"")="",0,$AB235+1)</f>
        <v/>
      </c>
    </row>
    <row r="237" spans="1:28">
      <c r="A237" s="38">
        <f>IF($B$1&gt;=DATE(2026,8,15),1,0)</f>
        <v/>
      </c>
      <c r="B237" s="38">
        <f>IFERROR(IF('Авг'!$B20=TRUE,1,0),0)</f>
        <v/>
      </c>
      <c r="C237" s="38">
        <f>IFERROR(IF('Авг'!$C20=TRUE,1,0),0)</f>
        <v/>
      </c>
      <c r="D237" s="38">
        <f>IFERROR(IF('Авг'!$D20=TRUE,1,0),0)</f>
        <v/>
      </c>
      <c r="E237" s="38">
        <f>IFERROR(IF('Авг'!$E20=TRUE,1,0),0)</f>
        <v/>
      </c>
      <c r="F237" s="38">
        <f>IFERROR(IF('Авг'!$F20=TRUE,1,0),0)</f>
        <v/>
      </c>
      <c r="G237" s="38">
        <f>IFERROR(IF('Авг'!$G20=TRUE,1,0),0)</f>
        <v/>
      </c>
      <c r="H237" s="38">
        <f>IFERROR(IF('Авг'!$H20=TRUE,1,0),0)</f>
        <v/>
      </c>
      <c r="I237" s="38">
        <f>IF($A237=0,$I236,IF($B237=1,$I236+1,IF($P237&lt;=1,$I236,0)))</f>
        <v/>
      </c>
      <c r="J237" s="38">
        <f>IF($A237=0,$J236,IF($C237=1,$J236+1,IF($Q237&lt;=1,$J236,0)))</f>
        <v/>
      </c>
      <c r="K237" s="38">
        <f>IF($A237=0,$K236,IF($D237=1,$K236+1,IF($R237&lt;=1,$K236,0)))</f>
        <v/>
      </c>
      <c r="L237" s="38">
        <f>IF($A237=0,$L236,IF($E237=1,$L236+1,IF($S237&lt;=1,$L236,0)))</f>
        <v/>
      </c>
      <c r="M237" s="38">
        <f>IF($A237=0,$M236,IF($F237=1,$M236+1,IF($T237&lt;=1,$M236,0)))</f>
        <v/>
      </c>
      <c r="N237" s="38">
        <f>IF($A237=0,$N236,IF($G237=1,$N236+1,IF($U237&lt;=1,$N236,0)))</f>
        <v/>
      </c>
      <c r="O237" s="38">
        <f>IF($A237=0,$O236,IF($H237=1,$O236+1,IF($V237&lt;=1,$O236,0)))</f>
        <v/>
      </c>
      <c r="P237" s="38">
        <f>IF($A237=0,$P236,$P236+IF($B237=1,0,1))</f>
        <v/>
      </c>
      <c r="Q237" s="38">
        <f>IF($A237=0,$Q236,$Q236+IF($C237=1,0,1))</f>
        <v/>
      </c>
      <c r="R237" s="38">
        <f>IF($A237=0,$R236,$R236+IF($D237=1,0,1))</f>
        <v/>
      </c>
      <c r="S237" s="38">
        <f>IF($A237=0,$S236,$S236+IF($E237=1,0,1))</f>
        <v/>
      </c>
      <c r="T237" s="38">
        <f>IF($A237=0,$T236,$T236+IF($F237=1,0,1))</f>
        <v/>
      </c>
      <c r="U237" s="38">
        <f>IF($A237=0,$U236,$U236+IF($G237=1,0,1))</f>
        <v/>
      </c>
      <c r="V237" s="38">
        <f>IF($A237=0,$V236,$V236+IF($H237=1,0,1))</f>
        <v/>
      </c>
      <c r="W237" s="38">
        <f>SUM($B237:$H237)</f>
        <v/>
      </c>
      <c r="X237" s="38">
        <f>IF(AND($A237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237=1),1,0)+IF(AND($G$1=7,$C237=1),1,0)+IF(AND($H$1=7,$D237=1),1,0)+IF(AND($I$1=7,$E237=1),1,0)+IF(AND($J$1=7,$F237=1),1,0)+IF(AND($K$1=7,$G237=1),1,0)+IF(AND($L$1=7,$H237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7" s="38">
        <f>IF($B237=1,IF($F$1&lt;7,10,IF(AND($F$1=7,$I236=0,$P236&gt;1),15,IF($I236&gt;=20,15,IF($I236&gt;=6,13,10)))),0)+IF($C237=1,IF($G$1&lt;7,10,IF(AND($G$1=7,$J236=0,$Q236&gt;1),15,IF($J236&gt;=20,15,IF($J236&gt;=6,13,10)))),0)+IF($D237=1,IF($H$1&lt;7,10,IF(AND($H$1=7,$K236=0,$R236&gt;1),15,IF($K236&gt;=20,15,IF($K236&gt;=6,13,10)))),0)+IF($E237=1,IF($I$1&lt;7,10,IF(AND($I$1=7,$L236=0,$S236&gt;1),15,IF($L236&gt;=20,15,IF($L236&gt;=6,13,10)))),0)+IF($F237=1,IF($J$1&lt;7,10,IF(AND($J$1=7,$M236=0,$T236&gt;1),15,IF($M236&gt;=20,15,IF($M236&gt;=6,13,10)))),0)+IF($G237=1,IF($K$1&lt;7,10,IF(AND($K$1=7,$N236=0,$U236&gt;1),15,IF($N236&gt;=20,15,IF($N236&gt;=6,13,10)))),0)+IF($H237=1,IF($L$1&lt;7,10,IF(AND($L$1=7,$O236=0,$V236&gt;1),15,IF($O236&gt;=20,15,IF($O236&gt;=6,13,10)))),0)</f>
        <v/>
      </c>
      <c r="Z237" s="38">
        <f>$Z236+$Y237</f>
        <v/>
      </c>
      <c r="AA237" s="38">
        <f>IF(AND($B237=1,AND($F$1=7,$I236=0,$P236&gt;1)),1,0)+IF(AND($C237=1,AND($G$1=7,$J236=0,$Q236&gt;1)),1,0)+IF(AND($D237=1,AND($H$1=7,$K236=0,$R236&gt;1)),1,0)+IF(AND($E237=1,AND($I$1=7,$L236=0,$S236&gt;1)),1,0)+IF(AND($F237=1,AND($J$1=7,$M236=0,$T236&gt;1)),1,0)+IF(AND($G237=1,AND($K$1=7,$N236=0,$U236&gt;1)),1,0)+IF(AND($H237=1,AND($L$1=7,$O236=0,$V236&gt;1)),1,0)</f>
        <v/>
      </c>
      <c r="AB237" s="38">
        <f>IF(IFERROR('Авг'!$I20,"")="",0,$AB236+1)</f>
        <v/>
      </c>
    </row>
    <row r="238" spans="1:28">
      <c r="A238" s="38">
        <f>IF($B$1&gt;=DATE(2026,8,16),1,0)</f>
        <v/>
      </c>
      <c r="B238" s="38">
        <f>IFERROR(IF('Авг'!$B21=TRUE,1,0),0)</f>
        <v/>
      </c>
      <c r="C238" s="38">
        <f>IFERROR(IF('Авг'!$C21=TRUE,1,0),0)</f>
        <v/>
      </c>
      <c r="D238" s="38">
        <f>IFERROR(IF('Авг'!$D21=TRUE,1,0),0)</f>
        <v/>
      </c>
      <c r="E238" s="38">
        <f>IFERROR(IF('Авг'!$E21=TRUE,1,0),0)</f>
        <v/>
      </c>
      <c r="F238" s="38">
        <f>IFERROR(IF('Авг'!$F21=TRUE,1,0),0)</f>
        <v/>
      </c>
      <c r="G238" s="38">
        <f>IFERROR(IF('Авг'!$G21=TRUE,1,0),0)</f>
        <v/>
      </c>
      <c r="H238" s="38">
        <f>IFERROR(IF('Авг'!$H21=TRUE,1,0),0)</f>
        <v/>
      </c>
      <c r="I238" s="38">
        <f>IF($A238=0,$I237,IF($B238=1,$I237+1,IF($P238&lt;=1,$I237,0)))</f>
        <v/>
      </c>
      <c r="J238" s="38">
        <f>IF($A238=0,$J237,IF($C238=1,$J237+1,IF($Q238&lt;=1,$J237,0)))</f>
        <v/>
      </c>
      <c r="K238" s="38">
        <f>IF($A238=0,$K237,IF($D238=1,$K237+1,IF($R238&lt;=1,$K237,0)))</f>
        <v/>
      </c>
      <c r="L238" s="38">
        <f>IF($A238=0,$L237,IF($E238=1,$L237+1,IF($S238&lt;=1,$L237,0)))</f>
        <v/>
      </c>
      <c r="M238" s="38">
        <f>IF($A238=0,$M237,IF($F238=1,$M237+1,IF($T238&lt;=1,$M237,0)))</f>
        <v/>
      </c>
      <c r="N238" s="38">
        <f>IF($A238=0,$N237,IF($G238=1,$N237+1,IF($U238&lt;=1,$N237,0)))</f>
        <v/>
      </c>
      <c r="O238" s="38">
        <f>IF($A238=0,$O237,IF($H238=1,$O237+1,IF($V238&lt;=1,$O237,0)))</f>
        <v/>
      </c>
      <c r="P238" s="38">
        <f>IF($A238=0,$P237,$P237+IF($B238=1,0,1))</f>
        <v/>
      </c>
      <c r="Q238" s="38">
        <f>IF($A238=0,$Q237,$Q237+IF($C238=1,0,1))</f>
        <v/>
      </c>
      <c r="R238" s="38">
        <f>IF($A238=0,$R237,$R237+IF($D238=1,0,1))</f>
        <v/>
      </c>
      <c r="S238" s="38">
        <f>IF($A238=0,$S237,$S237+IF($E238=1,0,1))</f>
        <v/>
      </c>
      <c r="T238" s="38">
        <f>IF($A238=0,$T237,$T237+IF($F238=1,0,1))</f>
        <v/>
      </c>
      <c r="U238" s="38">
        <f>IF($A238=0,$U237,$U237+IF($G238=1,0,1))</f>
        <v/>
      </c>
      <c r="V238" s="38">
        <f>IF($A238=0,$V237,$V237+IF($H238=1,0,1))</f>
        <v/>
      </c>
      <c r="W238" s="38">
        <f>SUM($B238:$H238)</f>
        <v/>
      </c>
      <c r="X238" s="38">
        <f>IF(AND($A238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238=1),1,0)+IF(AND($G$1=7,$C238=1),1,0)+IF(AND($H$1=7,$D238=1),1,0)+IF(AND($I$1=7,$E238=1),1,0)+IF(AND($J$1=7,$F238=1),1,0)+IF(AND($K$1=7,$G238=1),1,0)+IF(AND($L$1=7,$H238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8" s="38">
        <f>IF($B238=1,IF($F$1&lt;7,10,IF(AND($F$1=7,$I237=0,$P237&gt;1),15,IF($I237&gt;=20,15,IF($I237&gt;=6,13,10)))),0)+IF($C238=1,IF($G$1&lt;7,10,IF(AND($G$1=7,$J237=0,$Q237&gt;1),15,IF($J237&gt;=20,15,IF($J237&gt;=6,13,10)))),0)+IF($D238=1,IF($H$1&lt;7,10,IF(AND($H$1=7,$K237=0,$R237&gt;1),15,IF($K237&gt;=20,15,IF($K237&gt;=6,13,10)))),0)+IF($E238=1,IF($I$1&lt;7,10,IF(AND($I$1=7,$L237=0,$S237&gt;1),15,IF($L237&gt;=20,15,IF($L237&gt;=6,13,10)))),0)+IF($F238=1,IF($J$1&lt;7,10,IF(AND($J$1=7,$M237=0,$T237&gt;1),15,IF($M237&gt;=20,15,IF($M237&gt;=6,13,10)))),0)+IF($G238=1,IF($K$1&lt;7,10,IF(AND($K$1=7,$N237=0,$U237&gt;1),15,IF($N237&gt;=20,15,IF($N237&gt;=6,13,10)))),0)+IF($H238=1,IF($L$1&lt;7,10,IF(AND($L$1=7,$O237=0,$V237&gt;1),15,IF($O237&gt;=20,15,IF($O237&gt;=6,13,10)))),0)</f>
        <v/>
      </c>
      <c r="Z238" s="38">
        <f>$Z237+$Y238</f>
        <v/>
      </c>
      <c r="AA238" s="38">
        <f>IF(AND($B238=1,AND($F$1=7,$I237=0,$P237&gt;1)),1,0)+IF(AND($C238=1,AND($G$1=7,$J237=0,$Q237&gt;1)),1,0)+IF(AND($D238=1,AND($H$1=7,$K237=0,$R237&gt;1)),1,0)+IF(AND($E238=1,AND($I$1=7,$L237=0,$S237&gt;1)),1,0)+IF(AND($F238=1,AND($J$1=7,$M237=0,$T237&gt;1)),1,0)+IF(AND($G238=1,AND($K$1=7,$N237=0,$U237&gt;1)),1,0)+IF(AND($H238=1,AND($L$1=7,$O237=0,$V237&gt;1)),1,0)</f>
        <v/>
      </c>
      <c r="AB238" s="38">
        <f>IF(IFERROR('Авг'!$I21,"")="",0,$AB237+1)</f>
        <v/>
      </c>
    </row>
    <row r="239" spans="1:28">
      <c r="A239" s="38">
        <f>IF($B$1&gt;=DATE(2026,8,17),1,0)</f>
        <v/>
      </c>
      <c r="B239" s="38">
        <f>IFERROR(IF('Авг'!$B22=TRUE,1,0),0)</f>
        <v/>
      </c>
      <c r="C239" s="38">
        <f>IFERROR(IF('Авг'!$C22=TRUE,1,0),0)</f>
        <v/>
      </c>
      <c r="D239" s="38">
        <f>IFERROR(IF('Авг'!$D22=TRUE,1,0),0)</f>
        <v/>
      </c>
      <c r="E239" s="38">
        <f>IFERROR(IF('Авг'!$E22=TRUE,1,0),0)</f>
        <v/>
      </c>
      <c r="F239" s="38">
        <f>IFERROR(IF('Авг'!$F22=TRUE,1,0),0)</f>
        <v/>
      </c>
      <c r="G239" s="38">
        <f>IFERROR(IF('Авг'!$G22=TRUE,1,0),0)</f>
        <v/>
      </c>
      <c r="H239" s="38">
        <f>IFERROR(IF('Авг'!$H22=TRUE,1,0),0)</f>
        <v/>
      </c>
      <c r="I239" s="38">
        <f>IF($A239=0,$I238,IF($B239=1,$I238+1,IF($P239&lt;=1,$I238,0)))</f>
        <v/>
      </c>
      <c r="J239" s="38">
        <f>IF($A239=0,$J238,IF($C239=1,$J238+1,IF($Q239&lt;=1,$J238,0)))</f>
        <v/>
      </c>
      <c r="K239" s="38">
        <f>IF($A239=0,$K238,IF($D239=1,$K238+1,IF($R239&lt;=1,$K238,0)))</f>
        <v/>
      </c>
      <c r="L239" s="38">
        <f>IF($A239=0,$L238,IF($E239=1,$L238+1,IF($S239&lt;=1,$L238,0)))</f>
        <v/>
      </c>
      <c r="M239" s="38">
        <f>IF($A239=0,$M238,IF($F239=1,$M238+1,IF($T239&lt;=1,$M238,0)))</f>
        <v/>
      </c>
      <c r="N239" s="38">
        <f>IF($A239=0,$N238,IF($G239=1,$N238+1,IF($U239&lt;=1,$N238,0)))</f>
        <v/>
      </c>
      <c r="O239" s="38">
        <f>IF($A239=0,$O238,IF($H239=1,$O238+1,IF($V239&lt;=1,$O238,0)))</f>
        <v/>
      </c>
      <c r="P239" s="38">
        <f>IF($A239=0,$P238,$P238+IF($B239=1,0,1))</f>
        <v/>
      </c>
      <c r="Q239" s="38">
        <f>IF($A239=0,$Q238,$Q238+IF($C239=1,0,1))</f>
        <v/>
      </c>
      <c r="R239" s="38">
        <f>IF($A239=0,$R238,$R238+IF($D239=1,0,1))</f>
        <v/>
      </c>
      <c r="S239" s="38">
        <f>IF($A239=0,$S238,$S238+IF($E239=1,0,1))</f>
        <v/>
      </c>
      <c r="T239" s="38">
        <f>IF($A239=0,$T238,$T238+IF($F239=1,0,1))</f>
        <v/>
      </c>
      <c r="U239" s="38">
        <f>IF($A239=0,$U238,$U238+IF($G239=1,0,1))</f>
        <v/>
      </c>
      <c r="V239" s="38">
        <f>IF($A239=0,$V238,$V238+IF($H239=1,0,1))</f>
        <v/>
      </c>
      <c r="W239" s="38">
        <f>SUM($B239:$H239)</f>
        <v/>
      </c>
      <c r="X239" s="38">
        <f>IF(AND($A239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239=1),1,0)+IF(AND($G$1=7,$C239=1),1,0)+IF(AND($H$1=7,$D239=1),1,0)+IF(AND($I$1=7,$E239=1),1,0)+IF(AND($J$1=7,$F239=1),1,0)+IF(AND($K$1=7,$G239=1),1,0)+IF(AND($L$1=7,$H239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9" s="38">
        <f>IF($B239=1,IF($F$1&lt;7,10,IF(AND($F$1=7,$I238=0,$P238&gt;1),15,IF($I238&gt;=20,15,IF($I238&gt;=6,13,10)))),0)+IF($C239=1,IF($G$1&lt;7,10,IF(AND($G$1=7,$J238=0,$Q238&gt;1),15,IF($J238&gt;=20,15,IF($J238&gt;=6,13,10)))),0)+IF($D239=1,IF($H$1&lt;7,10,IF(AND($H$1=7,$K238=0,$R238&gt;1),15,IF($K238&gt;=20,15,IF($K238&gt;=6,13,10)))),0)+IF($E239=1,IF($I$1&lt;7,10,IF(AND($I$1=7,$L238=0,$S238&gt;1),15,IF($L238&gt;=20,15,IF($L238&gt;=6,13,10)))),0)+IF($F239=1,IF($J$1&lt;7,10,IF(AND($J$1=7,$M238=0,$T238&gt;1),15,IF($M238&gt;=20,15,IF($M238&gt;=6,13,10)))),0)+IF($G239=1,IF($K$1&lt;7,10,IF(AND($K$1=7,$N238=0,$U238&gt;1),15,IF($N238&gt;=20,15,IF($N238&gt;=6,13,10)))),0)+IF($H239=1,IF($L$1&lt;7,10,IF(AND($L$1=7,$O238=0,$V238&gt;1),15,IF($O238&gt;=20,15,IF($O238&gt;=6,13,10)))),0)</f>
        <v/>
      </c>
      <c r="Z239" s="38">
        <f>$Z238+$Y239</f>
        <v/>
      </c>
      <c r="AA239" s="38">
        <f>IF(AND($B239=1,AND($F$1=7,$I238=0,$P238&gt;1)),1,0)+IF(AND($C239=1,AND($G$1=7,$J238=0,$Q238&gt;1)),1,0)+IF(AND($D239=1,AND($H$1=7,$K238=0,$R238&gt;1)),1,0)+IF(AND($E239=1,AND($I$1=7,$L238=0,$S238&gt;1)),1,0)+IF(AND($F239=1,AND($J$1=7,$M238=0,$T238&gt;1)),1,0)+IF(AND($G239=1,AND($K$1=7,$N238=0,$U238&gt;1)),1,0)+IF(AND($H239=1,AND($L$1=7,$O238=0,$V238&gt;1)),1,0)</f>
        <v/>
      </c>
      <c r="AB239" s="38">
        <f>IF(IFERROR('Авг'!$I22,"")="",0,$AB238+1)</f>
        <v/>
      </c>
    </row>
    <row r="240" spans="1:28">
      <c r="A240" s="38">
        <f>IF($B$1&gt;=DATE(2026,8,18),1,0)</f>
        <v/>
      </c>
      <c r="B240" s="38">
        <f>IFERROR(IF('Авг'!$B23=TRUE,1,0),0)</f>
        <v/>
      </c>
      <c r="C240" s="38">
        <f>IFERROR(IF('Авг'!$C23=TRUE,1,0),0)</f>
        <v/>
      </c>
      <c r="D240" s="38">
        <f>IFERROR(IF('Авг'!$D23=TRUE,1,0),0)</f>
        <v/>
      </c>
      <c r="E240" s="38">
        <f>IFERROR(IF('Авг'!$E23=TRUE,1,0),0)</f>
        <v/>
      </c>
      <c r="F240" s="38">
        <f>IFERROR(IF('Авг'!$F23=TRUE,1,0),0)</f>
        <v/>
      </c>
      <c r="G240" s="38">
        <f>IFERROR(IF('Авг'!$G23=TRUE,1,0),0)</f>
        <v/>
      </c>
      <c r="H240" s="38">
        <f>IFERROR(IF('Авг'!$H23=TRUE,1,0),0)</f>
        <v/>
      </c>
      <c r="I240" s="38">
        <f>IF($A240=0,$I239,IF($B240=1,$I239+1,IF($P240&lt;=1,$I239,0)))</f>
        <v/>
      </c>
      <c r="J240" s="38">
        <f>IF($A240=0,$J239,IF($C240=1,$J239+1,IF($Q240&lt;=1,$J239,0)))</f>
        <v/>
      </c>
      <c r="K240" s="38">
        <f>IF($A240=0,$K239,IF($D240=1,$K239+1,IF($R240&lt;=1,$K239,0)))</f>
        <v/>
      </c>
      <c r="L240" s="38">
        <f>IF($A240=0,$L239,IF($E240=1,$L239+1,IF($S240&lt;=1,$L239,0)))</f>
        <v/>
      </c>
      <c r="M240" s="38">
        <f>IF($A240=0,$M239,IF($F240=1,$M239+1,IF($T240&lt;=1,$M239,0)))</f>
        <v/>
      </c>
      <c r="N240" s="38">
        <f>IF($A240=0,$N239,IF($G240=1,$N239+1,IF($U240&lt;=1,$N239,0)))</f>
        <v/>
      </c>
      <c r="O240" s="38">
        <f>IF($A240=0,$O239,IF($H240=1,$O239+1,IF($V240&lt;=1,$O239,0)))</f>
        <v/>
      </c>
      <c r="P240" s="38">
        <f>IF($A240=0,$P239,$P239+IF($B240=1,0,1))</f>
        <v/>
      </c>
      <c r="Q240" s="38">
        <f>IF($A240=0,$Q239,$Q239+IF($C240=1,0,1))</f>
        <v/>
      </c>
      <c r="R240" s="38">
        <f>IF($A240=0,$R239,$R239+IF($D240=1,0,1))</f>
        <v/>
      </c>
      <c r="S240" s="38">
        <f>IF($A240=0,$S239,$S239+IF($E240=1,0,1))</f>
        <v/>
      </c>
      <c r="T240" s="38">
        <f>IF($A240=0,$T239,$T239+IF($F240=1,0,1))</f>
        <v/>
      </c>
      <c r="U240" s="38">
        <f>IF($A240=0,$U239,$U239+IF($G240=1,0,1))</f>
        <v/>
      </c>
      <c r="V240" s="38">
        <f>IF($A240=0,$V239,$V239+IF($H240=1,0,1))</f>
        <v/>
      </c>
      <c r="W240" s="38">
        <f>SUM($B240:$H240)</f>
        <v/>
      </c>
      <c r="X240" s="38">
        <f>IF(AND($A240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240=1),1,0)+IF(AND($G$1=7,$C240=1),1,0)+IF(AND($H$1=7,$D240=1),1,0)+IF(AND($I$1=7,$E240=1),1,0)+IF(AND($J$1=7,$F240=1),1,0)+IF(AND($K$1=7,$G240=1),1,0)+IF(AND($L$1=7,$H240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0" s="38">
        <f>IF($B240=1,IF($F$1&lt;7,10,IF(AND($F$1=7,$I239=0,$P239&gt;1),15,IF($I239&gt;=20,15,IF($I239&gt;=6,13,10)))),0)+IF($C240=1,IF($G$1&lt;7,10,IF(AND($G$1=7,$J239=0,$Q239&gt;1),15,IF($J239&gt;=20,15,IF($J239&gt;=6,13,10)))),0)+IF($D240=1,IF($H$1&lt;7,10,IF(AND($H$1=7,$K239=0,$R239&gt;1),15,IF($K239&gt;=20,15,IF($K239&gt;=6,13,10)))),0)+IF($E240=1,IF($I$1&lt;7,10,IF(AND($I$1=7,$L239=0,$S239&gt;1),15,IF($L239&gt;=20,15,IF($L239&gt;=6,13,10)))),0)+IF($F240=1,IF($J$1&lt;7,10,IF(AND($J$1=7,$M239=0,$T239&gt;1),15,IF($M239&gt;=20,15,IF($M239&gt;=6,13,10)))),0)+IF($G240=1,IF($K$1&lt;7,10,IF(AND($K$1=7,$N239=0,$U239&gt;1),15,IF($N239&gt;=20,15,IF($N239&gt;=6,13,10)))),0)+IF($H240=1,IF($L$1&lt;7,10,IF(AND($L$1=7,$O239=0,$V239&gt;1),15,IF($O239&gt;=20,15,IF($O239&gt;=6,13,10)))),0)</f>
        <v/>
      </c>
      <c r="Z240" s="38">
        <f>$Z239+$Y240</f>
        <v/>
      </c>
      <c r="AA240" s="38">
        <f>IF(AND($B240=1,AND($F$1=7,$I239=0,$P239&gt;1)),1,0)+IF(AND($C240=1,AND($G$1=7,$J239=0,$Q239&gt;1)),1,0)+IF(AND($D240=1,AND($H$1=7,$K239=0,$R239&gt;1)),1,0)+IF(AND($E240=1,AND($I$1=7,$L239=0,$S239&gt;1)),1,0)+IF(AND($F240=1,AND($J$1=7,$M239=0,$T239&gt;1)),1,0)+IF(AND($G240=1,AND($K$1=7,$N239=0,$U239&gt;1)),1,0)+IF(AND($H240=1,AND($L$1=7,$O239=0,$V239&gt;1)),1,0)</f>
        <v/>
      </c>
      <c r="AB240" s="38">
        <f>IF(IFERROR('Авг'!$I23,"")="",0,$AB239+1)</f>
        <v/>
      </c>
    </row>
    <row r="241" spans="1:28">
      <c r="A241" s="38">
        <f>IF($B$1&gt;=DATE(2026,8,19),1,0)</f>
        <v/>
      </c>
      <c r="B241" s="38">
        <f>IFERROR(IF('Авг'!$B24=TRUE,1,0),0)</f>
        <v/>
      </c>
      <c r="C241" s="38">
        <f>IFERROR(IF('Авг'!$C24=TRUE,1,0),0)</f>
        <v/>
      </c>
      <c r="D241" s="38">
        <f>IFERROR(IF('Авг'!$D24=TRUE,1,0),0)</f>
        <v/>
      </c>
      <c r="E241" s="38">
        <f>IFERROR(IF('Авг'!$E24=TRUE,1,0),0)</f>
        <v/>
      </c>
      <c r="F241" s="38">
        <f>IFERROR(IF('Авг'!$F24=TRUE,1,0),0)</f>
        <v/>
      </c>
      <c r="G241" s="38">
        <f>IFERROR(IF('Авг'!$G24=TRUE,1,0),0)</f>
        <v/>
      </c>
      <c r="H241" s="38">
        <f>IFERROR(IF('Авг'!$H24=TRUE,1,0),0)</f>
        <v/>
      </c>
      <c r="I241" s="38">
        <f>IF($A241=0,$I240,IF($B241=1,$I240+1,IF($P241&lt;=1,$I240,0)))</f>
        <v/>
      </c>
      <c r="J241" s="38">
        <f>IF($A241=0,$J240,IF($C241=1,$J240+1,IF($Q241&lt;=1,$J240,0)))</f>
        <v/>
      </c>
      <c r="K241" s="38">
        <f>IF($A241=0,$K240,IF($D241=1,$K240+1,IF($R241&lt;=1,$K240,0)))</f>
        <v/>
      </c>
      <c r="L241" s="38">
        <f>IF($A241=0,$L240,IF($E241=1,$L240+1,IF($S241&lt;=1,$L240,0)))</f>
        <v/>
      </c>
      <c r="M241" s="38">
        <f>IF($A241=0,$M240,IF($F241=1,$M240+1,IF($T241&lt;=1,$M240,0)))</f>
        <v/>
      </c>
      <c r="N241" s="38">
        <f>IF($A241=0,$N240,IF($G241=1,$N240+1,IF($U241&lt;=1,$N240,0)))</f>
        <v/>
      </c>
      <c r="O241" s="38">
        <f>IF($A241=0,$O240,IF($H241=1,$O240+1,IF($V241&lt;=1,$O240,0)))</f>
        <v/>
      </c>
      <c r="P241" s="38">
        <f>IF($A241=0,$P240,$P240+IF($B241=1,0,1))</f>
        <v/>
      </c>
      <c r="Q241" s="38">
        <f>IF($A241=0,$Q240,$Q240+IF($C241=1,0,1))</f>
        <v/>
      </c>
      <c r="R241" s="38">
        <f>IF($A241=0,$R240,$R240+IF($D241=1,0,1))</f>
        <v/>
      </c>
      <c r="S241" s="38">
        <f>IF($A241=0,$S240,$S240+IF($E241=1,0,1))</f>
        <v/>
      </c>
      <c r="T241" s="38">
        <f>IF($A241=0,$T240,$T240+IF($F241=1,0,1))</f>
        <v/>
      </c>
      <c r="U241" s="38">
        <f>IF($A241=0,$U240,$U240+IF($G241=1,0,1))</f>
        <v/>
      </c>
      <c r="V241" s="38">
        <f>IF($A241=0,$V240,$V240+IF($H241=1,0,1))</f>
        <v/>
      </c>
      <c r="W241" s="38">
        <f>SUM($B241:$H241)</f>
        <v/>
      </c>
      <c r="X241" s="38">
        <f>IF(AND($A241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241=1),1,0)+IF(AND($G$1=7,$C241=1),1,0)+IF(AND($H$1=7,$D241=1),1,0)+IF(AND($I$1=7,$E241=1),1,0)+IF(AND($J$1=7,$F241=1),1,0)+IF(AND($K$1=7,$G241=1),1,0)+IF(AND($L$1=7,$H241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1" s="38">
        <f>IF($B241=1,IF($F$1&lt;7,10,IF(AND($F$1=7,$I240=0,$P240&gt;1),15,IF($I240&gt;=20,15,IF($I240&gt;=6,13,10)))),0)+IF($C241=1,IF($G$1&lt;7,10,IF(AND($G$1=7,$J240=0,$Q240&gt;1),15,IF($J240&gt;=20,15,IF($J240&gt;=6,13,10)))),0)+IF($D241=1,IF($H$1&lt;7,10,IF(AND($H$1=7,$K240=0,$R240&gt;1),15,IF($K240&gt;=20,15,IF($K240&gt;=6,13,10)))),0)+IF($E241=1,IF($I$1&lt;7,10,IF(AND($I$1=7,$L240=0,$S240&gt;1),15,IF($L240&gt;=20,15,IF($L240&gt;=6,13,10)))),0)+IF($F241=1,IF($J$1&lt;7,10,IF(AND($J$1=7,$M240=0,$T240&gt;1),15,IF($M240&gt;=20,15,IF($M240&gt;=6,13,10)))),0)+IF($G241=1,IF($K$1&lt;7,10,IF(AND($K$1=7,$N240=0,$U240&gt;1),15,IF($N240&gt;=20,15,IF($N240&gt;=6,13,10)))),0)+IF($H241=1,IF($L$1&lt;7,10,IF(AND($L$1=7,$O240=0,$V240&gt;1),15,IF($O240&gt;=20,15,IF($O240&gt;=6,13,10)))),0)</f>
        <v/>
      </c>
      <c r="Z241" s="38">
        <f>$Z240+$Y241</f>
        <v/>
      </c>
      <c r="AA241" s="38">
        <f>IF(AND($B241=1,AND($F$1=7,$I240=0,$P240&gt;1)),1,0)+IF(AND($C241=1,AND($G$1=7,$J240=0,$Q240&gt;1)),1,0)+IF(AND($D241=1,AND($H$1=7,$K240=0,$R240&gt;1)),1,0)+IF(AND($E241=1,AND($I$1=7,$L240=0,$S240&gt;1)),1,0)+IF(AND($F241=1,AND($J$1=7,$M240=0,$T240&gt;1)),1,0)+IF(AND($G241=1,AND($K$1=7,$N240=0,$U240&gt;1)),1,0)+IF(AND($H241=1,AND($L$1=7,$O240=0,$V240&gt;1)),1,0)</f>
        <v/>
      </c>
      <c r="AB241" s="38">
        <f>IF(IFERROR('Авг'!$I24,"")="",0,$AB240+1)</f>
        <v/>
      </c>
    </row>
    <row r="242" spans="1:28">
      <c r="A242" s="38">
        <f>IF($B$1&gt;=DATE(2026,8,20),1,0)</f>
        <v/>
      </c>
      <c r="B242" s="38">
        <f>IFERROR(IF('Авг'!$B25=TRUE,1,0),0)</f>
        <v/>
      </c>
      <c r="C242" s="38">
        <f>IFERROR(IF('Авг'!$C25=TRUE,1,0),0)</f>
        <v/>
      </c>
      <c r="D242" s="38">
        <f>IFERROR(IF('Авг'!$D25=TRUE,1,0),0)</f>
        <v/>
      </c>
      <c r="E242" s="38">
        <f>IFERROR(IF('Авг'!$E25=TRUE,1,0),0)</f>
        <v/>
      </c>
      <c r="F242" s="38">
        <f>IFERROR(IF('Авг'!$F25=TRUE,1,0),0)</f>
        <v/>
      </c>
      <c r="G242" s="38">
        <f>IFERROR(IF('Авг'!$G25=TRUE,1,0),0)</f>
        <v/>
      </c>
      <c r="H242" s="38">
        <f>IFERROR(IF('Авг'!$H25=TRUE,1,0),0)</f>
        <v/>
      </c>
      <c r="I242" s="38">
        <f>IF($A242=0,$I241,IF($B242=1,$I241+1,IF($P242&lt;=1,$I241,0)))</f>
        <v/>
      </c>
      <c r="J242" s="38">
        <f>IF($A242=0,$J241,IF($C242=1,$J241+1,IF($Q242&lt;=1,$J241,0)))</f>
        <v/>
      </c>
      <c r="K242" s="38">
        <f>IF($A242=0,$K241,IF($D242=1,$K241+1,IF($R242&lt;=1,$K241,0)))</f>
        <v/>
      </c>
      <c r="L242" s="38">
        <f>IF($A242=0,$L241,IF($E242=1,$L241+1,IF($S242&lt;=1,$L241,0)))</f>
        <v/>
      </c>
      <c r="M242" s="38">
        <f>IF($A242=0,$M241,IF($F242=1,$M241+1,IF($T242&lt;=1,$M241,0)))</f>
        <v/>
      </c>
      <c r="N242" s="38">
        <f>IF($A242=0,$N241,IF($G242=1,$N241+1,IF($U242&lt;=1,$N241,0)))</f>
        <v/>
      </c>
      <c r="O242" s="38">
        <f>IF($A242=0,$O241,IF($H242=1,$O241+1,IF($V242&lt;=1,$O241,0)))</f>
        <v/>
      </c>
      <c r="P242" s="38">
        <f>IF($A242=0,$P241,$P241+IF($B242=1,0,1))</f>
        <v/>
      </c>
      <c r="Q242" s="38">
        <f>IF($A242=0,$Q241,$Q241+IF($C242=1,0,1))</f>
        <v/>
      </c>
      <c r="R242" s="38">
        <f>IF($A242=0,$R241,$R241+IF($D242=1,0,1))</f>
        <v/>
      </c>
      <c r="S242" s="38">
        <f>IF($A242=0,$S241,$S241+IF($E242=1,0,1))</f>
        <v/>
      </c>
      <c r="T242" s="38">
        <f>IF($A242=0,$T241,$T241+IF($F242=1,0,1))</f>
        <v/>
      </c>
      <c r="U242" s="38">
        <f>IF($A242=0,$U241,$U241+IF($G242=1,0,1))</f>
        <v/>
      </c>
      <c r="V242" s="38">
        <f>IF($A242=0,$V241,$V241+IF($H242=1,0,1))</f>
        <v/>
      </c>
      <c r="W242" s="38">
        <f>SUM($B242:$H242)</f>
        <v/>
      </c>
      <c r="X242" s="38">
        <f>IF(AND($A242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242=1),1,0)+IF(AND($G$1=7,$C242=1),1,0)+IF(AND($H$1=7,$D242=1),1,0)+IF(AND($I$1=7,$E242=1),1,0)+IF(AND($J$1=7,$F242=1),1,0)+IF(AND($K$1=7,$G242=1),1,0)+IF(AND($L$1=7,$H242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2" s="38">
        <f>IF($B242=1,IF($F$1&lt;7,10,IF(AND($F$1=7,$I241=0,$P241&gt;1),15,IF($I241&gt;=20,15,IF($I241&gt;=6,13,10)))),0)+IF($C242=1,IF($G$1&lt;7,10,IF(AND($G$1=7,$J241=0,$Q241&gt;1),15,IF($J241&gt;=20,15,IF($J241&gt;=6,13,10)))),0)+IF($D242=1,IF($H$1&lt;7,10,IF(AND($H$1=7,$K241=0,$R241&gt;1),15,IF($K241&gt;=20,15,IF($K241&gt;=6,13,10)))),0)+IF($E242=1,IF($I$1&lt;7,10,IF(AND($I$1=7,$L241=0,$S241&gt;1),15,IF($L241&gt;=20,15,IF($L241&gt;=6,13,10)))),0)+IF($F242=1,IF($J$1&lt;7,10,IF(AND($J$1=7,$M241=0,$T241&gt;1),15,IF($M241&gt;=20,15,IF($M241&gt;=6,13,10)))),0)+IF($G242=1,IF($K$1&lt;7,10,IF(AND($K$1=7,$N241=0,$U241&gt;1),15,IF($N241&gt;=20,15,IF($N241&gt;=6,13,10)))),0)+IF($H242=1,IF($L$1&lt;7,10,IF(AND($L$1=7,$O241=0,$V241&gt;1),15,IF($O241&gt;=20,15,IF($O241&gt;=6,13,10)))),0)</f>
        <v/>
      </c>
      <c r="Z242" s="38">
        <f>$Z241+$Y242</f>
        <v/>
      </c>
      <c r="AA242" s="38">
        <f>IF(AND($B242=1,AND($F$1=7,$I241=0,$P241&gt;1)),1,0)+IF(AND($C242=1,AND($G$1=7,$J241=0,$Q241&gt;1)),1,0)+IF(AND($D242=1,AND($H$1=7,$K241=0,$R241&gt;1)),1,0)+IF(AND($E242=1,AND($I$1=7,$L241=0,$S241&gt;1)),1,0)+IF(AND($F242=1,AND($J$1=7,$M241=0,$T241&gt;1)),1,0)+IF(AND($G242=1,AND($K$1=7,$N241=0,$U241&gt;1)),1,0)+IF(AND($H242=1,AND($L$1=7,$O241=0,$V241&gt;1)),1,0)</f>
        <v/>
      </c>
      <c r="AB242" s="38">
        <f>IF(IFERROR('Авг'!$I25,"")="",0,$AB241+1)</f>
        <v/>
      </c>
    </row>
    <row r="243" spans="1:28">
      <c r="A243" s="38">
        <f>IF($B$1&gt;=DATE(2026,8,21),1,0)</f>
        <v/>
      </c>
      <c r="B243" s="38">
        <f>IFERROR(IF('Авг'!$B26=TRUE,1,0),0)</f>
        <v/>
      </c>
      <c r="C243" s="38">
        <f>IFERROR(IF('Авг'!$C26=TRUE,1,0),0)</f>
        <v/>
      </c>
      <c r="D243" s="38">
        <f>IFERROR(IF('Авг'!$D26=TRUE,1,0),0)</f>
        <v/>
      </c>
      <c r="E243" s="38">
        <f>IFERROR(IF('Авг'!$E26=TRUE,1,0),0)</f>
        <v/>
      </c>
      <c r="F243" s="38">
        <f>IFERROR(IF('Авг'!$F26=TRUE,1,0),0)</f>
        <v/>
      </c>
      <c r="G243" s="38">
        <f>IFERROR(IF('Авг'!$G26=TRUE,1,0),0)</f>
        <v/>
      </c>
      <c r="H243" s="38">
        <f>IFERROR(IF('Авг'!$H26=TRUE,1,0),0)</f>
        <v/>
      </c>
      <c r="I243" s="38">
        <f>IF($A243=0,$I242,IF($B243=1,$I242+1,IF($P243&lt;=1,$I242,0)))</f>
        <v/>
      </c>
      <c r="J243" s="38">
        <f>IF($A243=0,$J242,IF($C243=1,$J242+1,IF($Q243&lt;=1,$J242,0)))</f>
        <v/>
      </c>
      <c r="K243" s="38">
        <f>IF($A243=0,$K242,IF($D243=1,$K242+1,IF($R243&lt;=1,$K242,0)))</f>
        <v/>
      </c>
      <c r="L243" s="38">
        <f>IF($A243=0,$L242,IF($E243=1,$L242+1,IF($S243&lt;=1,$L242,0)))</f>
        <v/>
      </c>
      <c r="M243" s="38">
        <f>IF($A243=0,$M242,IF($F243=1,$M242+1,IF($T243&lt;=1,$M242,0)))</f>
        <v/>
      </c>
      <c r="N243" s="38">
        <f>IF($A243=0,$N242,IF($G243=1,$N242+1,IF($U243&lt;=1,$N242,0)))</f>
        <v/>
      </c>
      <c r="O243" s="38">
        <f>IF($A243=0,$O242,IF($H243=1,$O242+1,IF($V243&lt;=1,$O242,0)))</f>
        <v/>
      </c>
      <c r="P243" s="38">
        <f>IF($A243=0,$P242,$P242+IF($B243=1,0,1))</f>
        <v/>
      </c>
      <c r="Q243" s="38">
        <f>IF($A243=0,$Q242,$Q242+IF($C243=1,0,1))</f>
        <v/>
      </c>
      <c r="R243" s="38">
        <f>IF($A243=0,$R242,$R242+IF($D243=1,0,1))</f>
        <v/>
      </c>
      <c r="S243" s="38">
        <f>IF($A243=0,$S242,$S242+IF($E243=1,0,1))</f>
        <v/>
      </c>
      <c r="T243" s="38">
        <f>IF($A243=0,$T242,$T242+IF($F243=1,0,1))</f>
        <v/>
      </c>
      <c r="U243" s="38">
        <f>IF($A243=0,$U242,$U242+IF($G243=1,0,1))</f>
        <v/>
      </c>
      <c r="V243" s="38">
        <f>IF($A243=0,$V242,$V242+IF($H243=1,0,1))</f>
        <v/>
      </c>
      <c r="W243" s="38">
        <f>SUM($B243:$H243)</f>
        <v/>
      </c>
      <c r="X243" s="38">
        <f>IF(AND($A243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243=1),1,0)+IF(AND($G$1=7,$C243=1),1,0)+IF(AND($H$1=7,$D243=1),1,0)+IF(AND($I$1=7,$E243=1),1,0)+IF(AND($J$1=7,$F243=1),1,0)+IF(AND($K$1=7,$G243=1),1,0)+IF(AND($L$1=7,$H243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3" s="38">
        <f>IF($B243=1,IF($F$1&lt;7,10,IF(AND($F$1=7,$I242=0,$P242&gt;1),15,IF($I242&gt;=20,15,IF($I242&gt;=6,13,10)))),0)+IF($C243=1,IF($G$1&lt;7,10,IF(AND($G$1=7,$J242=0,$Q242&gt;1),15,IF($J242&gt;=20,15,IF($J242&gt;=6,13,10)))),0)+IF($D243=1,IF($H$1&lt;7,10,IF(AND($H$1=7,$K242=0,$R242&gt;1),15,IF($K242&gt;=20,15,IF($K242&gt;=6,13,10)))),0)+IF($E243=1,IF($I$1&lt;7,10,IF(AND($I$1=7,$L242=0,$S242&gt;1),15,IF($L242&gt;=20,15,IF($L242&gt;=6,13,10)))),0)+IF($F243=1,IF($J$1&lt;7,10,IF(AND($J$1=7,$M242=0,$T242&gt;1),15,IF($M242&gt;=20,15,IF($M242&gt;=6,13,10)))),0)+IF($G243=1,IF($K$1&lt;7,10,IF(AND($K$1=7,$N242=0,$U242&gt;1),15,IF($N242&gt;=20,15,IF($N242&gt;=6,13,10)))),0)+IF($H243=1,IF($L$1&lt;7,10,IF(AND($L$1=7,$O242=0,$V242&gt;1),15,IF($O242&gt;=20,15,IF($O242&gt;=6,13,10)))),0)</f>
        <v/>
      </c>
      <c r="Z243" s="38">
        <f>$Z242+$Y243</f>
        <v/>
      </c>
      <c r="AA243" s="38">
        <f>IF(AND($B243=1,AND($F$1=7,$I242=0,$P242&gt;1)),1,0)+IF(AND($C243=1,AND($G$1=7,$J242=0,$Q242&gt;1)),1,0)+IF(AND($D243=1,AND($H$1=7,$K242=0,$R242&gt;1)),1,0)+IF(AND($E243=1,AND($I$1=7,$L242=0,$S242&gt;1)),1,0)+IF(AND($F243=1,AND($J$1=7,$M242=0,$T242&gt;1)),1,0)+IF(AND($G243=1,AND($K$1=7,$N242=0,$U242&gt;1)),1,0)+IF(AND($H243=1,AND($L$1=7,$O242=0,$V242&gt;1)),1,0)</f>
        <v/>
      </c>
      <c r="AB243" s="38">
        <f>IF(IFERROR('Авг'!$I26,"")="",0,$AB242+1)</f>
        <v/>
      </c>
    </row>
    <row r="244" spans="1:28">
      <c r="A244" s="38">
        <f>IF($B$1&gt;=DATE(2026,8,22),1,0)</f>
        <v/>
      </c>
      <c r="B244" s="38">
        <f>IFERROR(IF('Авг'!$B27=TRUE,1,0),0)</f>
        <v/>
      </c>
      <c r="C244" s="38">
        <f>IFERROR(IF('Авг'!$C27=TRUE,1,0),0)</f>
        <v/>
      </c>
      <c r="D244" s="38">
        <f>IFERROR(IF('Авг'!$D27=TRUE,1,0),0)</f>
        <v/>
      </c>
      <c r="E244" s="38">
        <f>IFERROR(IF('Авг'!$E27=TRUE,1,0),0)</f>
        <v/>
      </c>
      <c r="F244" s="38">
        <f>IFERROR(IF('Авг'!$F27=TRUE,1,0),0)</f>
        <v/>
      </c>
      <c r="G244" s="38">
        <f>IFERROR(IF('Авг'!$G27=TRUE,1,0),0)</f>
        <v/>
      </c>
      <c r="H244" s="38">
        <f>IFERROR(IF('Авг'!$H27=TRUE,1,0),0)</f>
        <v/>
      </c>
      <c r="I244" s="38">
        <f>IF($A244=0,$I243,IF($B244=1,$I243+1,IF($P244&lt;=1,$I243,0)))</f>
        <v/>
      </c>
      <c r="J244" s="38">
        <f>IF($A244=0,$J243,IF($C244=1,$J243+1,IF($Q244&lt;=1,$J243,0)))</f>
        <v/>
      </c>
      <c r="K244" s="38">
        <f>IF($A244=0,$K243,IF($D244=1,$K243+1,IF($R244&lt;=1,$K243,0)))</f>
        <v/>
      </c>
      <c r="L244" s="38">
        <f>IF($A244=0,$L243,IF($E244=1,$L243+1,IF($S244&lt;=1,$L243,0)))</f>
        <v/>
      </c>
      <c r="M244" s="38">
        <f>IF($A244=0,$M243,IF($F244=1,$M243+1,IF($T244&lt;=1,$M243,0)))</f>
        <v/>
      </c>
      <c r="N244" s="38">
        <f>IF($A244=0,$N243,IF($G244=1,$N243+1,IF($U244&lt;=1,$N243,0)))</f>
        <v/>
      </c>
      <c r="O244" s="38">
        <f>IF($A244=0,$O243,IF($H244=1,$O243+1,IF($V244&lt;=1,$O243,0)))</f>
        <v/>
      </c>
      <c r="P244" s="38">
        <f>IF($A244=0,$P243,$P243+IF($B244=1,0,1))</f>
        <v/>
      </c>
      <c r="Q244" s="38">
        <f>IF($A244=0,$Q243,$Q243+IF($C244=1,0,1))</f>
        <v/>
      </c>
      <c r="R244" s="38">
        <f>IF($A244=0,$R243,$R243+IF($D244=1,0,1))</f>
        <v/>
      </c>
      <c r="S244" s="38">
        <f>IF($A244=0,$S243,$S243+IF($E244=1,0,1))</f>
        <v/>
      </c>
      <c r="T244" s="38">
        <f>IF($A244=0,$T243,$T243+IF($F244=1,0,1))</f>
        <v/>
      </c>
      <c r="U244" s="38">
        <f>IF($A244=0,$U243,$U243+IF($G244=1,0,1))</f>
        <v/>
      </c>
      <c r="V244" s="38">
        <f>IF($A244=0,$V243,$V243+IF($H244=1,0,1))</f>
        <v/>
      </c>
      <c r="W244" s="38">
        <f>SUM($B244:$H244)</f>
        <v/>
      </c>
      <c r="X244" s="38">
        <f>IF(AND($A244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244=1),1,0)+IF(AND($G$1=7,$C244=1),1,0)+IF(AND($H$1=7,$D244=1),1,0)+IF(AND($I$1=7,$E244=1),1,0)+IF(AND($J$1=7,$F244=1),1,0)+IF(AND($K$1=7,$G244=1),1,0)+IF(AND($L$1=7,$H244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4" s="38">
        <f>IF($B244=1,IF($F$1&lt;7,10,IF(AND($F$1=7,$I243=0,$P243&gt;1),15,IF($I243&gt;=20,15,IF($I243&gt;=6,13,10)))),0)+IF($C244=1,IF($G$1&lt;7,10,IF(AND($G$1=7,$J243=0,$Q243&gt;1),15,IF($J243&gt;=20,15,IF($J243&gt;=6,13,10)))),0)+IF($D244=1,IF($H$1&lt;7,10,IF(AND($H$1=7,$K243=0,$R243&gt;1),15,IF($K243&gt;=20,15,IF($K243&gt;=6,13,10)))),0)+IF($E244=1,IF($I$1&lt;7,10,IF(AND($I$1=7,$L243=0,$S243&gt;1),15,IF($L243&gt;=20,15,IF($L243&gt;=6,13,10)))),0)+IF($F244=1,IF($J$1&lt;7,10,IF(AND($J$1=7,$M243=0,$T243&gt;1),15,IF($M243&gt;=20,15,IF($M243&gt;=6,13,10)))),0)+IF($G244=1,IF($K$1&lt;7,10,IF(AND($K$1=7,$N243=0,$U243&gt;1),15,IF($N243&gt;=20,15,IF($N243&gt;=6,13,10)))),0)+IF($H244=1,IF($L$1&lt;7,10,IF(AND($L$1=7,$O243=0,$V243&gt;1),15,IF($O243&gt;=20,15,IF($O243&gt;=6,13,10)))),0)</f>
        <v/>
      </c>
      <c r="Z244" s="38">
        <f>$Z243+$Y244</f>
        <v/>
      </c>
      <c r="AA244" s="38">
        <f>IF(AND($B244=1,AND($F$1=7,$I243=0,$P243&gt;1)),1,0)+IF(AND($C244=1,AND($G$1=7,$J243=0,$Q243&gt;1)),1,0)+IF(AND($D244=1,AND($H$1=7,$K243=0,$R243&gt;1)),1,0)+IF(AND($E244=1,AND($I$1=7,$L243=0,$S243&gt;1)),1,0)+IF(AND($F244=1,AND($J$1=7,$M243=0,$T243&gt;1)),1,0)+IF(AND($G244=1,AND($K$1=7,$N243=0,$U243&gt;1)),1,0)+IF(AND($H244=1,AND($L$1=7,$O243=0,$V243&gt;1)),1,0)</f>
        <v/>
      </c>
      <c r="AB244" s="38">
        <f>IF(IFERROR('Авг'!$I27,"")="",0,$AB243+1)</f>
        <v/>
      </c>
    </row>
    <row r="245" spans="1:28">
      <c r="A245" s="38">
        <f>IF($B$1&gt;=DATE(2026,8,23),1,0)</f>
        <v/>
      </c>
      <c r="B245" s="38">
        <f>IFERROR(IF('Авг'!$B28=TRUE,1,0),0)</f>
        <v/>
      </c>
      <c r="C245" s="38">
        <f>IFERROR(IF('Авг'!$C28=TRUE,1,0),0)</f>
        <v/>
      </c>
      <c r="D245" s="38">
        <f>IFERROR(IF('Авг'!$D28=TRUE,1,0),0)</f>
        <v/>
      </c>
      <c r="E245" s="38">
        <f>IFERROR(IF('Авг'!$E28=TRUE,1,0),0)</f>
        <v/>
      </c>
      <c r="F245" s="38">
        <f>IFERROR(IF('Авг'!$F28=TRUE,1,0),0)</f>
        <v/>
      </c>
      <c r="G245" s="38">
        <f>IFERROR(IF('Авг'!$G28=TRUE,1,0),0)</f>
        <v/>
      </c>
      <c r="H245" s="38">
        <f>IFERROR(IF('Авг'!$H28=TRUE,1,0),0)</f>
        <v/>
      </c>
      <c r="I245" s="38">
        <f>IF($A245=0,$I244,IF($B245=1,$I244+1,IF($P245&lt;=1,$I244,0)))</f>
        <v/>
      </c>
      <c r="J245" s="38">
        <f>IF($A245=0,$J244,IF($C245=1,$J244+1,IF($Q245&lt;=1,$J244,0)))</f>
        <v/>
      </c>
      <c r="K245" s="38">
        <f>IF($A245=0,$K244,IF($D245=1,$K244+1,IF($R245&lt;=1,$K244,0)))</f>
        <v/>
      </c>
      <c r="L245" s="38">
        <f>IF($A245=0,$L244,IF($E245=1,$L244+1,IF($S245&lt;=1,$L244,0)))</f>
        <v/>
      </c>
      <c r="M245" s="38">
        <f>IF($A245=0,$M244,IF($F245=1,$M244+1,IF($T245&lt;=1,$M244,0)))</f>
        <v/>
      </c>
      <c r="N245" s="38">
        <f>IF($A245=0,$N244,IF($G245=1,$N244+1,IF($U245&lt;=1,$N244,0)))</f>
        <v/>
      </c>
      <c r="O245" s="38">
        <f>IF($A245=0,$O244,IF($H245=1,$O244+1,IF($V245&lt;=1,$O244,0)))</f>
        <v/>
      </c>
      <c r="P245" s="38">
        <f>IF($A245=0,$P244,$P244+IF($B245=1,0,1))</f>
        <v/>
      </c>
      <c r="Q245" s="38">
        <f>IF($A245=0,$Q244,$Q244+IF($C245=1,0,1))</f>
        <v/>
      </c>
      <c r="R245" s="38">
        <f>IF($A245=0,$R244,$R244+IF($D245=1,0,1))</f>
        <v/>
      </c>
      <c r="S245" s="38">
        <f>IF($A245=0,$S244,$S244+IF($E245=1,0,1))</f>
        <v/>
      </c>
      <c r="T245" s="38">
        <f>IF($A245=0,$T244,$T244+IF($F245=1,0,1))</f>
        <v/>
      </c>
      <c r="U245" s="38">
        <f>IF($A245=0,$U244,$U244+IF($G245=1,0,1))</f>
        <v/>
      </c>
      <c r="V245" s="38">
        <f>IF($A245=0,$V244,$V244+IF($H245=1,0,1))</f>
        <v/>
      </c>
      <c r="W245" s="38">
        <f>SUM($B245:$H245)</f>
        <v/>
      </c>
      <c r="X245" s="38">
        <f>IF(AND($A245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245=1),1,0)+IF(AND($G$1=7,$C245=1),1,0)+IF(AND($H$1=7,$D245=1),1,0)+IF(AND($I$1=7,$E245=1),1,0)+IF(AND($J$1=7,$F245=1),1,0)+IF(AND($K$1=7,$G245=1),1,0)+IF(AND($L$1=7,$H245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5" s="38">
        <f>IF($B245=1,IF($F$1&lt;7,10,IF(AND($F$1=7,$I244=0,$P244&gt;1),15,IF($I244&gt;=20,15,IF($I244&gt;=6,13,10)))),0)+IF($C245=1,IF($G$1&lt;7,10,IF(AND($G$1=7,$J244=0,$Q244&gt;1),15,IF($J244&gt;=20,15,IF($J244&gt;=6,13,10)))),0)+IF($D245=1,IF($H$1&lt;7,10,IF(AND($H$1=7,$K244=0,$R244&gt;1),15,IF($K244&gt;=20,15,IF($K244&gt;=6,13,10)))),0)+IF($E245=1,IF($I$1&lt;7,10,IF(AND($I$1=7,$L244=0,$S244&gt;1),15,IF($L244&gt;=20,15,IF($L244&gt;=6,13,10)))),0)+IF($F245=1,IF($J$1&lt;7,10,IF(AND($J$1=7,$M244=0,$T244&gt;1),15,IF($M244&gt;=20,15,IF($M244&gt;=6,13,10)))),0)+IF($G245=1,IF($K$1&lt;7,10,IF(AND($K$1=7,$N244=0,$U244&gt;1),15,IF($N244&gt;=20,15,IF($N244&gt;=6,13,10)))),0)+IF($H245=1,IF($L$1&lt;7,10,IF(AND($L$1=7,$O244=0,$V244&gt;1),15,IF($O244&gt;=20,15,IF($O244&gt;=6,13,10)))),0)</f>
        <v/>
      </c>
      <c r="Z245" s="38">
        <f>$Z244+$Y245</f>
        <v/>
      </c>
      <c r="AA245" s="38">
        <f>IF(AND($B245=1,AND($F$1=7,$I244=0,$P244&gt;1)),1,0)+IF(AND($C245=1,AND($G$1=7,$J244=0,$Q244&gt;1)),1,0)+IF(AND($D245=1,AND($H$1=7,$K244=0,$R244&gt;1)),1,0)+IF(AND($E245=1,AND($I$1=7,$L244=0,$S244&gt;1)),1,0)+IF(AND($F245=1,AND($J$1=7,$M244=0,$T244&gt;1)),1,0)+IF(AND($G245=1,AND($K$1=7,$N244=0,$U244&gt;1)),1,0)+IF(AND($H245=1,AND($L$1=7,$O244=0,$V244&gt;1)),1,0)</f>
        <v/>
      </c>
      <c r="AB245" s="38">
        <f>IF(IFERROR('Авг'!$I28,"")="",0,$AB244+1)</f>
        <v/>
      </c>
    </row>
    <row r="246" spans="1:28">
      <c r="A246" s="38">
        <f>IF($B$1&gt;=DATE(2026,8,24),1,0)</f>
        <v/>
      </c>
      <c r="B246" s="38">
        <f>IFERROR(IF('Авг'!$B29=TRUE,1,0),0)</f>
        <v/>
      </c>
      <c r="C246" s="38">
        <f>IFERROR(IF('Авг'!$C29=TRUE,1,0),0)</f>
        <v/>
      </c>
      <c r="D246" s="38">
        <f>IFERROR(IF('Авг'!$D29=TRUE,1,0),0)</f>
        <v/>
      </c>
      <c r="E246" s="38">
        <f>IFERROR(IF('Авг'!$E29=TRUE,1,0),0)</f>
        <v/>
      </c>
      <c r="F246" s="38">
        <f>IFERROR(IF('Авг'!$F29=TRUE,1,0),0)</f>
        <v/>
      </c>
      <c r="G246" s="38">
        <f>IFERROR(IF('Авг'!$G29=TRUE,1,0),0)</f>
        <v/>
      </c>
      <c r="H246" s="38">
        <f>IFERROR(IF('Авг'!$H29=TRUE,1,0),0)</f>
        <v/>
      </c>
      <c r="I246" s="38">
        <f>IF($A246=0,$I245,IF($B246=1,$I245+1,IF($P246&lt;=1,$I245,0)))</f>
        <v/>
      </c>
      <c r="J246" s="38">
        <f>IF($A246=0,$J245,IF($C246=1,$J245+1,IF($Q246&lt;=1,$J245,0)))</f>
        <v/>
      </c>
      <c r="K246" s="38">
        <f>IF($A246=0,$K245,IF($D246=1,$K245+1,IF($R246&lt;=1,$K245,0)))</f>
        <v/>
      </c>
      <c r="L246" s="38">
        <f>IF($A246=0,$L245,IF($E246=1,$L245+1,IF($S246&lt;=1,$L245,0)))</f>
        <v/>
      </c>
      <c r="M246" s="38">
        <f>IF($A246=0,$M245,IF($F246=1,$M245+1,IF($T246&lt;=1,$M245,0)))</f>
        <v/>
      </c>
      <c r="N246" s="38">
        <f>IF($A246=0,$N245,IF($G246=1,$N245+1,IF($U246&lt;=1,$N245,0)))</f>
        <v/>
      </c>
      <c r="O246" s="38">
        <f>IF($A246=0,$O245,IF($H246=1,$O245+1,IF($V246&lt;=1,$O245,0)))</f>
        <v/>
      </c>
      <c r="P246" s="38">
        <f>IF($A246=0,$P245,$P245+IF($B246=1,0,1))</f>
        <v/>
      </c>
      <c r="Q246" s="38">
        <f>IF($A246=0,$Q245,$Q245+IF($C246=1,0,1))</f>
        <v/>
      </c>
      <c r="R246" s="38">
        <f>IF($A246=0,$R245,$R245+IF($D246=1,0,1))</f>
        <v/>
      </c>
      <c r="S246" s="38">
        <f>IF($A246=0,$S245,$S245+IF($E246=1,0,1))</f>
        <v/>
      </c>
      <c r="T246" s="38">
        <f>IF($A246=0,$T245,$T245+IF($F246=1,0,1))</f>
        <v/>
      </c>
      <c r="U246" s="38">
        <f>IF($A246=0,$U245,$U245+IF($G246=1,0,1))</f>
        <v/>
      </c>
      <c r="V246" s="38">
        <f>IF($A246=0,$V245,$V245+IF($H246=1,0,1))</f>
        <v/>
      </c>
      <c r="W246" s="38">
        <f>SUM($B246:$H246)</f>
        <v/>
      </c>
      <c r="X246" s="38">
        <f>IF(AND($A246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246=1),1,0)+IF(AND($G$1=7,$C246=1),1,0)+IF(AND($H$1=7,$D246=1),1,0)+IF(AND($I$1=7,$E246=1),1,0)+IF(AND($J$1=7,$F246=1),1,0)+IF(AND($K$1=7,$G246=1),1,0)+IF(AND($L$1=7,$H246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6" s="38">
        <f>IF($B246=1,IF($F$1&lt;7,10,IF(AND($F$1=7,$I245=0,$P245&gt;1),15,IF($I245&gt;=20,15,IF($I245&gt;=6,13,10)))),0)+IF($C246=1,IF($G$1&lt;7,10,IF(AND($G$1=7,$J245=0,$Q245&gt;1),15,IF($J245&gt;=20,15,IF($J245&gt;=6,13,10)))),0)+IF($D246=1,IF($H$1&lt;7,10,IF(AND($H$1=7,$K245=0,$R245&gt;1),15,IF($K245&gt;=20,15,IF($K245&gt;=6,13,10)))),0)+IF($E246=1,IF($I$1&lt;7,10,IF(AND($I$1=7,$L245=0,$S245&gt;1),15,IF($L245&gt;=20,15,IF($L245&gt;=6,13,10)))),0)+IF($F246=1,IF($J$1&lt;7,10,IF(AND($J$1=7,$M245=0,$T245&gt;1),15,IF($M245&gt;=20,15,IF($M245&gt;=6,13,10)))),0)+IF($G246=1,IF($K$1&lt;7,10,IF(AND($K$1=7,$N245=0,$U245&gt;1),15,IF($N245&gt;=20,15,IF($N245&gt;=6,13,10)))),0)+IF($H246=1,IF($L$1&lt;7,10,IF(AND($L$1=7,$O245=0,$V245&gt;1),15,IF($O245&gt;=20,15,IF($O245&gt;=6,13,10)))),0)</f>
        <v/>
      </c>
      <c r="Z246" s="38">
        <f>$Z245+$Y246</f>
        <v/>
      </c>
      <c r="AA246" s="38">
        <f>IF(AND($B246=1,AND($F$1=7,$I245=0,$P245&gt;1)),1,0)+IF(AND($C246=1,AND($G$1=7,$J245=0,$Q245&gt;1)),1,0)+IF(AND($D246=1,AND($H$1=7,$K245=0,$R245&gt;1)),1,0)+IF(AND($E246=1,AND($I$1=7,$L245=0,$S245&gt;1)),1,0)+IF(AND($F246=1,AND($J$1=7,$M245=0,$T245&gt;1)),1,0)+IF(AND($G246=1,AND($K$1=7,$N245=0,$U245&gt;1)),1,0)+IF(AND($H246=1,AND($L$1=7,$O245=0,$V245&gt;1)),1,0)</f>
        <v/>
      </c>
      <c r="AB246" s="38">
        <f>IF(IFERROR('Авг'!$I29,"")="",0,$AB245+1)</f>
        <v/>
      </c>
    </row>
    <row r="247" spans="1:28">
      <c r="A247" s="38">
        <f>IF($B$1&gt;=DATE(2026,8,25),1,0)</f>
        <v/>
      </c>
      <c r="B247" s="38">
        <f>IFERROR(IF('Авг'!$B30=TRUE,1,0),0)</f>
        <v/>
      </c>
      <c r="C247" s="38">
        <f>IFERROR(IF('Авг'!$C30=TRUE,1,0),0)</f>
        <v/>
      </c>
      <c r="D247" s="38">
        <f>IFERROR(IF('Авг'!$D30=TRUE,1,0),0)</f>
        <v/>
      </c>
      <c r="E247" s="38">
        <f>IFERROR(IF('Авг'!$E30=TRUE,1,0),0)</f>
        <v/>
      </c>
      <c r="F247" s="38">
        <f>IFERROR(IF('Авг'!$F30=TRUE,1,0),0)</f>
        <v/>
      </c>
      <c r="G247" s="38">
        <f>IFERROR(IF('Авг'!$G30=TRUE,1,0),0)</f>
        <v/>
      </c>
      <c r="H247" s="38">
        <f>IFERROR(IF('Авг'!$H30=TRUE,1,0),0)</f>
        <v/>
      </c>
      <c r="I247" s="38">
        <f>IF($A247=0,$I246,IF($B247=1,$I246+1,IF($P247&lt;=1,$I246,0)))</f>
        <v/>
      </c>
      <c r="J247" s="38">
        <f>IF($A247=0,$J246,IF($C247=1,$J246+1,IF($Q247&lt;=1,$J246,0)))</f>
        <v/>
      </c>
      <c r="K247" s="38">
        <f>IF($A247=0,$K246,IF($D247=1,$K246+1,IF($R247&lt;=1,$K246,0)))</f>
        <v/>
      </c>
      <c r="L247" s="38">
        <f>IF($A247=0,$L246,IF($E247=1,$L246+1,IF($S247&lt;=1,$L246,0)))</f>
        <v/>
      </c>
      <c r="M247" s="38">
        <f>IF($A247=0,$M246,IF($F247=1,$M246+1,IF($T247&lt;=1,$M246,0)))</f>
        <v/>
      </c>
      <c r="N247" s="38">
        <f>IF($A247=0,$N246,IF($G247=1,$N246+1,IF($U247&lt;=1,$N246,0)))</f>
        <v/>
      </c>
      <c r="O247" s="38">
        <f>IF($A247=0,$O246,IF($H247=1,$O246+1,IF($V247&lt;=1,$O246,0)))</f>
        <v/>
      </c>
      <c r="P247" s="38">
        <f>IF($A247=0,$P246,$P246+IF($B247=1,0,1))</f>
        <v/>
      </c>
      <c r="Q247" s="38">
        <f>IF($A247=0,$Q246,$Q246+IF($C247=1,0,1))</f>
        <v/>
      </c>
      <c r="R247" s="38">
        <f>IF($A247=0,$R246,$R246+IF($D247=1,0,1))</f>
        <v/>
      </c>
      <c r="S247" s="38">
        <f>IF($A247=0,$S246,$S246+IF($E247=1,0,1))</f>
        <v/>
      </c>
      <c r="T247" s="38">
        <f>IF($A247=0,$T246,$T246+IF($F247=1,0,1))</f>
        <v/>
      </c>
      <c r="U247" s="38">
        <f>IF($A247=0,$U246,$U246+IF($G247=1,0,1))</f>
        <v/>
      </c>
      <c r="V247" s="38">
        <f>IF($A247=0,$V246,$V246+IF($H247=1,0,1))</f>
        <v/>
      </c>
      <c r="W247" s="38">
        <f>SUM($B247:$H247)</f>
        <v/>
      </c>
      <c r="X247" s="38">
        <f>IF(AND($A247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247=1),1,0)+IF(AND($G$1=7,$C247=1),1,0)+IF(AND($H$1=7,$D247=1),1,0)+IF(AND($I$1=7,$E247=1),1,0)+IF(AND($J$1=7,$F247=1),1,0)+IF(AND($K$1=7,$G247=1),1,0)+IF(AND($L$1=7,$H247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7" s="38">
        <f>IF($B247=1,IF($F$1&lt;7,10,IF(AND($F$1=7,$I246=0,$P246&gt;1),15,IF($I246&gt;=20,15,IF($I246&gt;=6,13,10)))),0)+IF($C247=1,IF($G$1&lt;7,10,IF(AND($G$1=7,$J246=0,$Q246&gt;1),15,IF($J246&gt;=20,15,IF($J246&gt;=6,13,10)))),0)+IF($D247=1,IF($H$1&lt;7,10,IF(AND($H$1=7,$K246=0,$R246&gt;1),15,IF($K246&gt;=20,15,IF($K246&gt;=6,13,10)))),0)+IF($E247=1,IF($I$1&lt;7,10,IF(AND($I$1=7,$L246=0,$S246&gt;1),15,IF($L246&gt;=20,15,IF($L246&gt;=6,13,10)))),0)+IF($F247=1,IF($J$1&lt;7,10,IF(AND($J$1=7,$M246=0,$T246&gt;1),15,IF($M246&gt;=20,15,IF($M246&gt;=6,13,10)))),0)+IF($G247=1,IF($K$1&lt;7,10,IF(AND($K$1=7,$N246=0,$U246&gt;1),15,IF($N246&gt;=20,15,IF($N246&gt;=6,13,10)))),0)+IF($H247=1,IF($L$1&lt;7,10,IF(AND($L$1=7,$O246=0,$V246&gt;1),15,IF($O246&gt;=20,15,IF($O246&gt;=6,13,10)))),0)</f>
        <v/>
      </c>
      <c r="Z247" s="38">
        <f>$Z246+$Y247</f>
        <v/>
      </c>
      <c r="AA247" s="38">
        <f>IF(AND($B247=1,AND($F$1=7,$I246=0,$P246&gt;1)),1,0)+IF(AND($C247=1,AND($G$1=7,$J246=0,$Q246&gt;1)),1,0)+IF(AND($D247=1,AND($H$1=7,$K246=0,$R246&gt;1)),1,0)+IF(AND($E247=1,AND($I$1=7,$L246=0,$S246&gt;1)),1,0)+IF(AND($F247=1,AND($J$1=7,$M246=0,$T246&gt;1)),1,0)+IF(AND($G247=1,AND($K$1=7,$N246=0,$U246&gt;1)),1,0)+IF(AND($H247=1,AND($L$1=7,$O246=0,$V246&gt;1)),1,0)</f>
        <v/>
      </c>
      <c r="AB247" s="38">
        <f>IF(IFERROR('Авг'!$I30,"")="",0,$AB246+1)</f>
        <v/>
      </c>
    </row>
    <row r="248" spans="1:28">
      <c r="A248" s="38">
        <f>IF($B$1&gt;=DATE(2026,8,26),1,0)</f>
        <v/>
      </c>
      <c r="B248" s="38">
        <f>IFERROR(IF('Авг'!$B31=TRUE,1,0),0)</f>
        <v/>
      </c>
      <c r="C248" s="38">
        <f>IFERROR(IF('Авг'!$C31=TRUE,1,0),0)</f>
        <v/>
      </c>
      <c r="D248" s="38">
        <f>IFERROR(IF('Авг'!$D31=TRUE,1,0),0)</f>
        <v/>
      </c>
      <c r="E248" s="38">
        <f>IFERROR(IF('Авг'!$E31=TRUE,1,0),0)</f>
        <v/>
      </c>
      <c r="F248" s="38">
        <f>IFERROR(IF('Авг'!$F31=TRUE,1,0),0)</f>
        <v/>
      </c>
      <c r="G248" s="38">
        <f>IFERROR(IF('Авг'!$G31=TRUE,1,0),0)</f>
        <v/>
      </c>
      <c r="H248" s="38">
        <f>IFERROR(IF('Авг'!$H31=TRUE,1,0),0)</f>
        <v/>
      </c>
      <c r="I248" s="38">
        <f>IF($A248=0,$I247,IF($B248=1,$I247+1,IF($P248&lt;=1,$I247,0)))</f>
        <v/>
      </c>
      <c r="J248" s="38">
        <f>IF($A248=0,$J247,IF($C248=1,$J247+1,IF($Q248&lt;=1,$J247,0)))</f>
        <v/>
      </c>
      <c r="K248" s="38">
        <f>IF($A248=0,$K247,IF($D248=1,$K247+1,IF($R248&lt;=1,$K247,0)))</f>
        <v/>
      </c>
      <c r="L248" s="38">
        <f>IF($A248=0,$L247,IF($E248=1,$L247+1,IF($S248&lt;=1,$L247,0)))</f>
        <v/>
      </c>
      <c r="M248" s="38">
        <f>IF($A248=0,$M247,IF($F248=1,$M247+1,IF($T248&lt;=1,$M247,0)))</f>
        <v/>
      </c>
      <c r="N248" s="38">
        <f>IF($A248=0,$N247,IF($G248=1,$N247+1,IF($U248&lt;=1,$N247,0)))</f>
        <v/>
      </c>
      <c r="O248" s="38">
        <f>IF($A248=0,$O247,IF($H248=1,$O247+1,IF($V248&lt;=1,$O247,0)))</f>
        <v/>
      </c>
      <c r="P248" s="38">
        <f>IF($A248=0,$P247,$P247+IF($B248=1,0,1))</f>
        <v/>
      </c>
      <c r="Q248" s="38">
        <f>IF($A248=0,$Q247,$Q247+IF($C248=1,0,1))</f>
        <v/>
      </c>
      <c r="R248" s="38">
        <f>IF($A248=0,$R247,$R247+IF($D248=1,0,1))</f>
        <v/>
      </c>
      <c r="S248" s="38">
        <f>IF($A248=0,$S247,$S247+IF($E248=1,0,1))</f>
        <v/>
      </c>
      <c r="T248" s="38">
        <f>IF($A248=0,$T247,$T247+IF($F248=1,0,1))</f>
        <v/>
      </c>
      <c r="U248" s="38">
        <f>IF($A248=0,$U247,$U247+IF($G248=1,0,1))</f>
        <v/>
      </c>
      <c r="V248" s="38">
        <f>IF($A248=0,$V247,$V247+IF($H248=1,0,1))</f>
        <v/>
      </c>
      <c r="W248" s="38">
        <f>SUM($B248:$H248)</f>
        <v/>
      </c>
      <c r="X248" s="38">
        <f>IF(AND($A248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248=1),1,0)+IF(AND($G$1=7,$C248=1),1,0)+IF(AND($H$1=7,$D248=1),1,0)+IF(AND($I$1=7,$E248=1),1,0)+IF(AND($J$1=7,$F248=1),1,0)+IF(AND($K$1=7,$G248=1),1,0)+IF(AND($L$1=7,$H248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8" s="38">
        <f>IF($B248=1,IF($F$1&lt;7,10,IF(AND($F$1=7,$I247=0,$P247&gt;1),15,IF($I247&gt;=20,15,IF($I247&gt;=6,13,10)))),0)+IF($C248=1,IF($G$1&lt;7,10,IF(AND($G$1=7,$J247=0,$Q247&gt;1),15,IF($J247&gt;=20,15,IF($J247&gt;=6,13,10)))),0)+IF($D248=1,IF($H$1&lt;7,10,IF(AND($H$1=7,$K247=0,$R247&gt;1),15,IF($K247&gt;=20,15,IF($K247&gt;=6,13,10)))),0)+IF($E248=1,IF($I$1&lt;7,10,IF(AND($I$1=7,$L247=0,$S247&gt;1),15,IF($L247&gt;=20,15,IF($L247&gt;=6,13,10)))),0)+IF($F248=1,IF($J$1&lt;7,10,IF(AND($J$1=7,$M247=0,$T247&gt;1),15,IF($M247&gt;=20,15,IF($M247&gt;=6,13,10)))),0)+IF($G248=1,IF($K$1&lt;7,10,IF(AND($K$1=7,$N247=0,$U247&gt;1),15,IF($N247&gt;=20,15,IF($N247&gt;=6,13,10)))),0)+IF($H248=1,IF($L$1&lt;7,10,IF(AND($L$1=7,$O247=0,$V247&gt;1),15,IF($O247&gt;=20,15,IF($O247&gt;=6,13,10)))),0)</f>
        <v/>
      </c>
      <c r="Z248" s="38">
        <f>$Z247+$Y248</f>
        <v/>
      </c>
      <c r="AA248" s="38">
        <f>IF(AND($B248=1,AND($F$1=7,$I247=0,$P247&gt;1)),1,0)+IF(AND($C248=1,AND($G$1=7,$J247=0,$Q247&gt;1)),1,0)+IF(AND($D248=1,AND($H$1=7,$K247=0,$R247&gt;1)),1,0)+IF(AND($E248=1,AND($I$1=7,$L247=0,$S247&gt;1)),1,0)+IF(AND($F248=1,AND($J$1=7,$M247=0,$T247&gt;1)),1,0)+IF(AND($G248=1,AND($K$1=7,$N247=0,$U247&gt;1)),1,0)+IF(AND($H248=1,AND($L$1=7,$O247=0,$V247&gt;1)),1,0)</f>
        <v/>
      </c>
      <c r="AB248" s="38">
        <f>IF(IFERROR('Авг'!$I31,"")="",0,$AB247+1)</f>
        <v/>
      </c>
    </row>
    <row r="249" spans="1:28">
      <c r="A249" s="38">
        <f>IF($B$1&gt;=DATE(2026,8,27),1,0)</f>
        <v/>
      </c>
      <c r="B249" s="38">
        <f>IFERROR(IF('Авг'!$B32=TRUE,1,0),0)</f>
        <v/>
      </c>
      <c r="C249" s="38">
        <f>IFERROR(IF('Авг'!$C32=TRUE,1,0),0)</f>
        <v/>
      </c>
      <c r="D249" s="38">
        <f>IFERROR(IF('Авг'!$D32=TRUE,1,0),0)</f>
        <v/>
      </c>
      <c r="E249" s="38">
        <f>IFERROR(IF('Авг'!$E32=TRUE,1,0),0)</f>
        <v/>
      </c>
      <c r="F249" s="38">
        <f>IFERROR(IF('Авг'!$F32=TRUE,1,0),0)</f>
        <v/>
      </c>
      <c r="G249" s="38">
        <f>IFERROR(IF('Авг'!$G32=TRUE,1,0),0)</f>
        <v/>
      </c>
      <c r="H249" s="38">
        <f>IFERROR(IF('Авг'!$H32=TRUE,1,0),0)</f>
        <v/>
      </c>
      <c r="I249" s="38">
        <f>IF($A249=0,$I248,IF($B249=1,$I248+1,IF($P249&lt;=1,$I248,0)))</f>
        <v/>
      </c>
      <c r="J249" s="38">
        <f>IF($A249=0,$J248,IF($C249=1,$J248+1,IF($Q249&lt;=1,$J248,0)))</f>
        <v/>
      </c>
      <c r="K249" s="38">
        <f>IF($A249=0,$K248,IF($D249=1,$K248+1,IF($R249&lt;=1,$K248,0)))</f>
        <v/>
      </c>
      <c r="L249" s="38">
        <f>IF($A249=0,$L248,IF($E249=1,$L248+1,IF($S249&lt;=1,$L248,0)))</f>
        <v/>
      </c>
      <c r="M249" s="38">
        <f>IF($A249=0,$M248,IF($F249=1,$M248+1,IF($T249&lt;=1,$M248,0)))</f>
        <v/>
      </c>
      <c r="N249" s="38">
        <f>IF($A249=0,$N248,IF($G249=1,$N248+1,IF($U249&lt;=1,$N248,0)))</f>
        <v/>
      </c>
      <c r="O249" s="38">
        <f>IF($A249=0,$O248,IF($H249=1,$O248+1,IF($V249&lt;=1,$O248,0)))</f>
        <v/>
      </c>
      <c r="P249" s="38">
        <f>IF($A249=0,$P248,$P248+IF($B249=1,0,1))</f>
        <v/>
      </c>
      <c r="Q249" s="38">
        <f>IF($A249=0,$Q248,$Q248+IF($C249=1,0,1))</f>
        <v/>
      </c>
      <c r="R249" s="38">
        <f>IF($A249=0,$R248,$R248+IF($D249=1,0,1))</f>
        <v/>
      </c>
      <c r="S249" s="38">
        <f>IF($A249=0,$S248,$S248+IF($E249=1,0,1))</f>
        <v/>
      </c>
      <c r="T249" s="38">
        <f>IF($A249=0,$T248,$T248+IF($F249=1,0,1))</f>
        <v/>
      </c>
      <c r="U249" s="38">
        <f>IF($A249=0,$U248,$U248+IF($G249=1,0,1))</f>
        <v/>
      </c>
      <c r="V249" s="38">
        <f>IF($A249=0,$V248,$V248+IF($H249=1,0,1))</f>
        <v/>
      </c>
      <c r="W249" s="38">
        <f>SUM($B249:$H249)</f>
        <v/>
      </c>
      <c r="X249" s="38">
        <f>IF(AND($A249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249=1),1,0)+IF(AND($G$1=7,$C249=1),1,0)+IF(AND($H$1=7,$D249=1),1,0)+IF(AND($I$1=7,$E249=1),1,0)+IF(AND($J$1=7,$F249=1),1,0)+IF(AND($K$1=7,$G249=1),1,0)+IF(AND($L$1=7,$H249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9" s="38">
        <f>IF($B249=1,IF($F$1&lt;7,10,IF(AND($F$1=7,$I248=0,$P248&gt;1),15,IF($I248&gt;=20,15,IF($I248&gt;=6,13,10)))),0)+IF($C249=1,IF($G$1&lt;7,10,IF(AND($G$1=7,$J248=0,$Q248&gt;1),15,IF($J248&gt;=20,15,IF($J248&gt;=6,13,10)))),0)+IF($D249=1,IF($H$1&lt;7,10,IF(AND($H$1=7,$K248=0,$R248&gt;1),15,IF($K248&gt;=20,15,IF($K248&gt;=6,13,10)))),0)+IF($E249=1,IF($I$1&lt;7,10,IF(AND($I$1=7,$L248=0,$S248&gt;1),15,IF($L248&gt;=20,15,IF($L248&gt;=6,13,10)))),0)+IF($F249=1,IF($J$1&lt;7,10,IF(AND($J$1=7,$M248=0,$T248&gt;1),15,IF($M248&gt;=20,15,IF($M248&gt;=6,13,10)))),0)+IF($G249=1,IF($K$1&lt;7,10,IF(AND($K$1=7,$N248=0,$U248&gt;1),15,IF($N248&gt;=20,15,IF($N248&gt;=6,13,10)))),0)+IF($H249=1,IF($L$1&lt;7,10,IF(AND($L$1=7,$O248=0,$V248&gt;1),15,IF($O248&gt;=20,15,IF($O248&gt;=6,13,10)))),0)</f>
        <v/>
      </c>
      <c r="Z249" s="38">
        <f>$Z248+$Y249</f>
        <v/>
      </c>
      <c r="AA249" s="38">
        <f>IF(AND($B249=1,AND($F$1=7,$I248=0,$P248&gt;1)),1,0)+IF(AND($C249=1,AND($G$1=7,$J248=0,$Q248&gt;1)),1,0)+IF(AND($D249=1,AND($H$1=7,$K248=0,$R248&gt;1)),1,0)+IF(AND($E249=1,AND($I$1=7,$L248=0,$S248&gt;1)),1,0)+IF(AND($F249=1,AND($J$1=7,$M248=0,$T248&gt;1)),1,0)+IF(AND($G249=1,AND($K$1=7,$N248=0,$U248&gt;1)),1,0)+IF(AND($H249=1,AND($L$1=7,$O248=0,$V248&gt;1)),1,0)</f>
        <v/>
      </c>
      <c r="AB249" s="38">
        <f>IF(IFERROR('Авг'!$I32,"")="",0,$AB248+1)</f>
        <v/>
      </c>
    </row>
    <row r="250" spans="1:28">
      <c r="A250" s="38">
        <f>IF($B$1&gt;=DATE(2026,8,28),1,0)</f>
        <v/>
      </c>
      <c r="B250" s="38">
        <f>IFERROR(IF('Авг'!$B33=TRUE,1,0),0)</f>
        <v/>
      </c>
      <c r="C250" s="38">
        <f>IFERROR(IF('Авг'!$C33=TRUE,1,0),0)</f>
        <v/>
      </c>
      <c r="D250" s="38">
        <f>IFERROR(IF('Авг'!$D33=TRUE,1,0),0)</f>
        <v/>
      </c>
      <c r="E250" s="38">
        <f>IFERROR(IF('Авг'!$E33=TRUE,1,0),0)</f>
        <v/>
      </c>
      <c r="F250" s="38">
        <f>IFERROR(IF('Авг'!$F33=TRUE,1,0),0)</f>
        <v/>
      </c>
      <c r="G250" s="38">
        <f>IFERROR(IF('Авг'!$G33=TRUE,1,0),0)</f>
        <v/>
      </c>
      <c r="H250" s="38">
        <f>IFERROR(IF('Авг'!$H33=TRUE,1,0),0)</f>
        <v/>
      </c>
      <c r="I250" s="38">
        <f>IF($A250=0,$I249,IF($B250=1,$I249+1,IF($P250&lt;=1,$I249,0)))</f>
        <v/>
      </c>
      <c r="J250" s="38">
        <f>IF($A250=0,$J249,IF($C250=1,$J249+1,IF($Q250&lt;=1,$J249,0)))</f>
        <v/>
      </c>
      <c r="K250" s="38">
        <f>IF($A250=0,$K249,IF($D250=1,$K249+1,IF($R250&lt;=1,$K249,0)))</f>
        <v/>
      </c>
      <c r="L250" s="38">
        <f>IF($A250=0,$L249,IF($E250=1,$L249+1,IF($S250&lt;=1,$L249,0)))</f>
        <v/>
      </c>
      <c r="M250" s="38">
        <f>IF($A250=0,$M249,IF($F250=1,$M249+1,IF($T250&lt;=1,$M249,0)))</f>
        <v/>
      </c>
      <c r="N250" s="38">
        <f>IF($A250=0,$N249,IF($G250=1,$N249+1,IF($U250&lt;=1,$N249,0)))</f>
        <v/>
      </c>
      <c r="O250" s="38">
        <f>IF($A250=0,$O249,IF($H250=1,$O249+1,IF($V250&lt;=1,$O249,0)))</f>
        <v/>
      </c>
      <c r="P250" s="38">
        <f>IF($A250=0,$P249,$P249+IF($B250=1,0,1))</f>
        <v/>
      </c>
      <c r="Q250" s="38">
        <f>IF($A250=0,$Q249,$Q249+IF($C250=1,0,1))</f>
        <v/>
      </c>
      <c r="R250" s="38">
        <f>IF($A250=0,$R249,$R249+IF($D250=1,0,1))</f>
        <v/>
      </c>
      <c r="S250" s="38">
        <f>IF($A250=0,$S249,$S249+IF($E250=1,0,1))</f>
        <v/>
      </c>
      <c r="T250" s="38">
        <f>IF($A250=0,$T249,$T249+IF($F250=1,0,1))</f>
        <v/>
      </c>
      <c r="U250" s="38">
        <f>IF($A250=0,$U249,$U249+IF($G250=1,0,1))</f>
        <v/>
      </c>
      <c r="V250" s="38">
        <f>IF($A250=0,$V249,$V249+IF($H250=1,0,1))</f>
        <v/>
      </c>
      <c r="W250" s="38">
        <f>SUM($B250:$H250)</f>
        <v/>
      </c>
      <c r="X250" s="38">
        <f>IF(AND($A250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250=1),1,0)+IF(AND($G$1=7,$C250=1),1,0)+IF(AND($H$1=7,$D250=1),1,0)+IF(AND($I$1=7,$E250=1),1,0)+IF(AND($J$1=7,$F250=1),1,0)+IF(AND($K$1=7,$G250=1),1,0)+IF(AND($L$1=7,$H250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0" s="38">
        <f>IF($B250=1,IF($F$1&lt;7,10,IF(AND($F$1=7,$I249=0,$P249&gt;1),15,IF($I249&gt;=20,15,IF($I249&gt;=6,13,10)))),0)+IF($C250=1,IF($G$1&lt;7,10,IF(AND($G$1=7,$J249=0,$Q249&gt;1),15,IF($J249&gt;=20,15,IF($J249&gt;=6,13,10)))),0)+IF($D250=1,IF($H$1&lt;7,10,IF(AND($H$1=7,$K249=0,$R249&gt;1),15,IF($K249&gt;=20,15,IF($K249&gt;=6,13,10)))),0)+IF($E250=1,IF($I$1&lt;7,10,IF(AND($I$1=7,$L249=0,$S249&gt;1),15,IF($L249&gt;=20,15,IF($L249&gt;=6,13,10)))),0)+IF($F250=1,IF($J$1&lt;7,10,IF(AND($J$1=7,$M249=0,$T249&gt;1),15,IF($M249&gt;=20,15,IF($M249&gt;=6,13,10)))),0)+IF($G250=1,IF($K$1&lt;7,10,IF(AND($K$1=7,$N249=0,$U249&gt;1),15,IF($N249&gt;=20,15,IF($N249&gt;=6,13,10)))),0)+IF($H250=1,IF($L$1&lt;7,10,IF(AND($L$1=7,$O249=0,$V249&gt;1),15,IF($O249&gt;=20,15,IF($O249&gt;=6,13,10)))),0)</f>
        <v/>
      </c>
      <c r="Z250" s="38">
        <f>$Z249+$Y250</f>
        <v/>
      </c>
      <c r="AA250" s="38">
        <f>IF(AND($B250=1,AND($F$1=7,$I249=0,$P249&gt;1)),1,0)+IF(AND($C250=1,AND($G$1=7,$J249=0,$Q249&gt;1)),1,0)+IF(AND($D250=1,AND($H$1=7,$K249=0,$R249&gt;1)),1,0)+IF(AND($E250=1,AND($I$1=7,$L249=0,$S249&gt;1)),1,0)+IF(AND($F250=1,AND($J$1=7,$M249=0,$T249&gt;1)),1,0)+IF(AND($G250=1,AND($K$1=7,$N249=0,$U249&gt;1)),1,0)+IF(AND($H250=1,AND($L$1=7,$O249=0,$V249&gt;1)),1,0)</f>
        <v/>
      </c>
      <c r="AB250" s="38">
        <f>IF(IFERROR('Авг'!$I33,"")="",0,$AB249+1)</f>
        <v/>
      </c>
    </row>
    <row r="251" spans="1:28">
      <c r="A251" s="38">
        <f>IF($B$1&gt;=DATE(2026,8,29),1,0)</f>
        <v/>
      </c>
      <c r="B251" s="38">
        <f>IFERROR(IF('Авг'!$B34=TRUE,1,0),0)</f>
        <v/>
      </c>
      <c r="C251" s="38">
        <f>IFERROR(IF('Авг'!$C34=TRUE,1,0),0)</f>
        <v/>
      </c>
      <c r="D251" s="38">
        <f>IFERROR(IF('Авг'!$D34=TRUE,1,0),0)</f>
        <v/>
      </c>
      <c r="E251" s="38">
        <f>IFERROR(IF('Авг'!$E34=TRUE,1,0),0)</f>
        <v/>
      </c>
      <c r="F251" s="38">
        <f>IFERROR(IF('Авг'!$F34=TRUE,1,0),0)</f>
        <v/>
      </c>
      <c r="G251" s="38">
        <f>IFERROR(IF('Авг'!$G34=TRUE,1,0),0)</f>
        <v/>
      </c>
      <c r="H251" s="38">
        <f>IFERROR(IF('Авг'!$H34=TRUE,1,0),0)</f>
        <v/>
      </c>
      <c r="I251" s="38">
        <f>IF($A251=0,$I250,IF($B251=1,$I250+1,IF($P251&lt;=1,$I250,0)))</f>
        <v/>
      </c>
      <c r="J251" s="38">
        <f>IF($A251=0,$J250,IF($C251=1,$J250+1,IF($Q251&lt;=1,$J250,0)))</f>
        <v/>
      </c>
      <c r="K251" s="38">
        <f>IF($A251=0,$K250,IF($D251=1,$K250+1,IF($R251&lt;=1,$K250,0)))</f>
        <v/>
      </c>
      <c r="L251" s="38">
        <f>IF($A251=0,$L250,IF($E251=1,$L250+1,IF($S251&lt;=1,$L250,0)))</f>
        <v/>
      </c>
      <c r="M251" s="38">
        <f>IF($A251=0,$M250,IF($F251=1,$M250+1,IF($T251&lt;=1,$M250,0)))</f>
        <v/>
      </c>
      <c r="N251" s="38">
        <f>IF($A251=0,$N250,IF($G251=1,$N250+1,IF($U251&lt;=1,$N250,0)))</f>
        <v/>
      </c>
      <c r="O251" s="38">
        <f>IF($A251=0,$O250,IF($H251=1,$O250+1,IF($V251&lt;=1,$O250,0)))</f>
        <v/>
      </c>
      <c r="P251" s="38">
        <f>IF($A251=0,$P250,$P250+IF($B251=1,0,1))</f>
        <v/>
      </c>
      <c r="Q251" s="38">
        <f>IF($A251=0,$Q250,$Q250+IF($C251=1,0,1))</f>
        <v/>
      </c>
      <c r="R251" s="38">
        <f>IF($A251=0,$R250,$R250+IF($D251=1,0,1))</f>
        <v/>
      </c>
      <c r="S251" s="38">
        <f>IF($A251=0,$S250,$S250+IF($E251=1,0,1))</f>
        <v/>
      </c>
      <c r="T251" s="38">
        <f>IF($A251=0,$T250,$T250+IF($F251=1,0,1))</f>
        <v/>
      </c>
      <c r="U251" s="38">
        <f>IF($A251=0,$U250,$U250+IF($G251=1,0,1))</f>
        <v/>
      </c>
      <c r="V251" s="38">
        <f>IF($A251=0,$V250,$V250+IF($H251=1,0,1))</f>
        <v/>
      </c>
      <c r="W251" s="38">
        <f>SUM($B251:$H251)</f>
        <v/>
      </c>
      <c r="X251" s="38">
        <f>IF(AND($A251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251=1),1,0)+IF(AND($G$1=7,$C251=1),1,0)+IF(AND($H$1=7,$D251=1),1,0)+IF(AND($I$1=7,$E251=1),1,0)+IF(AND($J$1=7,$F251=1),1,0)+IF(AND($K$1=7,$G251=1),1,0)+IF(AND($L$1=7,$H251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1" s="38">
        <f>IF($B251=1,IF($F$1&lt;7,10,IF(AND($F$1=7,$I250=0,$P250&gt;1),15,IF($I250&gt;=20,15,IF($I250&gt;=6,13,10)))),0)+IF($C251=1,IF($G$1&lt;7,10,IF(AND($G$1=7,$J250=0,$Q250&gt;1),15,IF($J250&gt;=20,15,IF($J250&gt;=6,13,10)))),0)+IF($D251=1,IF($H$1&lt;7,10,IF(AND($H$1=7,$K250=0,$R250&gt;1),15,IF($K250&gt;=20,15,IF($K250&gt;=6,13,10)))),0)+IF($E251=1,IF($I$1&lt;7,10,IF(AND($I$1=7,$L250=0,$S250&gt;1),15,IF($L250&gt;=20,15,IF($L250&gt;=6,13,10)))),0)+IF($F251=1,IF($J$1&lt;7,10,IF(AND($J$1=7,$M250=0,$T250&gt;1),15,IF($M250&gt;=20,15,IF($M250&gt;=6,13,10)))),0)+IF($G251=1,IF($K$1&lt;7,10,IF(AND($K$1=7,$N250=0,$U250&gt;1),15,IF($N250&gt;=20,15,IF($N250&gt;=6,13,10)))),0)+IF($H251=1,IF($L$1&lt;7,10,IF(AND($L$1=7,$O250=0,$V250&gt;1),15,IF($O250&gt;=20,15,IF($O250&gt;=6,13,10)))),0)</f>
        <v/>
      </c>
      <c r="Z251" s="38">
        <f>$Z250+$Y251</f>
        <v/>
      </c>
      <c r="AA251" s="38">
        <f>IF(AND($B251=1,AND($F$1=7,$I250=0,$P250&gt;1)),1,0)+IF(AND($C251=1,AND($G$1=7,$J250=0,$Q250&gt;1)),1,0)+IF(AND($D251=1,AND($H$1=7,$K250=0,$R250&gt;1)),1,0)+IF(AND($E251=1,AND($I$1=7,$L250=0,$S250&gt;1)),1,0)+IF(AND($F251=1,AND($J$1=7,$M250=0,$T250&gt;1)),1,0)+IF(AND($G251=1,AND($K$1=7,$N250=0,$U250&gt;1)),1,0)+IF(AND($H251=1,AND($L$1=7,$O250=0,$V250&gt;1)),1,0)</f>
        <v/>
      </c>
      <c r="AB251" s="38">
        <f>IF(IFERROR('Авг'!$I34,"")="",0,$AB250+1)</f>
        <v/>
      </c>
    </row>
    <row r="252" spans="1:28">
      <c r="A252" s="38">
        <f>IF($B$1&gt;=DATE(2026,8,30),1,0)</f>
        <v/>
      </c>
      <c r="B252" s="38">
        <f>IFERROR(IF('Авг'!$B35=TRUE,1,0),0)</f>
        <v/>
      </c>
      <c r="C252" s="38">
        <f>IFERROR(IF('Авг'!$C35=TRUE,1,0),0)</f>
        <v/>
      </c>
      <c r="D252" s="38">
        <f>IFERROR(IF('Авг'!$D35=TRUE,1,0),0)</f>
        <v/>
      </c>
      <c r="E252" s="38">
        <f>IFERROR(IF('Авг'!$E35=TRUE,1,0),0)</f>
        <v/>
      </c>
      <c r="F252" s="38">
        <f>IFERROR(IF('Авг'!$F35=TRUE,1,0),0)</f>
        <v/>
      </c>
      <c r="G252" s="38">
        <f>IFERROR(IF('Авг'!$G35=TRUE,1,0),0)</f>
        <v/>
      </c>
      <c r="H252" s="38">
        <f>IFERROR(IF('Авг'!$H35=TRUE,1,0),0)</f>
        <v/>
      </c>
      <c r="I252" s="38">
        <f>IF($A252=0,$I251,IF($B252=1,$I251+1,IF($P252&lt;=1,$I251,0)))</f>
        <v/>
      </c>
      <c r="J252" s="38">
        <f>IF($A252=0,$J251,IF($C252=1,$J251+1,IF($Q252&lt;=1,$J251,0)))</f>
        <v/>
      </c>
      <c r="K252" s="38">
        <f>IF($A252=0,$K251,IF($D252=1,$K251+1,IF($R252&lt;=1,$K251,0)))</f>
        <v/>
      </c>
      <c r="L252" s="38">
        <f>IF($A252=0,$L251,IF($E252=1,$L251+1,IF($S252&lt;=1,$L251,0)))</f>
        <v/>
      </c>
      <c r="M252" s="38">
        <f>IF($A252=0,$M251,IF($F252=1,$M251+1,IF($T252&lt;=1,$M251,0)))</f>
        <v/>
      </c>
      <c r="N252" s="38">
        <f>IF($A252=0,$N251,IF($G252=1,$N251+1,IF($U252&lt;=1,$N251,0)))</f>
        <v/>
      </c>
      <c r="O252" s="38">
        <f>IF($A252=0,$O251,IF($H252=1,$O251+1,IF($V252&lt;=1,$O251,0)))</f>
        <v/>
      </c>
      <c r="P252" s="38">
        <f>IF($A252=0,$P251,$P251+IF($B252=1,0,1))</f>
        <v/>
      </c>
      <c r="Q252" s="38">
        <f>IF($A252=0,$Q251,$Q251+IF($C252=1,0,1))</f>
        <v/>
      </c>
      <c r="R252" s="38">
        <f>IF($A252=0,$R251,$R251+IF($D252=1,0,1))</f>
        <v/>
      </c>
      <c r="S252" s="38">
        <f>IF($A252=0,$S251,$S251+IF($E252=1,0,1))</f>
        <v/>
      </c>
      <c r="T252" s="38">
        <f>IF($A252=0,$T251,$T251+IF($F252=1,0,1))</f>
        <v/>
      </c>
      <c r="U252" s="38">
        <f>IF($A252=0,$U251,$U251+IF($G252=1,0,1))</f>
        <v/>
      </c>
      <c r="V252" s="38">
        <f>IF($A252=0,$V251,$V251+IF($H252=1,0,1))</f>
        <v/>
      </c>
      <c r="W252" s="38">
        <f>SUM($B252:$H252)</f>
        <v/>
      </c>
      <c r="X252" s="38">
        <f>IF(AND($A252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252=1),1,0)+IF(AND($G$1=7,$C252=1),1,0)+IF(AND($H$1=7,$D252=1),1,0)+IF(AND($I$1=7,$E252=1),1,0)+IF(AND($J$1=7,$F252=1),1,0)+IF(AND($K$1=7,$G252=1),1,0)+IF(AND($L$1=7,$H252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2" s="38">
        <f>IF($B252=1,IF($F$1&lt;7,10,IF(AND($F$1=7,$I251=0,$P251&gt;1),15,IF($I251&gt;=20,15,IF($I251&gt;=6,13,10)))),0)+IF($C252=1,IF($G$1&lt;7,10,IF(AND($G$1=7,$J251=0,$Q251&gt;1),15,IF($J251&gt;=20,15,IF($J251&gt;=6,13,10)))),0)+IF($D252=1,IF($H$1&lt;7,10,IF(AND($H$1=7,$K251=0,$R251&gt;1),15,IF($K251&gt;=20,15,IF($K251&gt;=6,13,10)))),0)+IF($E252=1,IF($I$1&lt;7,10,IF(AND($I$1=7,$L251=0,$S251&gt;1),15,IF($L251&gt;=20,15,IF($L251&gt;=6,13,10)))),0)+IF($F252=1,IF($J$1&lt;7,10,IF(AND($J$1=7,$M251=0,$T251&gt;1),15,IF($M251&gt;=20,15,IF($M251&gt;=6,13,10)))),0)+IF($G252=1,IF($K$1&lt;7,10,IF(AND($K$1=7,$N251=0,$U251&gt;1),15,IF($N251&gt;=20,15,IF($N251&gt;=6,13,10)))),0)+IF($H252=1,IF($L$1&lt;7,10,IF(AND($L$1=7,$O251=0,$V251&gt;1),15,IF($O251&gt;=20,15,IF($O251&gt;=6,13,10)))),0)</f>
        <v/>
      </c>
      <c r="Z252" s="38">
        <f>$Z251+$Y252</f>
        <v/>
      </c>
      <c r="AA252" s="38">
        <f>IF(AND($B252=1,AND($F$1=7,$I251=0,$P251&gt;1)),1,0)+IF(AND($C252=1,AND($G$1=7,$J251=0,$Q251&gt;1)),1,0)+IF(AND($D252=1,AND($H$1=7,$K251=0,$R251&gt;1)),1,0)+IF(AND($E252=1,AND($I$1=7,$L251=0,$S251&gt;1)),1,0)+IF(AND($F252=1,AND($J$1=7,$M251=0,$T251&gt;1)),1,0)+IF(AND($G252=1,AND($K$1=7,$N251=0,$U251&gt;1)),1,0)+IF(AND($H252=1,AND($L$1=7,$O251=0,$V251&gt;1)),1,0)</f>
        <v/>
      </c>
      <c r="AB252" s="38">
        <f>IF(IFERROR('Авг'!$I35,"")="",0,$AB251+1)</f>
        <v/>
      </c>
    </row>
    <row r="253" spans="1:28">
      <c r="A253" s="38">
        <f>IF($B$1&gt;=DATE(2026,8,31),1,0)</f>
        <v/>
      </c>
      <c r="B253" s="38">
        <f>IFERROR(IF('Авг'!$B36=TRUE,1,0),0)</f>
        <v/>
      </c>
      <c r="C253" s="38">
        <f>IFERROR(IF('Авг'!$C36=TRUE,1,0),0)</f>
        <v/>
      </c>
      <c r="D253" s="38">
        <f>IFERROR(IF('Авг'!$D36=TRUE,1,0),0)</f>
        <v/>
      </c>
      <c r="E253" s="38">
        <f>IFERROR(IF('Авг'!$E36=TRUE,1,0),0)</f>
        <v/>
      </c>
      <c r="F253" s="38">
        <f>IFERROR(IF('Авг'!$F36=TRUE,1,0),0)</f>
        <v/>
      </c>
      <c r="G253" s="38">
        <f>IFERROR(IF('Авг'!$G36=TRUE,1,0),0)</f>
        <v/>
      </c>
      <c r="H253" s="38">
        <f>IFERROR(IF('Авг'!$H36=TRUE,1,0),0)</f>
        <v/>
      </c>
      <c r="I253" s="38">
        <f>IF($A253=0,$I252,IF($B253=1,$I252+1,IF($P253&lt;=1,$I252,0)))</f>
        <v/>
      </c>
      <c r="J253" s="38">
        <f>IF($A253=0,$J252,IF($C253=1,$J252+1,IF($Q253&lt;=1,$J252,0)))</f>
        <v/>
      </c>
      <c r="K253" s="38">
        <f>IF($A253=0,$K252,IF($D253=1,$K252+1,IF($R253&lt;=1,$K252,0)))</f>
        <v/>
      </c>
      <c r="L253" s="38">
        <f>IF($A253=0,$L252,IF($E253=1,$L252+1,IF($S253&lt;=1,$L252,0)))</f>
        <v/>
      </c>
      <c r="M253" s="38">
        <f>IF($A253=0,$M252,IF($F253=1,$M252+1,IF($T253&lt;=1,$M252,0)))</f>
        <v/>
      </c>
      <c r="N253" s="38">
        <f>IF($A253=0,$N252,IF($G253=1,$N252+1,IF($U253&lt;=1,$N252,0)))</f>
        <v/>
      </c>
      <c r="O253" s="38">
        <f>IF($A253=0,$O252,IF($H253=1,$O252+1,IF($V253&lt;=1,$O252,0)))</f>
        <v/>
      </c>
      <c r="P253" s="38">
        <f>IF($A253=0,$P252,$P252+IF($B253=1,0,1))</f>
        <v/>
      </c>
      <c r="Q253" s="38">
        <f>IF($A253=0,$Q252,$Q252+IF($C253=1,0,1))</f>
        <v/>
      </c>
      <c r="R253" s="38">
        <f>IF($A253=0,$R252,$R252+IF($D253=1,0,1))</f>
        <v/>
      </c>
      <c r="S253" s="38">
        <f>IF($A253=0,$S252,$S252+IF($E253=1,0,1))</f>
        <v/>
      </c>
      <c r="T253" s="38">
        <f>IF($A253=0,$T252,$T252+IF($F253=1,0,1))</f>
        <v/>
      </c>
      <c r="U253" s="38">
        <f>IF($A253=0,$U252,$U252+IF($G253=1,0,1))</f>
        <v/>
      </c>
      <c r="V253" s="38">
        <f>IF($A253=0,$V252,$V252+IF($H253=1,0,1))</f>
        <v/>
      </c>
      <c r="W253" s="38">
        <f>SUM($B253:$H253)</f>
        <v/>
      </c>
      <c r="X253" s="38">
        <f>IF(AND($A253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253=1),1,0)+IF(AND($G$1=7,$C253=1),1,0)+IF(AND($H$1=7,$D253=1),1,0)+IF(AND($I$1=7,$E253=1),1,0)+IF(AND($J$1=7,$F253=1),1,0)+IF(AND($K$1=7,$G253=1),1,0)+IF(AND($L$1=7,$H253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3" s="38">
        <f>IF($B253=1,IF($F$1&lt;7,10,IF(AND($F$1=7,$I252=0,$P252&gt;1),15,IF($I252&gt;=20,15,IF($I252&gt;=6,13,10)))),0)+IF($C253=1,IF($G$1&lt;7,10,IF(AND($G$1=7,$J252=0,$Q252&gt;1),15,IF($J252&gt;=20,15,IF($J252&gt;=6,13,10)))),0)+IF($D253=1,IF($H$1&lt;7,10,IF(AND($H$1=7,$K252=0,$R252&gt;1),15,IF($K252&gt;=20,15,IF($K252&gt;=6,13,10)))),0)+IF($E253=1,IF($I$1&lt;7,10,IF(AND($I$1=7,$L252=0,$S252&gt;1),15,IF($L252&gt;=20,15,IF($L252&gt;=6,13,10)))),0)+IF($F253=1,IF($J$1&lt;7,10,IF(AND($J$1=7,$M252=0,$T252&gt;1),15,IF($M252&gt;=20,15,IF($M252&gt;=6,13,10)))),0)+IF($G253=1,IF($K$1&lt;7,10,IF(AND($K$1=7,$N252=0,$U252&gt;1),15,IF($N252&gt;=20,15,IF($N252&gt;=6,13,10)))),0)+IF($H253=1,IF($L$1&lt;7,10,IF(AND($L$1=7,$O252=0,$V252&gt;1),15,IF($O252&gt;=20,15,IF($O252&gt;=6,13,10)))),0)</f>
        <v/>
      </c>
      <c r="Z253" s="38">
        <f>$Z252+$Y253</f>
        <v/>
      </c>
      <c r="AA253" s="38">
        <f>IF(AND($B253=1,AND($F$1=7,$I252=0,$P252&gt;1)),1,0)+IF(AND($C253=1,AND($G$1=7,$J252=0,$Q252&gt;1)),1,0)+IF(AND($D253=1,AND($H$1=7,$K252=0,$R252&gt;1)),1,0)+IF(AND($E253=1,AND($I$1=7,$L252=0,$S252&gt;1)),1,0)+IF(AND($F253=1,AND($J$1=7,$M252=0,$T252&gt;1)),1,0)+IF(AND($G253=1,AND($K$1=7,$N252=0,$U252&gt;1)),1,0)+IF(AND($H253=1,AND($L$1=7,$O252=0,$V252&gt;1)),1,0)</f>
        <v/>
      </c>
      <c r="AB253" s="38">
        <f>IF(IFERROR('Авг'!$I36,"")="",0,$AB252+1)</f>
        <v/>
      </c>
    </row>
    <row r="254" spans="1:28">
      <c r="A254" s="38">
        <f>IF($B$1&gt;=DATE(2026,9,1),1,0)</f>
        <v/>
      </c>
      <c r="B254" s="38">
        <f>IFERROR(IF('Сен'!$B6=TRUE,1,0),0)</f>
        <v/>
      </c>
      <c r="C254" s="38">
        <f>IFERROR(IF('Сен'!$C6=TRUE,1,0),0)</f>
        <v/>
      </c>
      <c r="D254" s="38">
        <f>IFERROR(IF('Сен'!$D6=TRUE,1,0),0)</f>
        <v/>
      </c>
      <c r="E254" s="38">
        <f>IFERROR(IF('Сен'!$E6=TRUE,1,0),0)</f>
        <v/>
      </c>
      <c r="F254" s="38">
        <f>IFERROR(IF('Сен'!$F6=TRUE,1,0),0)</f>
        <v/>
      </c>
      <c r="G254" s="38">
        <f>IFERROR(IF('Сен'!$G6=TRUE,1,0),0)</f>
        <v/>
      </c>
      <c r="H254" s="38">
        <f>IFERROR(IF('Сен'!$H6=TRUE,1,0),0)</f>
        <v/>
      </c>
      <c r="I254" s="38">
        <f>IF($A254=0,$I253,IF($B254=1,$I253+1,IF($P254&lt;=1,$I253,0)))</f>
        <v/>
      </c>
      <c r="J254" s="38">
        <f>IF($A254=0,$J253,IF($C254=1,$J253+1,IF($Q254&lt;=1,$J253,0)))</f>
        <v/>
      </c>
      <c r="K254" s="38">
        <f>IF($A254=0,$K253,IF($D254=1,$K253+1,IF($R254&lt;=1,$K253,0)))</f>
        <v/>
      </c>
      <c r="L254" s="38">
        <f>IF($A254=0,$L253,IF($E254=1,$L253+1,IF($S254&lt;=1,$L253,0)))</f>
        <v/>
      </c>
      <c r="M254" s="38">
        <f>IF($A254=0,$M253,IF($F254=1,$M253+1,IF($T254&lt;=1,$M253,0)))</f>
        <v/>
      </c>
      <c r="N254" s="38">
        <f>IF($A254=0,$N253,IF($G254=1,$N253+1,IF($U254&lt;=1,$N253,0)))</f>
        <v/>
      </c>
      <c r="O254" s="38">
        <f>IF($A254=0,$O253,IF($H254=1,$O253+1,IF($V254&lt;=1,$O253,0)))</f>
        <v/>
      </c>
      <c r="P254" s="38">
        <f>IF($A254=0,0,0+IF($B254=1,0,1))</f>
        <v/>
      </c>
      <c r="Q254" s="38">
        <f>IF($A254=0,0,0+IF($C254=1,0,1))</f>
        <v/>
      </c>
      <c r="R254" s="38">
        <f>IF($A254=0,0,0+IF($D254=1,0,1))</f>
        <v/>
      </c>
      <c r="S254" s="38">
        <f>IF($A254=0,0,0+IF($E254=1,0,1))</f>
        <v/>
      </c>
      <c r="T254" s="38">
        <f>IF($A254=0,0,0+IF($F254=1,0,1))</f>
        <v/>
      </c>
      <c r="U254" s="38">
        <f>IF($A254=0,0,0+IF($G254=1,0,1))</f>
        <v/>
      </c>
      <c r="V254" s="38">
        <f>IF($A254=0,0,0+IF($H254=1,0,1))</f>
        <v/>
      </c>
      <c r="W254" s="38">
        <f>SUM($B254:$H254)</f>
        <v/>
      </c>
      <c r="X254" s="38">
        <f>IF(AND($A254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254=1),1,0)+IF(AND($G$1=7,$C254=1),1,0)+IF(AND($H$1=7,$D254=1),1,0)+IF(AND($I$1=7,$E254=1),1,0)+IF(AND($J$1=7,$F254=1),1,0)+IF(AND($K$1=7,$G254=1),1,0)+IF(AND($L$1=7,$H254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4" s="38">
        <f>IF($B254=1,IF($F$1&lt;7,10,IF(AND($F$1=7,$I253=0,0&gt;1),15,IF($I253&gt;=20,15,IF($I253&gt;=6,13,10)))),0)+IF($C254=1,IF($G$1&lt;7,10,IF(AND($G$1=7,$J253=0,0&gt;1),15,IF($J253&gt;=20,15,IF($J253&gt;=6,13,10)))),0)+IF($D254=1,IF($H$1&lt;7,10,IF(AND($H$1=7,$K253=0,0&gt;1),15,IF($K253&gt;=20,15,IF($K253&gt;=6,13,10)))),0)+IF($E254=1,IF($I$1&lt;7,10,IF(AND($I$1=7,$L253=0,0&gt;1),15,IF($L253&gt;=20,15,IF($L253&gt;=6,13,10)))),0)+IF($F254=1,IF($J$1&lt;7,10,IF(AND($J$1=7,$M253=0,0&gt;1),15,IF($M253&gt;=20,15,IF($M253&gt;=6,13,10)))),0)+IF($G254=1,IF($K$1&lt;7,10,IF(AND($K$1=7,$N253=0,0&gt;1),15,IF($N253&gt;=20,15,IF($N253&gt;=6,13,10)))),0)+IF($H254=1,IF($L$1&lt;7,10,IF(AND($L$1=7,$O253=0,0&gt;1),15,IF($O253&gt;=20,15,IF($O253&gt;=6,13,10)))),0)</f>
        <v/>
      </c>
      <c r="Z254" s="38">
        <f>$Z253+$Y254</f>
        <v/>
      </c>
      <c r="AA254" s="38">
        <f>IF(AND($B254=1,AND($F$1=7,$I253=0,0&gt;1)),1,0)+IF(AND($C254=1,AND($G$1=7,$J253=0,0&gt;1)),1,0)+IF(AND($D254=1,AND($H$1=7,$K253=0,0&gt;1)),1,0)+IF(AND($E254=1,AND($I$1=7,$L253=0,0&gt;1)),1,0)+IF(AND($F254=1,AND($J$1=7,$M253=0,0&gt;1)),1,0)+IF(AND($G254=1,AND($K$1=7,$N253=0,0&gt;1)),1,0)+IF(AND($H254=1,AND($L$1=7,$O253=0,0&gt;1)),1,0)</f>
        <v/>
      </c>
      <c r="AB254" s="38">
        <f>IF(IFERROR('Сен'!$I6,"")="",0,$AB253+1)</f>
        <v/>
      </c>
    </row>
    <row r="255" spans="1:28">
      <c r="A255" s="38">
        <f>IF($B$1&gt;=DATE(2026,9,2),1,0)</f>
        <v/>
      </c>
      <c r="B255" s="38">
        <f>IFERROR(IF('Сен'!$B7=TRUE,1,0),0)</f>
        <v/>
      </c>
      <c r="C255" s="38">
        <f>IFERROR(IF('Сен'!$C7=TRUE,1,0),0)</f>
        <v/>
      </c>
      <c r="D255" s="38">
        <f>IFERROR(IF('Сен'!$D7=TRUE,1,0),0)</f>
        <v/>
      </c>
      <c r="E255" s="38">
        <f>IFERROR(IF('Сен'!$E7=TRUE,1,0),0)</f>
        <v/>
      </c>
      <c r="F255" s="38">
        <f>IFERROR(IF('Сен'!$F7=TRUE,1,0),0)</f>
        <v/>
      </c>
      <c r="G255" s="38">
        <f>IFERROR(IF('Сен'!$G7=TRUE,1,0),0)</f>
        <v/>
      </c>
      <c r="H255" s="38">
        <f>IFERROR(IF('Сен'!$H7=TRUE,1,0),0)</f>
        <v/>
      </c>
      <c r="I255" s="38">
        <f>IF($A255=0,$I254,IF($B255=1,$I254+1,IF($P255&lt;=1,$I254,0)))</f>
        <v/>
      </c>
      <c r="J255" s="38">
        <f>IF($A255=0,$J254,IF($C255=1,$J254+1,IF($Q255&lt;=1,$J254,0)))</f>
        <v/>
      </c>
      <c r="K255" s="38">
        <f>IF($A255=0,$K254,IF($D255=1,$K254+1,IF($R255&lt;=1,$K254,0)))</f>
        <v/>
      </c>
      <c r="L255" s="38">
        <f>IF($A255=0,$L254,IF($E255=1,$L254+1,IF($S255&lt;=1,$L254,0)))</f>
        <v/>
      </c>
      <c r="M255" s="38">
        <f>IF($A255=0,$M254,IF($F255=1,$M254+1,IF($T255&lt;=1,$M254,0)))</f>
        <v/>
      </c>
      <c r="N255" s="38">
        <f>IF($A255=0,$N254,IF($G255=1,$N254+1,IF($U255&lt;=1,$N254,0)))</f>
        <v/>
      </c>
      <c r="O255" s="38">
        <f>IF($A255=0,$O254,IF($H255=1,$O254+1,IF($V255&lt;=1,$O254,0)))</f>
        <v/>
      </c>
      <c r="P255" s="38">
        <f>IF($A255=0,$P254,$P254+IF($B255=1,0,1))</f>
        <v/>
      </c>
      <c r="Q255" s="38">
        <f>IF($A255=0,$Q254,$Q254+IF($C255=1,0,1))</f>
        <v/>
      </c>
      <c r="R255" s="38">
        <f>IF($A255=0,$R254,$R254+IF($D255=1,0,1))</f>
        <v/>
      </c>
      <c r="S255" s="38">
        <f>IF($A255=0,$S254,$S254+IF($E255=1,0,1))</f>
        <v/>
      </c>
      <c r="T255" s="38">
        <f>IF($A255=0,$T254,$T254+IF($F255=1,0,1))</f>
        <v/>
      </c>
      <c r="U255" s="38">
        <f>IF($A255=0,$U254,$U254+IF($G255=1,0,1))</f>
        <v/>
      </c>
      <c r="V255" s="38">
        <f>IF($A255=0,$V254,$V254+IF($H255=1,0,1))</f>
        <v/>
      </c>
      <c r="W255" s="38">
        <f>SUM($B255:$H255)</f>
        <v/>
      </c>
      <c r="X255" s="38">
        <f>IF(AND($A255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255=1),1,0)+IF(AND($G$1=7,$C255=1),1,0)+IF(AND($H$1=7,$D255=1),1,0)+IF(AND($I$1=7,$E255=1),1,0)+IF(AND($J$1=7,$F255=1),1,0)+IF(AND($K$1=7,$G255=1),1,0)+IF(AND($L$1=7,$H255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5" s="38">
        <f>IF($B255=1,IF($F$1&lt;7,10,IF(AND($F$1=7,$I254=0,$P254&gt;1),15,IF($I254&gt;=20,15,IF($I254&gt;=6,13,10)))),0)+IF($C255=1,IF($G$1&lt;7,10,IF(AND($G$1=7,$J254=0,$Q254&gt;1),15,IF($J254&gt;=20,15,IF($J254&gt;=6,13,10)))),0)+IF($D255=1,IF($H$1&lt;7,10,IF(AND($H$1=7,$K254=0,$R254&gt;1),15,IF($K254&gt;=20,15,IF($K254&gt;=6,13,10)))),0)+IF($E255=1,IF($I$1&lt;7,10,IF(AND($I$1=7,$L254=0,$S254&gt;1),15,IF($L254&gt;=20,15,IF($L254&gt;=6,13,10)))),0)+IF($F255=1,IF($J$1&lt;7,10,IF(AND($J$1=7,$M254=0,$T254&gt;1),15,IF($M254&gt;=20,15,IF($M254&gt;=6,13,10)))),0)+IF($G255=1,IF($K$1&lt;7,10,IF(AND($K$1=7,$N254=0,$U254&gt;1),15,IF($N254&gt;=20,15,IF($N254&gt;=6,13,10)))),0)+IF($H255=1,IF($L$1&lt;7,10,IF(AND($L$1=7,$O254=0,$V254&gt;1),15,IF($O254&gt;=20,15,IF($O254&gt;=6,13,10)))),0)</f>
        <v/>
      </c>
      <c r="Z255" s="38">
        <f>$Z254+$Y255</f>
        <v/>
      </c>
      <c r="AA255" s="38">
        <f>IF(AND($B255=1,AND($F$1=7,$I254=0,$P254&gt;1)),1,0)+IF(AND($C255=1,AND($G$1=7,$J254=0,$Q254&gt;1)),1,0)+IF(AND($D255=1,AND($H$1=7,$K254=0,$R254&gt;1)),1,0)+IF(AND($E255=1,AND($I$1=7,$L254=0,$S254&gt;1)),1,0)+IF(AND($F255=1,AND($J$1=7,$M254=0,$T254&gt;1)),1,0)+IF(AND($G255=1,AND($K$1=7,$N254=0,$U254&gt;1)),1,0)+IF(AND($H255=1,AND($L$1=7,$O254=0,$V254&gt;1)),1,0)</f>
        <v/>
      </c>
      <c r="AB255" s="38">
        <f>IF(IFERROR('Сен'!$I7,"")="",0,$AB254+1)</f>
        <v/>
      </c>
    </row>
    <row r="256" spans="1:28">
      <c r="A256" s="38">
        <f>IF($B$1&gt;=DATE(2026,9,3),1,0)</f>
        <v/>
      </c>
      <c r="B256" s="38">
        <f>IFERROR(IF('Сен'!$B8=TRUE,1,0),0)</f>
        <v/>
      </c>
      <c r="C256" s="38">
        <f>IFERROR(IF('Сен'!$C8=TRUE,1,0),0)</f>
        <v/>
      </c>
      <c r="D256" s="38">
        <f>IFERROR(IF('Сен'!$D8=TRUE,1,0),0)</f>
        <v/>
      </c>
      <c r="E256" s="38">
        <f>IFERROR(IF('Сен'!$E8=TRUE,1,0),0)</f>
        <v/>
      </c>
      <c r="F256" s="38">
        <f>IFERROR(IF('Сен'!$F8=TRUE,1,0),0)</f>
        <v/>
      </c>
      <c r="G256" s="38">
        <f>IFERROR(IF('Сен'!$G8=TRUE,1,0),0)</f>
        <v/>
      </c>
      <c r="H256" s="38">
        <f>IFERROR(IF('Сен'!$H8=TRUE,1,0),0)</f>
        <v/>
      </c>
      <c r="I256" s="38">
        <f>IF($A256=0,$I255,IF($B256=1,$I255+1,IF($P256&lt;=1,$I255,0)))</f>
        <v/>
      </c>
      <c r="J256" s="38">
        <f>IF($A256=0,$J255,IF($C256=1,$J255+1,IF($Q256&lt;=1,$J255,0)))</f>
        <v/>
      </c>
      <c r="K256" s="38">
        <f>IF($A256=0,$K255,IF($D256=1,$K255+1,IF($R256&lt;=1,$K255,0)))</f>
        <v/>
      </c>
      <c r="L256" s="38">
        <f>IF($A256=0,$L255,IF($E256=1,$L255+1,IF($S256&lt;=1,$L255,0)))</f>
        <v/>
      </c>
      <c r="M256" s="38">
        <f>IF($A256=0,$M255,IF($F256=1,$M255+1,IF($T256&lt;=1,$M255,0)))</f>
        <v/>
      </c>
      <c r="N256" s="38">
        <f>IF($A256=0,$N255,IF($G256=1,$N255+1,IF($U256&lt;=1,$N255,0)))</f>
        <v/>
      </c>
      <c r="O256" s="38">
        <f>IF($A256=0,$O255,IF($H256=1,$O255+1,IF($V256&lt;=1,$O255,0)))</f>
        <v/>
      </c>
      <c r="P256" s="38">
        <f>IF($A256=0,$P255,$P255+IF($B256=1,0,1))</f>
        <v/>
      </c>
      <c r="Q256" s="38">
        <f>IF($A256=0,$Q255,$Q255+IF($C256=1,0,1))</f>
        <v/>
      </c>
      <c r="R256" s="38">
        <f>IF($A256=0,$R255,$R255+IF($D256=1,0,1))</f>
        <v/>
      </c>
      <c r="S256" s="38">
        <f>IF($A256=0,$S255,$S255+IF($E256=1,0,1))</f>
        <v/>
      </c>
      <c r="T256" s="38">
        <f>IF($A256=0,$T255,$T255+IF($F256=1,0,1))</f>
        <v/>
      </c>
      <c r="U256" s="38">
        <f>IF($A256=0,$U255,$U255+IF($G256=1,0,1))</f>
        <v/>
      </c>
      <c r="V256" s="38">
        <f>IF($A256=0,$V255,$V255+IF($H256=1,0,1))</f>
        <v/>
      </c>
      <c r="W256" s="38">
        <f>SUM($B256:$H256)</f>
        <v/>
      </c>
      <c r="X256" s="38">
        <f>IF(AND($A256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256=1),1,0)+IF(AND($G$1=7,$C256=1),1,0)+IF(AND($H$1=7,$D256=1),1,0)+IF(AND($I$1=7,$E256=1),1,0)+IF(AND($J$1=7,$F256=1),1,0)+IF(AND($K$1=7,$G256=1),1,0)+IF(AND($L$1=7,$H256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6" s="38">
        <f>IF($B256=1,IF($F$1&lt;7,10,IF(AND($F$1=7,$I255=0,$P255&gt;1),15,IF($I255&gt;=20,15,IF($I255&gt;=6,13,10)))),0)+IF($C256=1,IF($G$1&lt;7,10,IF(AND($G$1=7,$J255=0,$Q255&gt;1),15,IF($J255&gt;=20,15,IF($J255&gt;=6,13,10)))),0)+IF($D256=1,IF($H$1&lt;7,10,IF(AND($H$1=7,$K255=0,$R255&gt;1),15,IF($K255&gt;=20,15,IF($K255&gt;=6,13,10)))),0)+IF($E256=1,IF($I$1&lt;7,10,IF(AND($I$1=7,$L255=0,$S255&gt;1),15,IF($L255&gt;=20,15,IF($L255&gt;=6,13,10)))),0)+IF($F256=1,IF($J$1&lt;7,10,IF(AND($J$1=7,$M255=0,$T255&gt;1),15,IF($M255&gt;=20,15,IF($M255&gt;=6,13,10)))),0)+IF($G256=1,IF($K$1&lt;7,10,IF(AND($K$1=7,$N255=0,$U255&gt;1),15,IF($N255&gt;=20,15,IF($N255&gt;=6,13,10)))),0)+IF($H256=1,IF($L$1&lt;7,10,IF(AND($L$1=7,$O255=0,$V255&gt;1),15,IF($O255&gt;=20,15,IF($O255&gt;=6,13,10)))),0)</f>
        <v/>
      </c>
      <c r="Z256" s="38">
        <f>$Z255+$Y256</f>
        <v/>
      </c>
      <c r="AA256" s="38">
        <f>IF(AND($B256=1,AND($F$1=7,$I255=0,$P255&gt;1)),1,0)+IF(AND($C256=1,AND($G$1=7,$J255=0,$Q255&gt;1)),1,0)+IF(AND($D256=1,AND($H$1=7,$K255=0,$R255&gt;1)),1,0)+IF(AND($E256=1,AND($I$1=7,$L255=0,$S255&gt;1)),1,0)+IF(AND($F256=1,AND($J$1=7,$M255=0,$T255&gt;1)),1,0)+IF(AND($G256=1,AND($K$1=7,$N255=0,$U255&gt;1)),1,0)+IF(AND($H256=1,AND($L$1=7,$O255=0,$V255&gt;1)),1,0)</f>
        <v/>
      </c>
      <c r="AB256" s="38">
        <f>IF(IFERROR('Сен'!$I8,"")="",0,$AB255+1)</f>
        <v/>
      </c>
    </row>
    <row r="257" spans="1:28">
      <c r="A257" s="38">
        <f>IF($B$1&gt;=DATE(2026,9,4),1,0)</f>
        <v/>
      </c>
      <c r="B257" s="38">
        <f>IFERROR(IF('Сен'!$B9=TRUE,1,0),0)</f>
        <v/>
      </c>
      <c r="C257" s="38">
        <f>IFERROR(IF('Сен'!$C9=TRUE,1,0),0)</f>
        <v/>
      </c>
      <c r="D257" s="38">
        <f>IFERROR(IF('Сен'!$D9=TRUE,1,0),0)</f>
        <v/>
      </c>
      <c r="E257" s="38">
        <f>IFERROR(IF('Сен'!$E9=TRUE,1,0),0)</f>
        <v/>
      </c>
      <c r="F257" s="38">
        <f>IFERROR(IF('Сен'!$F9=TRUE,1,0),0)</f>
        <v/>
      </c>
      <c r="G257" s="38">
        <f>IFERROR(IF('Сен'!$G9=TRUE,1,0),0)</f>
        <v/>
      </c>
      <c r="H257" s="38">
        <f>IFERROR(IF('Сен'!$H9=TRUE,1,0),0)</f>
        <v/>
      </c>
      <c r="I257" s="38">
        <f>IF($A257=0,$I256,IF($B257=1,$I256+1,IF($P257&lt;=1,$I256,0)))</f>
        <v/>
      </c>
      <c r="J257" s="38">
        <f>IF($A257=0,$J256,IF($C257=1,$J256+1,IF($Q257&lt;=1,$J256,0)))</f>
        <v/>
      </c>
      <c r="K257" s="38">
        <f>IF($A257=0,$K256,IF($D257=1,$K256+1,IF($R257&lt;=1,$K256,0)))</f>
        <v/>
      </c>
      <c r="L257" s="38">
        <f>IF($A257=0,$L256,IF($E257=1,$L256+1,IF($S257&lt;=1,$L256,0)))</f>
        <v/>
      </c>
      <c r="M257" s="38">
        <f>IF($A257=0,$M256,IF($F257=1,$M256+1,IF($T257&lt;=1,$M256,0)))</f>
        <v/>
      </c>
      <c r="N257" s="38">
        <f>IF($A257=0,$N256,IF($G257=1,$N256+1,IF($U257&lt;=1,$N256,0)))</f>
        <v/>
      </c>
      <c r="O257" s="38">
        <f>IF($A257=0,$O256,IF($H257=1,$O256+1,IF($V257&lt;=1,$O256,0)))</f>
        <v/>
      </c>
      <c r="P257" s="38">
        <f>IF($A257=0,$P256,$P256+IF($B257=1,0,1))</f>
        <v/>
      </c>
      <c r="Q257" s="38">
        <f>IF($A257=0,$Q256,$Q256+IF($C257=1,0,1))</f>
        <v/>
      </c>
      <c r="R257" s="38">
        <f>IF($A257=0,$R256,$R256+IF($D257=1,0,1))</f>
        <v/>
      </c>
      <c r="S257" s="38">
        <f>IF($A257=0,$S256,$S256+IF($E257=1,0,1))</f>
        <v/>
      </c>
      <c r="T257" s="38">
        <f>IF($A257=0,$T256,$T256+IF($F257=1,0,1))</f>
        <v/>
      </c>
      <c r="U257" s="38">
        <f>IF($A257=0,$U256,$U256+IF($G257=1,0,1))</f>
        <v/>
      </c>
      <c r="V257" s="38">
        <f>IF($A257=0,$V256,$V256+IF($H257=1,0,1))</f>
        <v/>
      </c>
      <c r="W257" s="38">
        <f>SUM($B257:$H257)</f>
        <v/>
      </c>
      <c r="X257" s="38">
        <f>IF(AND($A257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257=1),1,0)+IF(AND($G$1=7,$C257=1),1,0)+IF(AND($H$1=7,$D257=1),1,0)+IF(AND($I$1=7,$E257=1),1,0)+IF(AND($J$1=7,$F257=1),1,0)+IF(AND($K$1=7,$G257=1),1,0)+IF(AND($L$1=7,$H257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7" s="38">
        <f>IF($B257=1,IF($F$1&lt;7,10,IF(AND($F$1=7,$I256=0,$P256&gt;1),15,IF($I256&gt;=20,15,IF($I256&gt;=6,13,10)))),0)+IF($C257=1,IF($G$1&lt;7,10,IF(AND($G$1=7,$J256=0,$Q256&gt;1),15,IF($J256&gt;=20,15,IF($J256&gt;=6,13,10)))),0)+IF($D257=1,IF($H$1&lt;7,10,IF(AND($H$1=7,$K256=0,$R256&gt;1),15,IF($K256&gt;=20,15,IF($K256&gt;=6,13,10)))),0)+IF($E257=1,IF($I$1&lt;7,10,IF(AND($I$1=7,$L256=0,$S256&gt;1),15,IF($L256&gt;=20,15,IF($L256&gt;=6,13,10)))),0)+IF($F257=1,IF($J$1&lt;7,10,IF(AND($J$1=7,$M256=0,$T256&gt;1),15,IF($M256&gt;=20,15,IF($M256&gt;=6,13,10)))),0)+IF($G257=1,IF($K$1&lt;7,10,IF(AND($K$1=7,$N256=0,$U256&gt;1),15,IF($N256&gt;=20,15,IF($N256&gt;=6,13,10)))),0)+IF($H257=1,IF($L$1&lt;7,10,IF(AND($L$1=7,$O256=0,$V256&gt;1),15,IF($O256&gt;=20,15,IF($O256&gt;=6,13,10)))),0)</f>
        <v/>
      </c>
      <c r="Z257" s="38">
        <f>$Z256+$Y257</f>
        <v/>
      </c>
      <c r="AA257" s="38">
        <f>IF(AND($B257=1,AND($F$1=7,$I256=0,$P256&gt;1)),1,0)+IF(AND($C257=1,AND($G$1=7,$J256=0,$Q256&gt;1)),1,0)+IF(AND($D257=1,AND($H$1=7,$K256=0,$R256&gt;1)),1,0)+IF(AND($E257=1,AND($I$1=7,$L256=0,$S256&gt;1)),1,0)+IF(AND($F257=1,AND($J$1=7,$M256=0,$T256&gt;1)),1,0)+IF(AND($G257=1,AND($K$1=7,$N256=0,$U256&gt;1)),1,0)+IF(AND($H257=1,AND($L$1=7,$O256=0,$V256&gt;1)),1,0)</f>
        <v/>
      </c>
      <c r="AB257" s="38">
        <f>IF(IFERROR('Сен'!$I9,"")="",0,$AB256+1)</f>
        <v/>
      </c>
    </row>
    <row r="258" spans="1:28">
      <c r="A258" s="38">
        <f>IF($B$1&gt;=DATE(2026,9,5),1,0)</f>
        <v/>
      </c>
      <c r="B258" s="38">
        <f>IFERROR(IF('Сен'!$B10=TRUE,1,0),0)</f>
        <v/>
      </c>
      <c r="C258" s="38">
        <f>IFERROR(IF('Сен'!$C10=TRUE,1,0),0)</f>
        <v/>
      </c>
      <c r="D258" s="38">
        <f>IFERROR(IF('Сен'!$D10=TRUE,1,0),0)</f>
        <v/>
      </c>
      <c r="E258" s="38">
        <f>IFERROR(IF('Сен'!$E10=TRUE,1,0),0)</f>
        <v/>
      </c>
      <c r="F258" s="38">
        <f>IFERROR(IF('Сен'!$F10=TRUE,1,0),0)</f>
        <v/>
      </c>
      <c r="G258" s="38">
        <f>IFERROR(IF('Сен'!$G10=TRUE,1,0),0)</f>
        <v/>
      </c>
      <c r="H258" s="38">
        <f>IFERROR(IF('Сен'!$H10=TRUE,1,0),0)</f>
        <v/>
      </c>
      <c r="I258" s="38">
        <f>IF($A258=0,$I257,IF($B258=1,$I257+1,IF($P258&lt;=1,$I257,0)))</f>
        <v/>
      </c>
      <c r="J258" s="38">
        <f>IF($A258=0,$J257,IF($C258=1,$J257+1,IF($Q258&lt;=1,$J257,0)))</f>
        <v/>
      </c>
      <c r="K258" s="38">
        <f>IF($A258=0,$K257,IF($D258=1,$K257+1,IF($R258&lt;=1,$K257,0)))</f>
        <v/>
      </c>
      <c r="L258" s="38">
        <f>IF($A258=0,$L257,IF($E258=1,$L257+1,IF($S258&lt;=1,$L257,0)))</f>
        <v/>
      </c>
      <c r="M258" s="38">
        <f>IF($A258=0,$M257,IF($F258=1,$M257+1,IF($T258&lt;=1,$M257,0)))</f>
        <v/>
      </c>
      <c r="N258" s="38">
        <f>IF($A258=0,$N257,IF($G258=1,$N257+1,IF($U258&lt;=1,$N257,0)))</f>
        <v/>
      </c>
      <c r="O258" s="38">
        <f>IF($A258=0,$O257,IF($H258=1,$O257+1,IF($V258&lt;=1,$O257,0)))</f>
        <v/>
      </c>
      <c r="P258" s="38">
        <f>IF($A258=0,$P257,$P257+IF($B258=1,0,1))</f>
        <v/>
      </c>
      <c r="Q258" s="38">
        <f>IF($A258=0,$Q257,$Q257+IF($C258=1,0,1))</f>
        <v/>
      </c>
      <c r="R258" s="38">
        <f>IF($A258=0,$R257,$R257+IF($D258=1,0,1))</f>
        <v/>
      </c>
      <c r="S258" s="38">
        <f>IF($A258=0,$S257,$S257+IF($E258=1,0,1))</f>
        <v/>
      </c>
      <c r="T258" s="38">
        <f>IF($A258=0,$T257,$T257+IF($F258=1,0,1))</f>
        <v/>
      </c>
      <c r="U258" s="38">
        <f>IF($A258=0,$U257,$U257+IF($G258=1,0,1))</f>
        <v/>
      </c>
      <c r="V258" s="38">
        <f>IF($A258=0,$V257,$V257+IF($H258=1,0,1))</f>
        <v/>
      </c>
      <c r="W258" s="38">
        <f>SUM($B258:$H258)</f>
        <v/>
      </c>
      <c r="X258" s="38">
        <f>IF(AND($A258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258=1),1,0)+IF(AND($G$1=7,$C258=1),1,0)+IF(AND($H$1=7,$D258=1),1,0)+IF(AND($I$1=7,$E258=1),1,0)+IF(AND($J$1=7,$F258=1),1,0)+IF(AND($K$1=7,$G258=1),1,0)+IF(AND($L$1=7,$H258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8" s="38">
        <f>IF($B258=1,IF($F$1&lt;7,10,IF(AND($F$1=7,$I257=0,$P257&gt;1),15,IF($I257&gt;=20,15,IF($I257&gt;=6,13,10)))),0)+IF($C258=1,IF($G$1&lt;7,10,IF(AND($G$1=7,$J257=0,$Q257&gt;1),15,IF($J257&gt;=20,15,IF($J257&gt;=6,13,10)))),0)+IF($D258=1,IF($H$1&lt;7,10,IF(AND($H$1=7,$K257=0,$R257&gt;1),15,IF($K257&gt;=20,15,IF($K257&gt;=6,13,10)))),0)+IF($E258=1,IF($I$1&lt;7,10,IF(AND($I$1=7,$L257=0,$S257&gt;1),15,IF($L257&gt;=20,15,IF($L257&gt;=6,13,10)))),0)+IF($F258=1,IF($J$1&lt;7,10,IF(AND($J$1=7,$M257=0,$T257&gt;1),15,IF($M257&gt;=20,15,IF($M257&gt;=6,13,10)))),0)+IF($G258=1,IF($K$1&lt;7,10,IF(AND($K$1=7,$N257=0,$U257&gt;1),15,IF($N257&gt;=20,15,IF($N257&gt;=6,13,10)))),0)+IF($H258=1,IF($L$1&lt;7,10,IF(AND($L$1=7,$O257=0,$V257&gt;1),15,IF($O257&gt;=20,15,IF($O257&gt;=6,13,10)))),0)</f>
        <v/>
      </c>
      <c r="Z258" s="38">
        <f>$Z257+$Y258</f>
        <v/>
      </c>
      <c r="AA258" s="38">
        <f>IF(AND($B258=1,AND($F$1=7,$I257=0,$P257&gt;1)),1,0)+IF(AND($C258=1,AND($G$1=7,$J257=0,$Q257&gt;1)),1,0)+IF(AND($D258=1,AND($H$1=7,$K257=0,$R257&gt;1)),1,0)+IF(AND($E258=1,AND($I$1=7,$L257=0,$S257&gt;1)),1,0)+IF(AND($F258=1,AND($J$1=7,$M257=0,$T257&gt;1)),1,0)+IF(AND($G258=1,AND($K$1=7,$N257=0,$U257&gt;1)),1,0)+IF(AND($H258=1,AND($L$1=7,$O257=0,$V257&gt;1)),1,0)</f>
        <v/>
      </c>
      <c r="AB258" s="38">
        <f>IF(IFERROR('Сен'!$I10,"")="",0,$AB257+1)</f>
        <v/>
      </c>
    </row>
    <row r="259" spans="1:28">
      <c r="A259" s="38">
        <f>IF($B$1&gt;=DATE(2026,9,6),1,0)</f>
        <v/>
      </c>
      <c r="B259" s="38">
        <f>IFERROR(IF('Сен'!$B11=TRUE,1,0),0)</f>
        <v/>
      </c>
      <c r="C259" s="38">
        <f>IFERROR(IF('Сен'!$C11=TRUE,1,0),0)</f>
        <v/>
      </c>
      <c r="D259" s="38">
        <f>IFERROR(IF('Сен'!$D11=TRUE,1,0),0)</f>
        <v/>
      </c>
      <c r="E259" s="38">
        <f>IFERROR(IF('Сен'!$E11=TRUE,1,0),0)</f>
        <v/>
      </c>
      <c r="F259" s="38">
        <f>IFERROR(IF('Сен'!$F11=TRUE,1,0),0)</f>
        <v/>
      </c>
      <c r="G259" s="38">
        <f>IFERROR(IF('Сен'!$G11=TRUE,1,0),0)</f>
        <v/>
      </c>
      <c r="H259" s="38">
        <f>IFERROR(IF('Сен'!$H11=TRUE,1,0),0)</f>
        <v/>
      </c>
      <c r="I259" s="38">
        <f>IF($A259=0,$I258,IF($B259=1,$I258+1,IF($P259&lt;=1,$I258,0)))</f>
        <v/>
      </c>
      <c r="J259" s="38">
        <f>IF($A259=0,$J258,IF($C259=1,$J258+1,IF($Q259&lt;=1,$J258,0)))</f>
        <v/>
      </c>
      <c r="K259" s="38">
        <f>IF($A259=0,$K258,IF($D259=1,$K258+1,IF($R259&lt;=1,$K258,0)))</f>
        <v/>
      </c>
      <c r="L259" s="38">
        <f>IF($A259=0,$L258,IF($E259=1,$L258+1,IF($S259&lt;=1,$L258,0)))</f>
        <v/>
      </c>
      <c r="M259" s="38">
        <f>IF($A259=0,$M258,IF($F259=1,$M258+1,IF($T259&lt;=1,$M258,0)))</f>
        <v/>
      </c>
      <c r="N259" s="38">
        <f>IF($A259=0,$N258,IF($G259=1,$N258+1,IF($U259&lt;=1,$N258,0)))</f>
        <v/>
      </c>
      <c r="O259" s="38">
        <f>IF($A259=0,$O258,IF($H259=1,$O258+1,IF($V259&lt;=1,$O258,0)))</f>
        <v/>
      </c>
      <c r="P259" s="38">
        <f>IF($A259=0,$P258,$P258+IF($B259=1,0,1))</f>
        <v/>
      </c>
      <c r="Q259" s="38">
        <f>IF($A259=0,$Q258,$Q258+IF($C259=1,0,1))</f>
        <v/>
      </c>
      <c r="R259" s="38">
        <f>IF($A259=0,$R258,$R258+IF($D259=1,0,1))</f>
        <v/>
      </c>
      <c r="S259" s="38">
        <f>IF($A259=0,$S258,$S258+IF($E259=1,0,1))</f>
        <v/>
      </c>
      <c r="T259" s="38">
        <f>IF($A259=0,$T258,$T258+IF($F259=1,0,1))</f>
        <v/>
      </c>
      <c r="U259" s="38">
        <f>IF($A259=0,$U258,$U258+IF($G259=1,0,1))</f>
        <v/>
      </c>
      <c r="V259" s="38">
        <f>IF($A259=0,$V258,$V258+IF($H259=1,0,1))</f>
        <v/>
      </c>
      <c r="W259" s="38">
        <f>SUM($B259:$H259)</f>
        <v/>
      </c>
      <c r="X259" s="38">
        <f>IF(AND($A259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259=1),1,0)+IF(AND($G$1=7,$C259=1),1,0)+IF(AND($H$1=7,$D259=1),1,0)+IF(AND($I$1=7,$E259=1),1,0)+IF(AND($J$1=7,$F259=1),1,0)+IF(AND($K$1=7,$G259=1),1,0)+IF(AND($L$1=7,$H259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9" s="38">
        <f>IF($B259=1,IF($F$1&lt;7,10,IF(AND($F$1=7,$I258=0,$P258&gt;1),15,IF($I258&gt;=20,15,IF($I258&gt;=6,13,10)))),0)+IF($C259=1,IF($G$1&lt;7,10,IF(AND($G$1=7,$J258=0,$Q258&gt;1),15,IF($J258&gt;=20,15,IF($J258&gt;=6,13,10)))),0)+IF($D259=1,IF($H$1&lt;7,10,IF(AND($H$1=7,$K258=0,$R258&gt;1),15,IF($K258&gt;=20,15,IF($K258&gt;=6,13,10)))),0)+IF($E259=1,IF($I$1&lt;7,10,IF(AND($I$1=7,$L258=0,$S258&gt;1),15,IF($L258&gt;=20,15,IF($L258&gt;=6,13,10)))),0)+IF($F259=1,IF($J$1&lt;7,10,IF(AND($J$1=7,$M258=0,$T258&gt;1),15,IF($M258&gt;=20,15,IF($M258&gt;=6,13,10)))),0)+IF($G259=1,IF($K$1&lt;7,10,IF(AND($K$1=7,$N258=0,$U258&gt;1),15,IF($N258&gt;=20,15,IF($N258&gt;=6,13,10)))),0)+IF($H259=1,IF($L$1&lt;7,10,IF(AND($L$1=7,$O258=0,$V258&gt;1),15,IF($O258&gt;=20,15,IF($O258&gt;=6,13,10)))),0)</f>
        <v/>
      </c>
      <c r="Z259" s="38">
        <f>$Z258+$Y259</f>
        <v/>
      </c>
      <c r="AA259" s="38">
        <f>IF(AND($B259=1,AND($F$1=7,$I258=0,$P258&gt;1)),1,0)+IF(AND($C259=1,AND($G$1=7,$J258=0,$Q258&gt;1)),1,0)+IF(AND($D259=1,AND($H$1=7,$K258=0,$R258&gt;1)),1,0)+IF(AND($E259=1,AND($I$1=7,$L258=0,$S258&gt;1)),1,0)+IF(AND($F259=1,AND($J$1=7,$M258=0,$T258&gt;1)),1,0)+IF(AND($G259=1,AND($K$1=7,$N258=0,$U258&gt;1)),1,0)+IF(AND($H259=1,AND($L$1=7,$O258=0,$V258&gt;1)),1,0)</f>
        <v/>
      </c>
      <c r="AB259" s="38">
        <f>IF(IFERROR('Сен'!$I11,"")="",0,$AB258+1)</f>
        <v/>
      </c>
    </row>
    <row r="260" spans="1:28">
      <c r="A260" s="38">
        <f>IF($B$1&gt;=DATE(2026,9,7),1,0)</f>
        <v/>
      </c>
      <c r="B260" s="38">
        <f>IFERROR(IF('Сен'!$B12=TRUE,1,0),0)</f>
        <v/>
      </c>
      <c r="C260" s="38">
        <f>IFERROR(IF('Сен'!$C12=TRUE,1,0),0)</f>
        <v/>
      </c>
      <c r="D260" s="38">
        <f>IFERROR(IF('Сен'!$D12=TRUE,1,0),0)</f>
        <v/>
      </c>
      <c r="E260" s="38">
        <f>IFERROR(IF('Сен'!$E12=TRUE,1,0),0)</f>
        <v/>
      </c>
      <c r="F260" s="38">
        <f>IFERROR(IF('Сен'!$F12=TRUE,1,0),0)</f>
        <v/>
      </c>
      <c r="G260" s="38">
        <f>IFERROR(IF('Сен'!$G12=TRUE,1,0),0)</f>
        <v/>
      </c>
      <c r="H260" s="38">
        <f>IFERROR(IF('Сен'!$H12=TRUE,1,0),0)</f>
        <v/>
      </c>
      <c r="I260" s="38">
        <f>IF($A260=0,$I259,IF($B260=1,$I259+1,IF($P260&lt;=1,$I259,0)))</f>
        <v/>
      </c>
      <c r="J260" s="38">
        <f>IF($A260=0,$J259,IF($C260=1,$J259+1,IF($Q260&lt;=1,$J259,0)))</f>
        <v/>
      </c>
      <c r="K260" s="38">
        <f>IF($A260=0,$K259,IF($D260=1,$K259+1,IF($R260&lt;=1,$K259,0)))</f>
        <v/>
      </c>
      <c r="L260" s="38">
        <f>IF($A260=0,$L259,IF($E260=1,$L259+1,IF($S260&lt;=1,$L259,0)))</f>
        <v/>
      </c>
      <c r="M260" s="38">
        <f>IF($A260=0,$M259,IF($F260=1,$M259+1,IF($T260&lt;=1,$M259,0)))</f>
        <v/>
      </c>
      <c r="N260" s="38">
        <f>IF($A260=0,$N259,IF($G260=1,$N259+1,IF($U260&lt;=1,$N259,0)))</f>
        <v/>
      </c>
      <c r="O260" s="38">
        <f>IF($A260=0,$O259,IF($H260=1,$O259+1,IF($V260&lt;=1,$O259,0)))</f>
        <v/>
      </c>
      <c r="P260" s="38">
        <f>IF($A260=0,$P259,$P259+IF($B260=1,0,1))</f>
        <v/>
      </c>
      <c r="Q260" s="38">
        <f>IF($A260=0,$Q259,$Q259+IF($C260=1,0,1))</f>
        <v/>
      </c>
      <c r="R260" s="38">
        <f>IF($A260=0,$R259,$R259+IF($D260=1,0,1))</f>
        <v/>
      </c>
      <c r="S260" s="38">
        <f>IF($A260=0,$S259,$S259+IF($E260=1,0,1))</f>
        <v/>
      </c>
      <c r="T260" s="38">
        <f>IF($A260=0,$T259,$T259+IF($F260=1,0,1))</f>
        <v/>
      </c>
      <c r="U260" s="38">
        <f>IF($A260=0,$U259,$U259+IF($G260=1,0,1))</f>
        <v/>
      </c>
      <c r="V260" s="38">
        <f>IF($A260=0,$V259,$V259+IF($H260=1,0,1))</f>
        <v/>
      </c>
      <c r="W260" s="38">
        <f>SUM($B260:$H260)</f>
        <v/>
      </c>
      <c r="X260" s="38">
        <f>IF(AND($A260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260=1),1,0)+IF(AND($G$1=7,$C260=1),1,0)+IF(AND($H$1=7,$D260=1),1,0)+IF(AND($I$1=7,$E260=1),1,0)+IF(AND($J$1=7,$F260=1),1,0)+IF(AND($K$1=7,$G260=1),1,0)+IF(AND($L$1=7,$H260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0" s="38">
        <f>IF($B260=1,IF($F$1&lt;7,10,IF(AND($F$1=7,$I259=0,$P259&gt;1),15,IF($I259&gt;=20,15,IF($I259&gt;=6,13,10)))),0)+IF($C260=1,IF($G$1&lt;7,10,IF(AND($G$1=7,$J259=0,$Q259&gt;1),15,IF($J259&gt;=20,15,IF($J259&gt;=6,13,10)))),0)+IF($D260=1,IF($H$1&lt;7,10,IF(AND($H$1=7,$K259=0,$R259&gt;1),15,IF($K259&gt;=20,15,IF($K259&gt;=6,13,10)))),0)+IF($E260=1,IF($I$1&lt;7,10,IF(AND($I$1=7,$L259=0,$S259&gt;1),15,IF($L259&gt;=20,15,IF($L259&gt;=6,13,10)))),0)+IF($F260=1,IF($J$1&lt;7,10,IF(AND($J$1=7,$M259=0,$T259&gt;1),15,IF($M259&gt;=20,15,IF($M259&gt;=6,13,10)))),0)+IF($G260=1,IF($K$1&lt;7,10,IF(AND($K$1=7,$N259=0,$U259&gt;1),15,IF($N259&gt;=20,15,IF($N259&gt;=6,13,10)))),0)+IF($H260=1,IF($L$1&lt;7,10,IF(AND($L$1=7,$O259=0,$V259&gt;1),15,IF($O259&gt;=20,15,IF($O259&gt;=6,13,10)))),0)</f>
        <v/>
      </c>
      <c r="Z260" s="38">
        <f>$Z259+$Y260</f>
        <v/>
      </c>
      <c r="AA260" s="38">
        <f>IF(AND($B260=1,AND($F$1=7,$I259=0,$P259&gt;1)),1,0)+IF(AND($C260=1,AND($G$1=7,$J259=0,$Q259&gt;1)),1,0)+IF(AND($D260=1,AND($H$1=7,$K259=0,$R259&gt;1)),1,0)+IF(AND($E260=1,AND($I$1=7,$L259=0,$S259&gt;1)),1,0)+IF(AND($F260=1,AND($J$1=7,$M259=0,$T259&gt;1)),1,0)+IF(AND($G260=1,AND($K$1=7,$N259=0,$U259&gt;1)),1,0)+IF(AND($H260=1,AND($L$1=7,$O259=0,$V259&gt;1)),1,0)</f>
        <v/>
      </c>
      <c r="AB260" s="38">
        <f>IF(IFERROR('Сен'!$I12,"")="",0,$AB259+1)</f>
        <v/>
      </c>
    </row>
    <row r="261" spans="1:28">
      <c r="A261" s="38">
        <f>IF($B$1&gt;=DATE(2026,9,8),1,0)</f>
        <v/>
      </c>
      <c r="B261" s="38">
        <f>IFERROR(IF('Сен'!$B13=TRUE,1,0),0)</f>
        <v/>
      </c>
      <c r="C261" s="38">
        <f>IFERROR(IF('Сен'!$C13=TRUE,1,0),0)</f>
        <v/>
      </c>
      <c r="D261" s="38">
        <f>IFERROR(IF('Сен'!$D13=TRUE,1,0),0)</f>
        <v/>
      </c>
      <c r="E261" s="38">
        <f>IFERROR(IF('Сен'!$E13=TRUE,1,0),0)</f>
        <v/>
      </c>
      <c r="F261" s="38">
        <f>IFERROR(IF('Сен'!$F13=TRUE,1,0),0)</f>
        <v/>
      </c>
      <c r="G261" s="38">
        <f>IFERROR(IF('Сен'!$G13=TRUE,1,0),0)</f>
        <v/>
      </c>
      <c r="H261" s="38">
        <f>IFERROR(IF('Сен'!$H13=TRUE,1,0),0)</f>
        <v/>
      </c>
      <c r="I261" s="38">
        <f>IF($A261=0,$I260,IF($B261=1,$I260+1,IF($P261&lt;=1,$I260,0)))</f>
        <v/>
      </c>
      <c r="J261" s="38">
        <f>IF($A261=0,$J260,IF($C261=1,$J260+1,IF($Q261&lt;=1,$J260,0)))</f>
        <v/>
      </c>
      <c r="K261" s="38">
        <f>IF($A261=0,$K260,IF($D261=1,$K260+1,IF($R261&lt;=1,$K260,0)))</f>
        <v/>
      </c>
      <c r="L261" s="38">
        <f>IF($A261=0,$L260,IF($E261=1,$L260+1,IF($S261&lt;=1,$L260,0)))</f>
        <v/>
      </c>
      <c r="M261" s="38">
        <f>IF($A261=0,$M260,IF($F261=1,$M260+1,IF($T261&lt;=1,$M260,0)))</f>
        <v/>
      </c>
      <c r="N261" s="38">
        <f>IF($A261=0,$N260,IF($G261=1,$N260+1,IF($U261&lt;=1,$N260,0)))</f>
        <v/>
      </c>
      <c r="O261" s="38">
        <f>IF($A261=0,$O260,IF($H261=1,$O260+1,IF($V261&lt;=1,$O260,0)))</f>
        <v/>
      </c>
      <c r="P261" s="38">
        <f>IF($A261=0,$P260,$P260+IF($B261=1,0,1))</f>
        <v/>
      </c>
      <c r="Q261" s="38">
        <f>IF($A261=0,$Q260,$Q260+IF($C261=1,0,1))</f>
        <v/>
      </c>
      <c r="R261" s="38">
        <f>IF($A261=0,$R260,$R260+IF($D261=1,0,1))</f>
        <v/>
      </c>
      <c r="S261" s="38">
        <f>IF($A261=0,$S260,$S260+IF($E261=1,0,1))</f>
        <v/>
      </c>
      <c r="T261" s="38">
        <f>IF($A261=0,$T260,$T260+IF($F261=1,0,1))</f>
        <v/>
      </c>
      <c r="U261" s="38">
        <f>IF($A261=0,$U260,$U260+IF($G261=1,0,1))</f>
        <v/>
      </c>
      <c r="V261" s="38">
        <f>IF($A261=0,$V260,$V260+IF($H261=1,0,1))</f>
        <v/>
      </c>
      <c r="W261" s="38">
        <f>SUM($B261:$H261)</f>
        <v/>
      </c>
      <c r="X261" s="38">
        <f>IF(AND($A261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261=1),1,0)+IF(AND($G$1=7,$C261=1),1,0)+IF(AND($H$1=7,$D261=1),1,0)+IF(AND($I$1=7,$E261=1),1,0)+IF(AND($J$1=7,$F261=1),1,0)+IF(AND($K$1=7,$G261=1),1,0)+IF(AND($L$1=7,$H261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1" s="38">
        <f>IF($B261=1,IF($F$1&lt;7,10,IF(AND($F$1=7,$I260=0,$P260&gt;1),15,IF($I260&gt;=20,15,IF($I260&gt;=6,13,10)))),0)+IF($C261=1,IF($G$1&lt;7,10,IF(AND($G$1=7,$J260=0,$Q260&gt;1),15,IF($J260&gt;=20,15,IF($J260&gt;=6,13,10)))),0)+IF($D261=1,IF($H$1&lt;7,10,IF(AND($H$1=7,$K260=0,$R260&gt;1),15,IF($K260&gt;=20,15,IF($K260&gt;=6,13,10)))),0)+IF($E261=1,IF($I$1&lt;7,10,IF(AND($I$1=7,$L260=0,$S260&gt;1),15,IF($L260&gt;=20,15,IF($L260&gt;=6,13,10)))),0)+IF($F261=1,IF($J$1&lt;7,10,IF(AND($J$1=7,$M260=0,$T260&gt;1),15,IF($M260&gt;=20,15,IF($M260&gt;=6,13,10)))),0)+IF($G261=1,IF($K$1&lt;7,10,IF(AND($K$1=7,$N260=0,$U260&gt;1),15,IF($N260&gt;=20,15,IF($N260&gt;=6,13,10)))),0)+IF($H261=1,IF($L$1&lt;7,10,IF(AND($L$1=7,$O260=0,$V260&gt;1),15,IF($O260&gt;=20,15,IF($O260&gt;=6,13,10)))),0)</f>
        <v/>
      </c>
      <c r="Z261" s="38">
        <f>$Z260+$Y261</f>
        <v/>
      </c>
      <c r="AA261" s="38">
        <f>IF(AND($B261=1,AND($F$1=7,$I260=0,$P260&gt;1)),1,0)+IF(AND($C261=1,AND($G$1=7,$J260=0,$Q260&gt;1)),1,0)+IF(AND($D261=1,AND($H$1=7,$K260=0,$R260&gt;1)),1,0)+IF(AND($E261=1,AND($I$1=7,$L260=0,$S260&gt;1)),1,0)+IF(AND($F261=1,AND($J$1=7,$M260=0,$T260&gt;1)),1,0)+IF(AND($G261=1,AND($K$1=7,$N260=0,$U260&gt;1)),1,0)+IF(AND($H261=1,AND($L$1=7,$O260=0,$V260&gt;1)),1,0)</f>
        <v/>
      </c>
      <c r="AB261" s="38">
        <f>IF(IFERROR('Сен'!$I13,"")="",0,$AB260+1)</f>
        <v/>
      </c>
    </row>
    <row r="262" spans="1:28">
      <c r="A262" s="38">
        <f>IF($B$1&gt;=DATE(2026,9,9),1,0)</f>
        <v/>
      </c>
      <c r="B262" s="38">
        <f>IFERROR(IF('Сен'!$B14=TRUE,1,0),0)</f>
        <v/>
      </c>
      <c r="C262" s="38">
        <f>IFERROR(IF('Сен'!$C14=TRUE,1,0),0)</f>
        <v/>
      </c>
      <c r="D262" s="38">
        <f>IFERROR(IF('Сен'!$D14=TRUE,1,0),0)</f>
        <v/>
      </c>
      <c r="E262" s="38">
        <f>IFERROR(IF('Сен'!$E14=TRUE,1,0),0)</f>
        <v/>
      </c>
      <c r="F262" s="38">
        <f>IFERROR(IF('Сен'!$F14=TRUE,1,0),0)</f>
        <v/>
      </c>
      <c r="G262" s="38">
        <f>IFERROR(IF('Сен'!$G14=TRUE,1,0),0)</f>
        <v/>
      </c>
      <c r="H262" s="38">
        <f>IFERROR(IF('Сен'!$H14=TRUE,1,0),0)</f>
        <v/>
      </c>
      <c r="I262" s="38">
        <f>IF($A262=0,$I261,IF($B262=1,$I261+1,IF($P262&lt;=1,$I261,0)))</f>
        <v/>
      </c>
      <c r="J262" s="38">
        <f>IF($A262=0,$J261,IF($C262=1,$J261+1,IF($Q262&lt;=1,$J261,0)))</f>
        <v/>
      </c>
      <c r="K262" s="38">
        <f>IF($A262=0,$K261,IF($D262=1,$K261+1,IF($R262&lt;=1,$K261,0)))</f>
        <v/>
      </c>
      <c r="L262" s="38">
        <f>IF($A262=0,$L261,IF($E262=1,$L261+1,IF($S262&lt;=1,$L261,0)))</f>
        <v/>
      </c>
      <c r="M262" s="38">
        <f>IF($A262=0,$M261,IF($F262=1,$M261+1,IF($T262&lt;=1,$M261,0)))</f>
        <v/>
      </c>
      <c r="N262" s="38">
        <f>IF($A262=0,$N261,IF($G262=1,$N261+1,IF($U262&lt;=1,$N261,0)))</f>
        <v/>
      </c>
      <c r="O262" s="38">
        <f>IF($A262=0,$O261,IF($H262=1,$O261+1,IF($V262&lt;=1,$O261,0)))</f>
        <v/>
      </c>
      <c r="P262" s="38">
        <f>IF($A262=0,$P261,$P261+IF($B262=1,0,1))</f>
        <v/>
      </c>
      <c r="Q262" s="38">
        <f>IF($A262=0,$Q261,$Q261+IF($C262=1,0,1))</f>
        <v/>
      </c>
      <c r="R262" s="38">
        <f>IF($A262=0,$R261,$R261+IF($D262=1,0,1))</f>
        <v/>
      </c>
      <c r="S262" s="38">
        <f>IF($A262=0,$S261,$S261+IF($E262=1,0,1))</f>
        <v/>
      </c>
      <c r="T262" s="38">
        <f>IF($A262=0,$T261,$T261+IF($F262=1,0,1))</f>
        <v/>
      </c>
      <c r="U262" s="38">
        <f>IF($A262=0,$U261,$U261+IF($G262=1,0,1))</f>
        <v/>
      </c>
      <c r="V262" s="38">
        <f>IF($A262=0,$V261,$V261+IF($H262=1,0,1))</f>
        <v/>
      </c>
      <c r="W262" s="38">
        <f>SUM($B262:$H262)</f>
        <v/>
      </c>
      <c r="X262" s="38">
        <f>IF(AND($A262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262=1),1,0)+IF(AND($G$1=7,$C262=1),1,0)+IF(AND($H$1=7,$D262=1),1,0)+IF(AND($I$1=7,$E262=1),1,0)+IF(AND($J$1=7,$F262=1),1,0)+IF(AND($K$1=7,$G262=1),1,0)+IF(AND($L$1=7,$H262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2" s="38">
        <f>IF($B262=1,IF($F$1&lt;7,10,IF(AND($F$1=7,$I261=0,$P261&gt;1),15,IF($I261&gt;=20,15,IF($I261&gt;=6,13,10)))),0)+IF($C262=1,IF($G$1&lt;7,10,IF(AND($G$1=7,$J261=0,$Q261&gt;1),15,IF($J261&gt;=20,15,IF($J261&gt;=6,13,10)))),0)+IF($D262=1,IF($H$1&lt;7,10,IF(AND($H$1=7,$K261=0,$R261&gt;1),15,IF($K261&gt;=20,15,IF($K261&gt;=6,13,10)))),0)+IF($E262=1,IF($I$1&lt;7,10,IF(AND($I$1=7,$L261=0,$S261&gt;1),15,IF($L261&gt;=20,15,IF($L261&gt;=6,13,10)))),0)+IF($F262=1,IF($J$1&lt;7,10,IF(AND($J$1=7,$M261=0,$T261&gt;1),15,IF($M261&gt;=20,15,IF($M261&gt;=6,13,10)))),0)+IF($G262=1,IF($K$1&lt;7,10,IF(AND($K$1=7,$N261=0,$U261&gt;1),15,IF($N261&gt;=20,15,IF($N261&gt;=6,13,10)))),0)+IF($H262=1,IF($L$1&lt;7,10,IF(AND($L$1=7,$O261=0,$V261&gt;1),15,IF($O261&gt;=20,15,IF($O261&gt;=6,13,10)))),0)</f>
        <v/>
      </c>
      <c r="Z262" s="38">
        <f>$Z261+$Y262</f>
        <v/>
      </c>
      <c r="AA262" s="38">
        <f>IF(AND($B262=1,AND($F$1=7,$I261=0,$P261&gt;1)),1,0)+IF(AND($C262=1,AND($G$1=7,$J261=0,$Q261&gt;1)),1,0)+IF(AND($D262=1,AND($H$1=7,$K261=0,$R261&gt;1)),1,0)+IF(AND($E262=1,AND($I$1=7,$L261=0,$S261&gt;1)),1,0)+IF(AND($F262=1,AND($J$1=7,$M261=0,$T261&gt;1)),1,0)+IF(AND($G262=1,AND($K$1=7,$N261=0,$U261&gt;1)),1,0)+IF(AND($H262=1,AND($L$1=7,$O261=0,$V261&gt;1)),1,0)</f>
        <v/>
      </c>
      <c r="AB262" s="38">
        <f>IF(IFERROR('Сен'!$I14,"")="",0,$AB261+1)</f>
        <v/>
      </c>
    </row>
    <row r="263" spans="1:28">
      <c r="A263" s="38">
        <f>IF($B$1&gt;=DATE(2026,9,10),1,0)</f>
        <v/>
      </c>
      <c r="B263" s="38">
        <f>IFERROR(IF('Сен'!$B15=TRUE,1,0),0)</f>
        <v/>
      </c>
      <c r="C263" s="38">
        <f>IFERROR(IF('Сен'!$C15=TRUE,1,0),0)</f>
        <v/>
      </c>
      <c r="D263" s="38">
        <f>IFERROR(IF('Сен'!$D15=TRUE,1,0),0)</f>
        <v/>
      </c>
      <c r="E263" s="38">
        <f>IFERROR(IF('Сен'!$E15=TRUE,1,0),0)</f>
        <v/>
      </c>
      <c r="F263" s="38">
        <f>IFERROR(IF('Сен'!$F15=TRUE,1,0),0)</f>
        <v/>
      </c>
      <c r="G263" s="38">
        <f>IFERROR(IF('Сен'!$G15=TRUE,1,0),0)</f>
        <v/>
      </c>
      <c r="H263" s="38">
        <f>IFERROR(IF('Сен'!$H15=TRUE,1,0),0)</f>
        <v/>
      </c>
      <c r="I263" s="38">
        <f>IF($A263=0,$I262,IF($B263=1,$I262+1,IF($P263&lt;=1,$I262,0)))</f>
        <v/>
      </c>
      <c r="J263" s="38">
        <f>IF($A263=0,$J262,IF($C263=1,$J262+1,IF($Q263&lt;=1,$J262,0)))</f>
        <v/>
      </c>
      <c r="K263" s="38">
        <f>IF($A263=0,$K262,IF($D263=1,$K262+1,IF($R263&lt;=1,$K262,0)))</f>
        <v/>
      </c>
      <c r="L263" s="38">
        <f>IF($A263=0,$L262,IF($E263=1,$L262+1,IF($S263&lt;=1,$L262,0)))</f>
        <v/>
      </c>
      <c r="M263" s="38">
        <f>IF($A263=0,$M262,IF($F263=1,$M262+1,IF($T263&lt;=1,$M262,0)))</f>
        <v/>
      </c>
      <c r="N263" s="38">
        <f>IF($A263=0,$N262,IF($G263=1,$N262+1,IF($U263&lt;=1,$N262,0)))</f>
        <v/>
      </c>
      <c r="O263" s="38">
        <f>IF($A263=0,$O262,IF($H263=1,$O262+1,IF($V263&lt;=1,$O262,0)))</f>
        <v/>
      </c>
      <c r="P263" s="38">
        <f>IF($A263=0,$P262,$P262+IF($B263=1,0,1))</f>
        <v/>
      </c>
      <c r="Q263" s="38">
        <f>IF($A263=0,$Q262,$Q262+IF($C263=1,0,1))</f>
        <v/>
      </c>
      <c r="R263" s="38">
        <f>IF($A263=0,$R262,$R262+IF($D263=1,0,1))</f>
        <v/>
      </c>
      <c r="S263" s="38">
        <f>IF($A263=0,$S262,$S262+IF($E263=1,0,1))</f>
        <v/>
      </c>
      <c r="T263" s="38">
        <f>IF($A263=0,$T262,$T262+IF($F263=1,0,1))</f>
        <v/>
      </c>
      <c r="U263" s="38">
        <f>IF($A263=0,$U262,$U262+IF($G263=1,0,1))</f>
        <v/>
      </c>
      <c r="V263" s="38">
        <f>IF($A263=0,$V262,$V262+IF($H263=1,0,1))</f>
        <v/>
      </c>
      <c r="W263" s="38">
        <f>SUM($B263:$H263)</f>
        <v/>
      </c>
      <c r="X263" s="38">
        <f>IF(AND($A263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263=1),1,0)+IF(AND($G$1=7,$C263=1),1,0)+IF(AND($H$1=7,$D263=1),1,0)+IF(AND($I$1=7,$E263=1),1,0)+IF(AND($J$1=7,$F263=1),1,0)+IF(AND($K$1=7,$G263=1),1,0)+IF(AND($L$1=7,$H263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3" s="38">
        <f>IF($B263=1,IF($F$1&lt;7,10,IF(AND($F$1=7,$I262=0,$P262&gt;1),15,IF($I262&gt;=20,15,IF($I262&gt;=6,13,10)))),0)+IF($C263=1,IF($G$1&lt;7,10,IF(AND($G$1=7,$J262=0,$Q262&gt;1),15,IF($J262&gt;=20,15,IF($J262&gt;=6,13,10)))),0)+IF($D263=1,IF($H$1&lt;7,10,IF(AND($H$1=7,$K262=0,$R262&gt;1),15,IF($K262&gt;=20,15,IF($K262&gt;=6,13,10)))),0)+IF($E263=1,IF($I$1&lt;7,10,IF(AND($I$1=7,$L262=0,$S262&gt;1),15,IF($L262&gt;=20,15,IF($L262&gt;=6,13,10)))),0)+IF($F263=1,IF($J$1&lt;7,10,IF(AND($J$1=7,$M262=0,$T262&gt;1),15,IF($M262&gt;=20,15,IF($M262&gt;=6,13,10)))),0)+IF($G263=1,IF($K$1&lt;7,10,IF(AND($K$1=7,$N262=0,$U262&gt;1),15,IF($N262&gt;=20,15,IF($N262&gt;=6,13,10)))),0)+IF($H263=1,IF($L$1&lt;7,10,IF(AND($L$1=7,$O262=0,$V262&gt;1),15,IF($O262&gt;=20,15,IF($O262&gt;=6,13,10)))),0)</f>
        <v/>
      </c>
      <c r="Z263" s="38">
        <f>$Z262+$Y263</f>
        <v/>
      </c>
      <c r="AA263" s="38">
        <f>IF(AND($B263=1,AND($F$1=7,$I262=0,$P262&gt;1)),1,0)+IF(AND($C263=1,AND($G$1=7,$J262=0,$Q262&gt;1)),1,0)+IF(AND($D263=1,AND($H$1=7,$K262=0,$R262&gt;1)),1,0)+IF(AND($E263=1,AND($I$1=7,$L262=0,$S262&gt;1)),1,0)+IF(AND($F263=1,AND($J$1=7,$M262=0,$T262&gt;1)),1,0)+IF(AND($G263=1,AND($K$1=7,$N262=0,$U262&gt;1)),1,0)+IF(AND($H263=1,AND($L$1=7,$O262=0,$V262&gt;1)),1,0)</f>
        <v/>
      </c>
      <c r="AB263" s="38">
        <f>IF(IFERROR('Сен'!$I15,"")="",0,$AB262+1)</f>
        <v/>
      </c>
    </row>
    <row r="264" spans="1:28">
      <c r="A264" s="38">
        <f>IF($B$1&gt;=DATE(2026,9,11),1,0)</f>
        <v/>
      </c>
      <c r="B264" s="38">
        <f>IFERROR(IF('Сен'!$B16=TRUE,1,0),0)</f>
        <v/>
      </c>
      <c r="C264" s="38">
        <f>IFERROR(IF('Сен'!$C16=TRUE,1,0),0)</f>
        <v/>
      </c>
      <c r="D264" s="38">
        <f>IFERROR(IF('Сен'!$D16=TRUE,1,0),0)</f>
        <v/>
      </c>
      <c r="E264" s="38">
        <f>IFERROR(IF('Сен'!$E16=TRUE,1,0),0)</f>
        <v/>
      </c>
      <c r="F264" s="38">
        <f>IFERROR(IF('Сен'!$F16=TRUE,1,0),0)</f>
        <v/>
      </c>
      <c r="G264" s="38">
        <f>IFERROR(IF('Сен'!$G16=TRUE,1,0),0)</f>
        <v/>
      </c>
      <c r="H264" s="38">
        <f>IFERROR(IF('Сен'!$H16=TRUE,1,0),0)</f>
        <v/>
      </c>
      <c r="I264" s="38">
        <f>IF($A264=0,$I263,IF($B264=1,$I263+1,IF($P264&lt;=1,$I263,0)))</f>
        <v/>
      </c>
      <c r="J264" s="38">
        <f>IF($A264=0,$J263,IF($C264=1,$J263+1,IF($Q264&lt;=1,$J263,0)))</f>
        <v/>
      </c>
      <c r="K264" s="38">
        <f>IF($A264=0,$K263,IF($D264=1,$K263+1,IF($R264&lt;=1,$K263,0)))</f>
        <v/>
      </c>
      <c r="L264" s="38">
        <f>IF($A264=0,$L263,IF($E264=1,$L263+1,IF($S264&lt;=1,$L263,0)))</f>
        <v/>
      </c>
      <c r="M264" s="38">
        <f>IF($A264=0,$M263,IF($F264=1,$M263+1,IF($T264&lt;=1,$M263,0)))</f>
        <v/>
      </c>
      <c r="N264" s="38">
        <f>IF($A264=0,$N263,IF($G264=1,$N263+1,IF($U264&lt;=1,$N263,0)))</f>
        <v/>
      </c>
      <c r="O264" s="38">
        <f>IF($A264=0,$O263,IF($H264=1,$O263+1,IF($V264&lt;=1,$O263,0)))</f>
        <v/>
      </c>
      <c r="P264" s="38">
        <f>IF($A264=0,$P263,$P263+IF($B264=1,0,1))</f>
        <v/>
      </c>
      <c r="Q264" s="38">
        <f>IF($A264=0,$Q263,$Q263+IF($C264=1,0,1))</f>
        <v/>
      </c>
      <c r="R264" s="38">
        <f>IF($A264=0,$R263,$R263+IF($D264=1,0,1))</f>
        <v/>
      </c>
      <c r="S264" s="38">
        <f>IF($A264=0,$S263,$S263+IF($E264=1,0,1))</f>
        <v/>
      </c>
      <c r="T264" s="38">
        <f>IF($A264=0,$T263,$T263+IF($F264=1,0,1))</f>
        <v/>
      </c>
      <c r="U264" s="38">
        <f>IF($A264=0,$U263,$U263+IF($G264=1,0,1))</f>
        <v/>
      </c>
      <c r="V264" s="38">
        <f>IF($A264=0,$V263,$V263+IF($H264=1,0,1))</f>
        <v/>
      </c>
      <c r="W264" s="38">
        <f>SUM($B264:$H264)</f>
        <v/>
      </c>
      <c r="X264" s="38">
        <f>IF(AND($A264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264=1),1,0)+IF(AND($G$1=7,$C264=1),1,0)+IF(AND($H$1=7,$D264=1),1,0)+IF(AND($I$1=7,$E264=1),1,0)+IF(AND($J$1=7,$F264=1),1,0)+IF(AND($K$1=7,$G264=1),1,0)+IF(AND($L$1=7,$H264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4" s="38">
        <f>IF($B264=1,IF($F$1&lt;7,10,IF(AND($F$1=7,$I263=0,$P263&gt;1),15,IF($I263&gt;=20,15,IF($I263&gt;=6,13,10)))),0)+IF($C264=1,IF($G$1&lt;7,10,IF(AND($G$1=7,$J263=0,$Q263&gt;1),15,IF($J263&gt;=20,15,IF($J263&gt;=6,13,10)))),0)+IF($D264=1,IF($H$1&lt;7,10,IF(AND($H$1=7,$K263=0,$R263&gt;1),15,IF($K263&gt;=20,15,IF($K263&gt;=6,13,10)))),0)+IF($E264=1,IF($I$1&lt;7,10,IF(AND($I$1=7,$L263=0,$S263&gt;1),15,IF($L263&gt;=20,15,IF($L263&gt;=6,13,10)))),0)+IF($F264=1,IF($J$1&lt;7,10,IF(AND($J$1=7,$M263=0,$T263&gt;1),15,IF($M263&gt;=20,15,IF($M263&gt;=6,13,10)))),0)+IF($G264=1,IF($K$1&lt;7,10,IF(AND($K$1=7,$N263=0,$U263&gt;1),15,IF($N263&gt;=20,15,IF($N263&gt;=6,13,10)))),0)+IF($H264=1,IF($L$1&lt;7,10,IF(AND($L$1=7,$O263=0,$V263&gt;1),15,IF($O263&gt;=20,15,IF($O263&gt;=6,13,10)))),0)</f>
        <v/>
      </c>
      <c r="Z264" s="38">
        <f>$Z263+$Y264</f>
        <v/>
      </c>
      <c r="AA264" s="38">
        <f>IF(AND($B264=1,AND($F$1=7,$I263=0,$P263&gt;1)),1,0)+IF(AND($C264=1,AND($G$1=7,$J263=0,$Q263&gt;1)),1,0)+IF(AND($D264=1,AND($H$1=7,$K263=0,$R263&gt;1)),1,0)+IF(AND($E264=1,AND($I$1=7,$L263=0,$S263&gt;1)),1,0)+IF(AND($F264=1,AND($J$1=7,$M263=0,$T263&gt;1)),1,0)+IF(AND($G264=1,AND($K$1=7,$N263=0,$U263&gt;1)),1,0)+IF(AND($H264=1,AND($L$1=7,$O263=0,$V263&gt;1)),1,0)</f>
        <v/>
      </c>
      <c r="AB264" s="38">
        <f>IF(IFERROR('Сен'!$I16,"")="",0,$AB263+1)</f>
        <v/>
      </c>
    </row>
    <row r="265" spans="1:28">
      <c r="A265" s="38">
        <f>IF($B$1&gt;=DATE(2026,9,12),1,0)</f>
        <v/>
      </c>
      <c r="B265" s="38">
        <f>IFERROR(IF('Сен'!$B17=TRUE,1,0),0)</f>
        <v/>
      </c>
      <c r="C265" s="38">
        <f>IFERROR(IF('Сен'!$C17=TRUE,1,0),0)</f>
        <v/>
      </c>
      <c r="D265" s="38">
        <f>IFERROR(IF('Сен'!$D17=TRUE,1,0),0)</f>
        <v/>
      </c>
      <c r="E265" s="38">
        <f>IFERROR(IF('Сен'!$E17=TRUE,1,0),0)</f>
        <v/>
      </c>
      <c r="F265" s="38">
        <f>IFERROR(IF('Сен'!$F17=TRUE,1,0),0)</f>
        <v/>
      </c>
      <c r="G265" s="38">
        <f>IFERROR(IF('Сен'!$G17=TRUE,1,0),0)</f>
        <v/>
      </c>
      <c r="H265" s="38">
        <f>IFERROR(IF('Сен'!$H17=TRUE,1,0),0)</f>
        <v/>
      </c>
      <c r="I265" s="38">
        <f>IF($A265=0,$I264,IF($B265=1,$I264+1,IF($P265&lt;=1,$I264,0)))</f>
        <v/>
      </c>
      <c r="J265" s="38">
        <f>IF($A265=0,$J264,IF($C265=1,$J264+1,IF($Q265&lt;=1,$J264,0)))</f>
        <v/>
      </c>
      <c r="K265" s="38">
        <f>IF($A265=0,$K264,IF($D265=1,$K264+1,IF($R265&lt;=1,$K264,0)))</f>
        <v/>
      </c>
      <c r="L265" s="38">
        <f>IF($A265=0,$L264,IF($E265=1,$L264+1,IF($S265&lt;=1,$L264,0)))</f>
        <v/>
      </c>
      <c r="M265" s="38">
        <f>IF($A265=0,$M264,IF($F265=1,$M264+1,IF($T265&lt;=1,$M264,0)))</f>
        <v/>
      </c>
      <c r="N265" s="38">
        <f>IF($A265=0,$N264,IF($G265=1,$N264+1,IF($U265&lt;=1,$N264,0)))</f>
        <v/>
      </c>
      <c r="O265" s="38">
        <f>IF($A265=0,$O264,IF($H265=1,$O264+1,IF($V265&lt;=1,$O264,0)))</f>
        <v/>
      </c>
      <c r="P265" s="38">
        <f>IF($A265=0,$P264,$P264+IF($B265=1,0,1))</f>
        <v/>
      </c>
      <c r="Q265" s="38">
        <f>IF($A265=0,$Q264,$Q264+IF($C265=1,0,1))</f>
        <v/>
      </c>
      <c r="R265" s="38">
        <f>IF($A265=0,$R264,$R264+IF($D265=1,0,1))</f>
        <v/>
      </c>
      <c r="S265" s="38">
        <f>IF($A265=0,$S264,$S264+IF($E265=1,0,1))</f>
        <v/>
      </c>
      <c r="T265" s="38">
        <f>IF($A265=0,$T264,$T264+IF($F265=1,0,1))</f>
        <v/>
      </c>
      <c r="U265" s="38">
        <f>IF($A265=0,$U264,$U264+IF($G265=1,0,1))</f>
        <v/>
      </c>
      <c r="V265" s="38">
        <f>IF($A265=0,$V264,$V264+IF($H265=1,0,1))</f>
        <v/>
      </c>
      <c r="W265" s="38">
        <f>SUM($B265:$H265)</f>
        <v/>
      </c>
      <c r="X265" s="38">
        <f>IF(AND($A265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265=1),1,0)+IF(AND($G$1=7,$C265=1),1,0)+IF(AND($H$1=7,$D265=1),1,0)+IF(AND($I$1=7,$E265=1),1,0)+IF(AND($J$1=7,$F265=1),1,0)+IF(AND($K$1=7,$G265=1),1,0)+IF(AND($L$1=7,$H265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5" s="38">
        <f>IF($B265=1,IF($F$1&lt;7,10,IF(AND($F$1=7,$I264=0,$P264&gt;1),15,IF($I264&gt;=20,15,IF($I264&gt;=6,13,10)))),0)+IF($C265=1,IF($G$1&lt;7,10,IF(AND($G$1=7,$J264=0,$Q264&gt;1),15,IF($J264&gt;=20,15,IF($J264&gt;=6,13,10)))),0)+IF($D265=1,IF($H$1&lt;7,10,IF(AND($H$1=7,$K264=0,$R264&gt;1),15,IF($K264&gt;=20,15,IF($K264&gt;=6,13,10)))),0)+IF($E265=1,IF($I$1&lt;7,10,IF(AND($I$1=7,$L264=0,$S264&gt;1),15,IF($L264&gt;=20,15,IF($L264&gt;=6,13,10)))),0)+IF($F265=1,IF($J$1&lt;7,10,IF(AND($J$1=7,$M264=0,$T264&gt;1),15,IF($M264&gt;=20,15,IF($M264&gt;=6,13,10)))),0)+IF($G265=1,IF($K$1&lt;7,10,IF(AND($K$1=7,$N264=0,$U264&gt;1),15,IF($N264&gt;=20,15,IF($N264&gt;=6,13,10)))),0)+IF($H265=1,IF($L$1&lt;7,10,IF(AND($L$1=7,$O264=0,$V264&gt;1),15,IF($O264&gt;=20,15,IF($O264&gt;=6,13,10)))),0)</f>
        <v/>
      </c>
      <c r="Z265" s="38">
        <f>$Z264+$Y265</f>
        <v/>
      </c>
      <c r="AA265" s="38">
        <f>IF(AND($B265=1,AND($F$1=7,$I264=0,$P264&gt;1)),1,0)+IF(AND($C265=1,AND($G$1=7,$J264=0,$Q264&gt;1)),1,0)+IF(AND($D265=1,AND($H$1=7,$K264=0,$R264&gt;1)),1,0)+IF(AND($E265=1,AND($I$1=7,$L264=0,$S264&gt;1)),1,0)+IF(AND($F265=1,AND($J$1=7,$M264=0,$T264&gt;1)),1,0)+IF(AND($G265=1,AND($K$1=7,$N264=0,$U264&gt;1)),1,0)+IF(AND($H265=1,AND($L$1=7,$O264=0,$V264&gt;1)),1,0)</f>
        <v/>
      </c>
      <c r="AB265" s="38">
        <f>IF(IFERROR('Сен'!$I17,"")="",0,$AB264+1)</f>
        <v/>
      </c>
    </row>
    <row r="266" spans="1:28">
      <c r="A266" s="38">
        <f>IF($B$1&gt;=DATE(2026,9,13),1,0)</f>
        <v/>
      </c>
      <c r="B266" s="38">
        <f>IFERROR(IF('Сен'!$B18=TRUE,1,0),0)</f>
        <v/>
      </c>
      <c r="C266" s="38">
        <f>IFERROR(IF('Сен'!$C18=TRUE,1,0),0)</f>
        <v/>
      </c>
      <c r="D266" s="38">
        <f>IFERROR(IF('Сен'!$D18=TRUE,1,0),0)</f>
        <v/>
      </c>
      <c r="E266" s="38">
        <f>IFERROR(IF('Сен'!$E18=TRUE,1,0),0)</f>
        <v/>
      </c>
      <c r="F266" s="38">
        <f>IFERROR(IF('Сен'!$F18=TRUE,1,0),0)</f>
        <v/>
      </c>
      <c r="G266" s="38">
        <f>IFERROR(IF('Сен'!$G18=TRUE,1,0),0)</f>
        <v/>
      </c>
      <c r="H266" s="38">
        <f>IFERROR(IF('Сен'!$H18=TRUE,1,0),0)</f>
        <v/>
      </c>
      <c r="I266" s="38">
        <f>IF($A266=0,$I265,IF($B266=1,$I265+1,IF($P266&lt;=1,$I265,0)))</f>
        <v/>
      </c>
      <c r="J266" s="38">
        <f>IF($A266=0,$J265,IF($C266=1,$J265+1,IF($Q266&lt;=1,$J265,0)))</f>
        <v/>
      </c>
      <c r="K266" s="38">
        <f>IF($A266=0,$K265,IF($D266=1,$K265+1,IF($R266&lt;=1,$K265,0)))</f>
        <v/>
      </c>
      <c r="L266" s="38">
        <f>IF($A266=0,$L265,IF($E266=1,$L265+1,IF($S266&lt;=1,$L265,0)))</f>
        <v/>
      </c>
      <c r="M266" s="38">
        <f>IF($A266=0,$M265,IF($F266=1,$M265+1,IF($T266&lt;=1,$M265,0)))</f>
        <v/>
      </c>
      <c r="N266" s="38">
        <f>IF($A266=0,$N265,IF($G266=1,$N265+1,IF($U266&lt;=1,$N265,0)))</f>
        <v/>
      </c>
      <c r="O266" s="38">
        <f>IF($A266=0,$O265,IF($H266=1,$O265+1,IF($V266&lt;=1,$O265,0)))</f>
        <v/>
      </c>
      <c r="P266" s="38">
        <f>IF($A266=0,$P265,$P265+IF($B266=1,0,1))</f>
        <v/>
      </c>
      <c r="Q266" s="38">
        <f>IF($A266=0,$Q265,$Q265+IF($C266=1,0,1))</f>
        <v/>
      </c>
      <c r="R266" s="38">
        <f>IF($A266=0,$R265,$R265+IF($D266=1,0,1))</f>
        <v/>
      </c>
      <c r="S266" s="38">
        <f>IF($A266=0,$S265,$S265+IF($E266=1,0,1))</f>
        <v/>
      </c>
      <c r="T266" s="38">
        <f>IF($A266=0,$T265,$T265+IF($F266=1,0,1))</f>
        <v/>
      </c>
      <c r="U266" s="38">
        <f>IF($A266=0,$U265,$U265+IF($G266=1,0,1))</f>
        <v/>
      </c>
      <c r="V266" s="38">
        <f>IF($A266=0,$V265,$V265+IF($H266=1,0,1))</f>
        <v/>
      </c>
      <c r="W266" s="38">
        <f>SUM($B266:$H266)</f>
        <v/>
      </c>
      <c r="X266" s="38">
        <f>IF(AND($A266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266=1),1,0)+IF(AND($G$1=7,$C266=1),1,0)+IF(AND($H$1=7,$D266=1),1,0)+IF(AND($I$1=7,$E266=1),1,0)+IF(AND($J$1=7,$F266=1),1,0)+IF(AND($K$1=7,$G266=1),1,0)+IF(AND($L$1=7,$H266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6" s="38">
        <f>IF($B266=1,IF($F$1&lt;7,10,IF(AND($F$1=7,$I265=0,$P265&gt;1),15,IF($I265&gt;=20,15,IF($I265&gt;=6,13,10)))),0)+IF($C266=1,IF($G$1&lt;7,10,IF(AND($G$1=7,$J265=0,$Q265&gt;1),15,IF($J265&gt;=20,15,IF($J265&gt;=6,13,10)))),0)+IF($D266=1,IF($H$1&lt;7,10,IF(AND($H$1=7,$K265=0,$R265&gt;1),15,IF($K265&gt;=20,15,IF($K265&gt;=6,13,10)))),0)+IF($E266=1,IF($I$1&lt;7,10,IF(AND($I$1=7,$L265=0,$S265&gt;1),15,IF($L265&gt;=20,15,IF($L265&gt;=6,13,10)))),0)+IF($F266=1,IF($J$1&lt;7,10,IF(AND($J$1=7,$M265=0,$T265&gt;1),15,IF($M265&gt;=20,15,IF($M265&gt;=6,13,10)))),0)+IF($G266=1,IF($K$1&lt;7,10,IF(AND($K$1=7,$N265=0,$U265&gt;1),15,IF($N265&gt;=20,15,IF($N265&gt;=6,13,10)))),0)+IF($H266=1,IF($L$1&lt;7,10,IF(AND($L$1=7,$O265=0,$V265&gt;1),15,IF($O265&gt;=20,15,IF($O265&gt;=6,13,10)))),0)</f>
        <v/>
      </c>
      <c r="Z266" s="38">
        <f>$Z265+$Y266</f>
        <v/>
      </c>
      <c r="AA266" s="38">
        <f>IF(AND($B266=1,AND($F$1=7,$I265=0,$P265&gt;1)),1,0)+IF(AND($C266=1,AND($G$1=7,$J265=0,$Q265&gt;1)),1,0)+IF(AND($D266=1,AND($H$1=7,$K265=0,$R265&gt;1)),1,0)+IF(AND($E266=1,AND($I$1=7,$L265=0,$S265&gt;1)),1,0)+IF(AND($F266=1,AND($J$1=7,$M265=0,$T265&gt;1)),1,0)+IF(AND($G266=1,AND($K$1=7,$N265=0,$U265&gt;1)),1,0)+IF(AND($H266=1,AND($L$1=7,$O265=0,$V265&gt;1)),1,0)</f>
        <v/>
      </c>
      <c r="AB266" s="38">
        <f>IF(IFERROR('Сен'!$I18,"")="",0,$AB265+1)</f>
        <v/>
      </c>
    </row>
    <row r="267" spans="1:28">
      <c r="A267" s="38">
        <f>IF($B$1&gt;=DATE(2026,9,14),1,0)</f>
        <v/>
      </c>
      <c r="B267" s="38">
        <f>IFERROR(IF('Сен'!$B19=TRUE,1,0),0)</f>
        <v/>
      </c>
      <c r="C267" s="38">
        <f>IFERROR(IF('Сен'!$C19=TRUE,1,0),0)</f>
        <v/>
      </c>
      <c r="D267" s="38">
        <f>IFERROR(IF('Сен'!$D19=TRUE,1,0),0)</f>
        <v/>
      </c>
      <c r="E267" s="38">
        <f>IFERROR(IF('Сен'!$E19=TRUE,1,0),0)</f>
        <v/>
      </c>
      <c r="F267" s="38">
        <f>IFERROR(IF('Сен'!$F19=TRUE,1,0),0)</f>
        <v/>
      </c>
      <c r="G267" s="38">
        <f>IFERROR(IF('Сен'!$G19=TRUE,1,0),0)</f>
        <v/>
      </c>
      <c r="H267" s="38">
        <f>IFERROR(IF('Сен'!$H19=TRUE,1,0),0)</f>
        <v/>
      </c>
      <c r="I267" s="38">
        <f>IF($A267=0,$I266,IF($B267=1,$I266+1,IF($P267&lt;=1,$I266,0)))</f>
        <v/>
      </c>
      <c r="J267" s="38">
        <f>IF($A267=0,$J266,IF($C267=1,$J266+1,IF($Q267&lt;=1,$J266,0)))</f>
        <v/>
      </c>
      <c r="K267" s="38">
        <f>IF($A267=0,$K266,IF($D267=1,$K266+1,IF($R267&lt;=1,$K266,0)))</f>
        <v/>
      </c>
      <c r="L267" s="38">
        <f>IF($A267=0,$L266,IF($E267=1,$L266+1,IF($S267&lt;=1,$L266,0)))</f>
        <v/>
      </c>
      <c r="M267" s="38">
        <f>IF($A267=0,$M266,IF($F267=1,$M266+1,IF($T267&lt;=1,$M266,0)))</f>
        <v/>
      </c>
      <c r="N267" s="38">
        <f>IF($A267=0,$N266,IF($G267=1,$N266+1,IF($U267&lt;=1,$N266,0)))</f>
        <v/>
      </c>
      <c r="O267" s="38">
        <f>IF($A267=0,$O266,IF($H267=1,$O266+1,IF($V267&lt;=1,$O266,0)))</f>
        <v/>
      </c>
      <c r="P267" s="38">
        <f>IF($A267=0,$P266,$P266+IF($B267=1,0,1))</f>
        <v/>
      </c>
      <c r="Q267" s="38">
        <f>IF($A267=0,$Q266,$Q266+IF($C267=1,0,1))</f>
        <v/>
      </c>
      <c r="R267" s="38">
        <f>IF($A267=0,$R266,$R266+IF($D267=1,0,1))</f>
        <v/>
      </c>
      <c r="S267" s="38">
        <f>IF($A267=0,$S266,$S266+IF($E267=1,0,1))</f>
        <v/>
      </c>
      <c r="T267" s="38">
        <f>IF($A267=0,$T266,$T266+IF($F267=1,0,1))</f>
        <v/>
      </c>
      <c r="U267" s="38">
        <f>IF($A267=0,$U266,$U266+IF($G267=1,0,1))</f>
        <v/>
      </c>
      <c r="V267" s="38">
        <f>IF($A267=0,$V266,$V266+IF($H267=1,0,1))</f>
        <v/>
      </c>
      <c r="W267" s="38">
        <f>SUM($B267:$H267)</f>
        <v/>
      </c>
      <c r="X267" s="38">
        <f>IF(AND($A267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267=1),1,0)+IF(AND($G$1=7,$C267=1),1,0)+IF(AND($H$1=7,$D267=1),1,0)+IF(AND($I$1=7,$E267=1),1,0)+IF(AND($J$1=7,$F267=1),1,0)+IF(AND($K$1=7,$G267=1),1,0)+IF(AND($L$1=7,$H267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7" s="38">
        <f>IF($B267=1,IF($F$1&lt;7,10,IF(AND($F$1=7,$I266=0,$P266&gt;1),15,IF($I266&gt;=20,15,IF($I266&gt;=6,13,10)))),0)+IF($C267=1,IF($G$1&lt;7,10,IF(AND($G$1=7,$J266=0,$Q266&gt;1),15,IF($J266&gt;=20,15,IF($J266&gt;=6,13,10)))),0)+IF($D267=1,IF($H$1&lt;7,10,IF(AND($H$1=7,$K266=0,$R266&gt;1),15,IF($K266&gt;=20,15,IF($K266&gt;=6,13,10)))),0)+IF($E267=1,IF($I$1&lt;7,10,IF(AND($I$1=7,$L266=0,$S266&gt;1),15,IF($L266&gt;=20,15,IF($L266&gt;=6,13,10)))),0)+IF($F267=1,IF($J$1&lt;7,10,IF(AND($J$1=7,$M266=0,$T266&gt;1),15,IF($M266&gt;=20,15,IF($M266&gt;=6,13,10)))),0)+IF($G267=1,IF($K$1&lt;7,10,IF(AND($K$1=7,$N266=0,$U266&gt;1),15,IF($N266&gt;=20,15,IF($N266&gt;=6,13,10)))),0)+IF($H267=1,IF($L$1&lt;7,10,IF(AND($L$1=7,$O266=0,$V266&gt;1),15,IF($O266&gt;=20,15,IF($O266&gt;=6,13,10)))),0)</f>
        <v/>
      </c>
      <c r="Z267" s="38">
        <f>$Z266+$Y267</f>
        <v/>
      </c>
      <c r="AA267" s="38">
        <f>IF(AND($B267=1,AND($F$1=7,$I266=0,$P266&gt;1)),1,0)+IF(AND($C267=1,AND($G$1=7,$J266=0,$Q266&gt;1)),1,0)+IF(AND($D267=1,AND($H$1=7,$K266=0,$R266&gt;1)),1,0)+IF(AND($E267=1,AND($I$1=7,$L266=0,$S266&gt;1)),1,0)+IF(AND($F267=1,AND($J$1=7,$M266=0,$T266&gt;1)),1,0)+IF(AND($G267=1,AND($K$1=7,$N266=0,$U266&gt;1)),1,0)+IF(AND($H267=1,AND($L$1=7,$O266=0,$V266&gt;1)),1,0)</f>
        <v/>
      </c>
      <c r="AB267" s="38">
        <f>IF(IFERROR('Сен'!$I19,"")="",0,$AB266+1)</f>
        <v/>
      </c>
    </row>
    <row r="268" spans="1:28">
      <c r="A268" s="38">
        <f>IF($B$1&gt;=DATE(2026,9,15),1,0)</f>
        <v/>
      </c>
      <c r="B268" s="38">
        <f>IFERROR(IF('Сен'!$B20=TRUE,1,0),0)</f>
        <v/>
      </c>
      <c r="C268" s="38">
        <f>IFERROR(IF('Сен'!$C20=TRUE,1,0),0)</f>
        <v/>
      </c>
      <c r="D268" s="38">
        <f>IFERROR(IF('Сен'!$D20=TRUE,1,0),0)</f>
        <v/>
      </c>
      <c r="E268" s="38">
        <f>IFERROR(IF('Сен'!$E20=TRUE,1,0),0)</f>
        <v/>
      </c>
      <c r="F268" s="38">
        <f>IFERROR(IF('Сен'!$F20=TRUE,1,0),0)</f>
        <v/>
      </c>
      <c r="G268" s="38">
        <f>IFERROR(IF('Сен'!$G20=TRUE,1,0),0)</f>
        <v/>
      </c>
      <c r="H268" s="38">
        <f>IFERROR(IF('Сен'!$H20=TRUE,1,0),0)</f>
        <v/>
      </c>
      <c r="I268" s="38">
        <f>IF($A268=0,$I267,IF($B268=1,$I267+1,IF($P268&lt;=1,$I267,0)))</f>
        <v/>
      </c>
      <c r="J268" s="38">
        <f>IF($A268=0,$J267,IF($C268=1,$J267+1,IF($Q268&lt;=1,$J267,0)))</f>
        <v/>
      </c>
      <c r="K268" s="38">
        <f>IF($A268=0,$K267,IF($D268=1,$K267+1,IF($R268&lt;=1,$K267,0)))</f>
        <v/>
      </c>
      <c r="L268" s="38">
        <f>IF($A268=0,$L267,IF($E268=1,$L267+1,IF($S268&lt;=1,$L267,0)))</f>
        <v/>
      </c>
      <c r="M268" s="38">
        <f>IF($A268=0,$M267,IF($F268=1,$M267+1,IF($T268&lt;=1,$M267,0)))</f>
        <v/>
      </c>
      <c r="N268" s="38">
        <f>IF($A268=0,$N267,IF($G268=1,$N267+1,IF($U268&lt;=1,$N267,0)))</f>
        <v/>
      </c>
      <c r="O268" s="38">
        <f>IF($A268=0,$O267,IF($H268=1,$O267+1,IF($V268&lt;=1,$O267,0)))</f>
        <v/>
      </c>
      <c r="P268" s="38">
        <f>IF($A268=0,$P267,$P267+IF($B268=1,0,1))</f>
        <v/>
      </c>
      <c r="Q268" s="38">
        <f>IF($A268=0,$Q267,$Q267+IF($C268=1,0,1))</f>
        <v/>
      </c>
      <c r="R268" s="38">
        <f>IF($A268=0,$R267,$R267+IF($D268=1,0,1))</f>
        <v/>
      </c>
      <c r="S268" s="38">
        <f>IF($A268=0,$S267,$S267+IF($E268=1,0,1))</f>
        <v/>
      </c>
      <c r="T268" s="38">
        <f>IF($A268=0,$T267,$T267+IF($F268=1,0,1))</f>
        <v/>
      </c>
      <c r="U268" s="38">
        <f>IF($A268=0,$U267,$U267+IF($G268=1,0,1))</f>
        <v/>
      </c>
      <c r="V268" s="38">
        <f>IF($A268=0,$V267,$V267+IF($H268=1,0,1))</f>
        <v/>
      </c>
      <c r="W268" s="38">
        <f>SUM($B268:$H268)</f>
        <v/>
      </c>
      <c r="X268" s="38">
        <f>IF(AND($A268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268=1),1,0)+IF(AND($G$1=7,$C268=1),1,0)+IF(AND($H$1=7,$D268=1),1,0)+IF(AND($I$1=7,$E268=1),1,0)+IF(AND($J$1=7,$F268=1),1,0)+IF(AND($K$1=7,$G268=1),1,0)+IF(AND($L$1=7,$H268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8" s="38">
        <f>IF($B268=1,IF($F$1&lt;7,10,IF(AND($F$1=7,$I267=0,$P267&gt;1),15,IF($I267&gt;=20,15,IF($I267&gt;=6,13,10)))),0)+IF($C268=1,IF($G$1&lt;7,10,IF(AND($G$1=7,$J267=0,$Q267&gt;1),15,IF($J267&gt;=20,15,IF($J267&gt;=6,13,10)))),0)+IF($D268=1,IF($H$1&lt;7,10,IF(AND($H$1=7,$K267=0,$R267&gt;1),15,IF($K267&gt;=20,15,IF($K267&gt;=6,13,10)))),0)+IF($E268=1,IF($I$1&lt;7,10,IF(AND($I$1=7,$L267=0,$S267&gt;1),15,IF($L267&gt;=20,15,IF($L267&gt;=6,13,10)))),0)+IF($F268=1,IF($J$1&lt;7,10,IF(AND($J$1=7,$M267=0,$T267&gt;1),15,IF($M267&gt;=20,15,IF($M267&gt;=6,13,10)))),0)+IF($G268=1,IF($K$1&lt;7,10,IF(AND($K$1=7,$N267=0,$U267&gt;1),15,IF($N267&gt;=20,15,IF($N267&gt;=6,13,10)))),0)+IF($H268=1,IF($L$1&lt;7,10,IF(AND($L$1=7,$O267=0,$V267&gt;1),15,IF($O267&gt;=20,15,IF($O267&gt;=6,13,10)))),0)</f>
        <v/>
      </c>
      <c r="Z268" s="38">
        <f>$Z267+$Y268</f>
        <v/>
      </c>
      <c r="AA268" s="38">
        <f>IF(AND($B268=1,AND($F$1=7,$I267=0,$P267&gt;1)),1,0)+IF(AND($C268=1,AND($G$1=7,$J267=0,$Q267&gt;1)),1,0)+IF(AND($D268=1,AND($H$1=7,$K267=0,$R267&gt;1)),1,0)+IF(AND($E268=1,AND($I$1=7,$L267=0,$S267&gt;1)),1,0)+IF(AND($F268=1,AND($J$1=7,$M267=0,$T267&gt;1)),1,0)+IF(AND($G268=1,AND($K$1=7,$N267=0,$U267&gt;1)),1,0)+IF(AND($H268=1,AND($L$1=7,$O267=0,$V267&gt;1)),1,0)</f>
        <v/>
      </c>
      <c r="AB268" s="38">
        <f>IF(IFERROR('Сен'!$I20,"")="",0,$AB267+1)</f>
        <v/>
      </c>
    </row>
    <row r="269" spans="1:28">
      <c r="A269" s="38">
        <f>IF($B$1&gt;=DATE(2026,9,16),1,0)</f>
        <v/>
      </c>
      <c r="B269" s="38">
        <f>IFERROR(IF('Сен'!$B21=TRUE,1,0),0)</f>
        <v/>
      </c>
      <c r="C269" s="38">
        <f>IFERROR(IF('Сен'!$C21=TRUE,1,0),0)</f>
        <v/>
      </c>
      <c r="D269" s="38">
        <f>IFERROR(IF('Сен'!$D21=TRUE,1,0),0)</f>
        <v/>
      </c>
      <c r="E269" s="38">
        <f>IFERROR(IF('Сен'!$E21=TRUE,1,0),0)</f>
        <v/>
      </c>
      <c r="F269" s="38">
        <f>IFERROR(IF('Сен'!$F21=TRUE,1,0),0)</f>
        <v/>
      </c>
      <c r="G269" s="38">
        <f>IFERROR(IF('Сен'!$G21=TRUE,1,0),0)</f>
        <v/>
      </c>
      <c r="H269" s="38">
        <f>IFERROR(IF('Сен'!$H21=TRUE,1,0),0)</f>
        <v/>
      </c>
      <c r="I269" s="38">
        <f>IF($A269=0,$I268,IF($B269=1,$I268+1,IF($P269&lt;=1,$I268,0)))</f>
        <v/>
      </c>
      <c r="J269" s="38">
        <f>IF($A269=0,$J268,IF($C269=1,$J268+1,IF($Q269&lt;=1,$J268,0)))</f>
        <v/>
      </c>
      <c r="K269" s="38">
        <f>IF($A269=0,$K268,IF($D269=1,$K268+1,IF($R269&lt;=1,$K268,0)))</f>
        <v/>
      </c>
      <c r="L269" s="38">
        <f>IF($A269=0,$L268,IF($E269=1,$L268+1,IF($S269&lt;=1,$L268,0)))</f>
        <v/>
      </c>
      <c r="M269" s="38">
        <f>IF($A269=0,$M268,IF($F269=1,$M268+1,IF($T269&lt;=1,$M268,0)))</f>
        <v/>
      </c>
      <c r="N269" s="38">
        <f>IF($A269=0,$N268,IF($G269=1,$N268+1,IF($U269&lt;=1,$N268,0)))</f>
        <v/>
      </c>
      <c r="O269" s="38">
        <f>IF($A269=0,$O268,IF($H269=1,$O268+1,IF($V269&lt;=1,$O268,0)))</f>
        <v/>
      </c>
      <c r="P269" s="38">
        <f>IF($A269=0,$P268,$P268+IF($B269=1,0,1))</f>
        <v/>
      </c>
      <c r="Q269" s="38">
        <f>IF($A269=0,$Q268,$Q268+IF($C269=1,0,1))</f>
        <v/>
      </c>
      <c r="R269" s="38">
        <f>IF($A269=0,$R268,$R268+IF($D269=1,0,1))</f>
        <v/>
      </c>
      <c r="S269" s="38">
        <f>IF($A269=0,$S268,$S268+IF($E269=1,0,1))</f>
        <v/>
      </c>
      <c r="T269" s="38">
        <f>IF($A269=0,$T268,$T268+IF($F269=1,0,1))</f>
        <v/>
      </c>
      <c r="U269" s="38">
        <f>IF($A269=0,$U268,$U268+IF($G269=1,0,1))</f>
        <v/>
      </c>
      <c r="V269" s="38">
        <f>IF($A269=0,$V268,$V268+IF($H269=1,0,1))</f>
        <v/>
      </c>
      <c r="W269" s="38">
        <f>SUM($B269:$H269)</f>
        <v/>
      </c>
      <c r="X269" s="38">
        <f>IF(AND($A269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269=1),1,0)+IF(AND($G$1=7,$C269=1),1,0)+IF(AND($H$1=7,$D269=1),1,0)+IF(AND($I$1=7,$E269=1),1,0)+IF(AND($J$1=7,$F269=1),1,0)+IF(AND($K$1=7,$G269=1),1,0)+IF(AND($L$1=7,$H269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9" s="38">
        <f>IF($B269=1,IF($F$1&lt;7,10,IF(AND($F$1=7,$I268=0,$P268&gt;1),15,IF($I268&gt;=20,15,IF($I268&gt;=6,13,10)))),0)+IF($C269=1,IF($G$1&lt;7,10,IF(AND($G$1=7,$J268=0,$Q268&gt;1),15,IF($J268&gt;=20,15,IF($J268&gt;=6,13,10)))),0)+IF($D269=1,IF($H$1&lt;7,10,IF(AND($H$1=7,$K268=0,$R268&gt;1),15,IF($K268&gt;=20,15,IF($K268&gt;=6,13,10)))),0)+IF($E269=1,IF($I$1&lt;7,10,IF(AND($I$1=7,$L268=0,$S268&gt;1),15,IF($L268&gt;=20,15,IF($L268&gt;=6,13,10)))),0)+IF($F269=1,IF($J$1&lt;7,10,IF(AND($J$1=7,$M268=0,$T268&gt;1),15,IF($M268&gt;=20,15,IF($M268&gt;=6,13,10)))),0)+IF($G269=1,IF($K$1&lt;7,10,IF(AND($K$1=7,$N268=0,$U268&gt;1),15,IF($N268&gt;=20,15,IF($N268&gt;=6,13,10)))),0)+IF($H269=1,IF($L$1&lt;7,10,IF(AND($L$1=7,$O268=0,$V268&gt;1),15,IF($O268&gt;=20,15,IF($O268&gt;=6,13,10)))),0)</f>
        <v/>
      </c>
      <c r="Z269" s="38">
        <f>$Z268+$Y269</f>
        <v/>
      </c>
      <c r="AA269" s="38">
        <f>IF(AND($B269=1,AND($F$1=7,$I268=0,$P268&gt;1)),1,0)+IF(AND($C269=1,AND($G$1=7,$J268=0,$Q268&gt;1)),1,0)+IF(AND($D269=1,AND($H$1=7,$K268=0,$R268&gt;1)),1,0)+IF(AND($E269=1,AND($I$1=7,$L268=0,$S268&gt;1)),1,0)+IF(AND($F269=1,AND($J$1=7,$M268=0,$T268&gt;1)),1,0)+IF(AND($G269=1,AND($K$1=7,$N268=0,$U268&gt;1)),1,0)+IF(AND($H269=1,AND($L$1=7,$O268=0,$V268&gt;1)),1,0)</f>
        <v/>
      </c>
      <c r="AB269" s="38">
        <f>IF(IFERROR('Сен'!$I21,"")="",0,$AB268+1)</f>
        <v/>
      </c>
    </row>
    <row r="270" spans="1:28">
      <c r="A270" s="38">
        <f>IF($B$1&gt;=DATE(2026,9,17),1,0)</f>
        <v/>
      </c>
      <c r="B270" s="38">
        <f>IFERROR(IF('Сен'!$B22=TRUE,1,0),0)</f>
        <v/>
      </c>
      <c r="C270" s="38">
        <f>IFERROR(IF('Сен'!$C22=TRUE,1,0),0)</f>
        <v/>
      </c>
      <c r="D270" s="38">
        <f>IFERROR(IF('Сен'!$D22=TRUE,1,0),0)</f>
        <v/>
      </c>
      <c r="E270" s="38">
        <f>IFERROR(IF('Сен'!$E22=TRUE,1,0),0)</f>
        <v/>
      </c>
      <c r="F270" s="38">
        <f>IFERROR(IF('Сен'!$F22=TRUE,1,0),0)</f>
        <v/>
      </c>
      <c r="G270" s="38">
        <f>IFERROR(IF('Сен'!$G22=TRUE,1,0),0)</f>
        <v/>
      </c>
      <c r="H270" s="38">
        <f>IFERROR(IF('Сен'!$H22=TRUE,1,0),0)</f>
        <v/>
      </c>
      <c r="I270" s="38">
        <f>IF($A270=0,$I269,IF($B270=1,$I269+1,IF($P270&lt;=1,$I269,0)))</f>
        <v/>
      </c>
      <c r="J270" s="38">
        <f>IF($A270=0,$J269,IF($C270=1,$J269+1,IF($Q270&lt;=1,$J269,0)))</f>
        <v/>
      </c>
      <c r="K270" s="38">
        <f>IF($A270=0,$K269,IF($D270=1,$K269+1,IF($R270&lt;=1,$K269,0)))</f>
        <v/>
      </c>
      <c r="L270" s="38">
        <f>IF($A270=0,$L269,IF($E270=1,$L269+1,IF($S270&lt;=1,$L269,0)))</f>
        <v/>
      </c>
      <c r="M270" s="38">
        <f>IF($A270=0,$M269,IF($F270=1,$M269+1,IF($T270&lt;=1,$M269,0)))</f>
        <v/>
      </c>
      <c r="N270" s="38">
        <f>IF($A270=0,$N269,IF($G270=1,$N269+1,IF($U270&lt;=1,$N269,0)))</f>
        <v/>
      </c>
      <c r="O270" s="38">
        <f>IF($A270=0,$O269,IF($H270=1,$O269+1,IF($V270&lt;=1,$O269,0)))</f>
        <v/>
      </c>
      <c r="P270" s="38">
        <f>IF($A270=0,$P269,$P269+IF($B270=1,0,1))</f>
        <v/>
      </c>
      <c r="Q270" s="38">
        <f>IF($A270=0,$Q269,$Q269+IF($C270=1,0,1))</f>
        <v/>
      </c>
      <c r="R270" s="38">
        <f>IF($A270=0,$R269,$R269+IF($D270=1,0,1))</f>
        <v/>
      </c>
      <c r="S270" s="38">
        <f>IF($A270=0,$S269,$S269+IF($E270=1,0,1))</f>
        <v/>
      </c>
      <c r="T270" s="38">
        <f>IF($A270=0,$T269,$T269+IF($F270=1,0,1))</f>
        <v/>
      </c>
      <c r="U270" s="38">
        <f>IF($A270=0,$U269,$U269+IF($G270=1,0,1))</f>
        <v/>
      </c>
      <c r="V270" s="38">
        <f>IF($A270=0,$V269,$V269+IF($H270=1,0,1))</f>
        <v/>
      </c>
      <c r="W270" s="38">
        <f>SUM($B270:$H270)</f>
        <v/>
      </c>
      <c r="X270" s="38">
        <f>IF(AND($A270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270=1),1,0)+IF(AND($G$1=7,$C270=1),1,0)+IF(AND($H$1=7,$D270=1),1,0)+IF(AND($I$1=7,$E270=1),1,0)+IF(AND($J$1=7,$F270=1),1,0)+IF(AND($K$1=7,$G270=1),1,0)+IF(AND($L$1=7,$H270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0" s="38">
        <f>IF($B270=1,IF($F$1&lt;7,10,IF(AND($F$1=7,$I269=0,$P269&gt;1),15,IF($I269&gt;=20,15,IF($I269&gt;=6,13,10)))),0)+IF($C270=1,IF($G$1&lt;7,10,IF(AND($G$1=7,$J269=0,$Q269&gt;1),15,IF($J269&gt;=20,15,IF($J269&gt;=6,13,10)))),0)+IF($D270=1,IF($H$1&lt;7,10,IF(AND($H$1=7,$K269=0,$R269&gt;1),15,IF($K269&gt;=20,15,IF($K269&gt;=6,13,10)))),0)+IF($E270=1,IF($I$1&lt;7,10,IF(AND($I$1=7,$L269=0,$S269&gt;1),15,IF($L269&gt;=20,15,IF($L269&gt;=6,13,10)))),0)+IF($F270=1,IF($J$1&lt;7,10,IF(AND($J$1=7,$M269=0,$T269&gt;1),15,IF($M269&gt;=20,15,IF($M269&gt;=6,13,10)))),0)+IF($G270=1,IF($K$1&lt;7,10,IF(AND($K$1=7,$N269=0,$U269&gt;1),15,IF($N269&gt;=20,15,IF($N269&gt;=6,13,10)))),0)+IF($H270=1,IF($L$1&lt;7,10,IF(AND($L$1=7,$O269=0,$V269&gt;1),15,IF($O269&gt;=20,15,IF($O269&gt;=6,13,10)))),0)</f>
        <v/>
      </c>
      <c r="Z270" s="38">
        <f>$Z269+$Y270</f>
        <v/>
      </c>
      <c r="AA270" s="38">
        <f>IF(AND($B270=1,AND($F$1=7,$I269=0,$P269&gt;1)),1,0)+IF(AND($C270=1,AND($G$1=7,$J269=0,$Q269&gt;1)),1,0)+IF(AND($D270=1,AND($H$1=7,$K269=0,$R269&gt;1)),1,0)+IF(AND($E270=1,AND($I$1=7,$L269=0,$S269&gt;1)),1,0)+IF(AND($F270=1,AND($J$1=7,$M269=0,$T269&gt;1)),1,0)+IF(AND($G270=1,AND($K$1=7,$N269=0,$U269&gt;1)),1,0)+IF(AND($H270=1,AND($L$1=7,$O269=0,$V269&gt;1)),1,0)</f>
        <v/>
      </c>
      <c r="AB270" s="38">
        <f>IF(IFERROR('Сен'!$I22,"")="",0,$AB269+1)</f>
        <v/>
      </c>
    </row>
    <row r="271" spans="1:28">
      <c r="A271" s="38">
        <f>IF($B$1&gt;=DATE(2026,9,18),1,0)</f>
        <v/>
      </c>
      <c r="B271" s="38">
        <f>IFERROR(IF('Сен'!$B23=TRUE,1,0),0)</f>
        <v/>
      </c>
      <c r="C271" s="38">
        <f>IFERROR(IF('Сен'!$C23=TRUE,1,0),0)</f>
        <v/>
      </c>
      <c r="D271" s="38">
        <f>IFERROR(IF('Сен'!$D23=TRUE,1,0),0)</f>
        <v/>
      </c>
      <c r="E271" s="38">
        <f>IFERROR(IF('Сен'!$E23=TRUE,1,0),0)</f>
        <v/>
      </c>
      <c r="F271" s="38">
        <f>IFERROR(IF('Сен'!$F23=TRUE,1,0),0)</f>
        <v/>
      </c>
      <c r="G271" s="38">
        <f>IFERROR(IF('Сен'!$G23=TRUE,1,0),0)</f>
        <v/>
      </c>
      <c r="H271" s="38">
        <f>IFERROR(IF('Сен'!$H23=TRUE,1,0),0)</f>
        <v/>
      </c>
      <c r="I271" s="38">
        <f>IF($A271=0,$I270,IF($B271=1,$I270+1,IF($P271&lt;=1,$I270,0)))</f>
        <v/>
      </c>
      <c r="J271" s="38">
        <f>IF($A271=0,$J270,IF($C271=1,$J270+1,IF($Q271&lt;=1,$J270,0)))</f>
        <v/>
      </c>
      <c r="K271" s="38">
        <f>IF($A271=0,$K270,IF($D271=1,$K270+1,IF($R271&lt;=1,$K270,0)))</f>
        <v/>
      </c>
      <c r="L271" s="38">
        <f>IF($A271=0,$L270,IF($E271=1,$L270+1,IF($S271&lt;=1,$L270,0)))</f>
        <v/>
      </c>
      <c r="M271" s="38">
        <f>IF($A271=0,$M270,IF($F271=1,$M270+1,IF($T271&lt;=1,$M270,0)))</f>
        <v/>
      </c>
      <c r="N271" s="38">
        <f>IF($A271=0,$N270,IF($G271=1,$N270+1,IF($U271&lt;=1,$N270,0)))</f>
        <v/>
      </c>
      <c r="O271" s="38">
        <f>IF($A271=0,$O270,IF($H271=1,$O270+1,IF($V271&lt;=1,$O270,0)))</f>
        <v/>
      </c>
      <c r="P271" s="38">
        <f>IF($A271=0,$P270,$P270+IF($B271=1,0,1))</f>
        <v/>
      </c>
      <c r="Q271" s="38">
        <f>IF($A271=0,$Q270,$Q270+IF($C271=1,0,1))</f>
        <v/>
      </c>
      <c r="R271" s="38">
        <f>IF($A271=0,$R270,$R270+IF($D271=1,0,1))</f>
        <v/>
      </c>
      <c r="S271" s="38">
        <f>IF($A271=0,$S270,$S270+IF($E271=1,0,1))</f>
        <v/>
      </c>
      <c r="T271" s="38">
        <f>IF($A271=0,$T270,$T270+IF($F271=1,0,1))</f>
        <v/>
      </c>
      <c r="U271" s="38">
        <f>IF($A271=0,$U270,$U270+IF($G271=1,0,1))</f>
        <v/>
      </c>
      <c r="V271" s="38">
        <f>IF($A271=0,$V270,$V270+IF($H271=1,0,1))</f>
        <v/>
      </c>
      <c r="W271" s="38">
        <f>SUM($B271:$H271)</f>
        <v/>
      </c>
      <c r="X271" s="38">
        <f>IF(AND($A271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271=1),1,0)+IF(AND($G$1=7,$C271=1),1,0)+IF(AND($H$1=7,$D271=1),1,0)+IF(AND($I$1=7,$E271=1),1,0)+IF(AND($J$1=7,$F271=1),1,0)+IF(AND($K$1=7,$G271=1),1,0)+IF(AND($L$1=7,$H271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1" s="38">
        <f>IF($B271=1,IF($F$1&lt;7,10,IF(AND($F$1=7,$I270=0,$P270&gt;1),15,IF($I270&gt;=20,15,IF($I270&gt;=6,13,10)))),0)+IF($C271=1,IF($G$1&lt;7,10,IF(AND($G$1=7,$J270=0,$Q270&gt;1),15,IF($J270&gt;=20,15,IF($J270&gt;=6,13,10)))),0)+IF($D271=1,IF($H$1&lt;7,10,IF(AND($H$1=7,$K270=0,$R270&gt;1),15,IF($K270&gt;=20,15,IF($K270&gt;=6,13,10)))),0)+IF($E271=1,IF($I$1&lt;7,10,IF(AND($I$1=7,$L270=0,$S270&gt;1),15,IF($L270&gt;=20,15,IF($L270&gt;=6,13,10)))),0)+IF($F271=1,IF($J$1&lt;7,10,IF(AND($J$1=7,$M270=0,$T270&gt;1),15,IF($M270&gt;=20,15,IF($M270&gt;=6,13,10)))),0)+IF($G271=1,IF($K$1&lt;7,10,IF(AND($K$1=7,$N270=0,$U270&gt;1),15,IF($N270&gt;=20,15,IF($N270&gt;=6,13,10)))),0)+IF($H271=1,IF($L$1&lt;7,10,IF(AND($L$1=7,$O270=0,$V270&gt;1),15,IF($O270&gt;=20,15,IF($O270&gt;=6,13,10)))),0)</f>
        <v/>
      </c>
      <c r="Z271" s="38">
        <f>$Z270+$Y271</f>
        <v/>
      </c>
      <c r="AA271" s="38">
        <f>IF(AND($B271=1,AND($F$1=7,$I270=0,$P270&gt;1)),1,0)+IF(AND($C271=1,AND($G$1=7,$J270=0,$Q270&gt;1)),1,0)+IF(AND($D271=1,AND($H$1=7,$K270=0,$R270&gt;1)),1,0)+IF(AND($E271=1,AND($I$1=7,$L270=0,$S270&gt;1)),1,0)+IF(AND($F271=1,AND($J$1=7,$M270=0,$T270&gt;1)),1,0)+IF(AND($G271=1,AND($K$1=7,$N270=0,$U270&gt;1)),1,0)+IF(AND($H271=1,AND($L$1=7,$O270=0,$V270&gt;1)),1,0)</f>
        <v/>
      </c>
      <c r="AB271" s="38">
        <f>IF(IFERROR('Сен'!$I23,"")="",0,$AB270+1)</f>
        <v/>
      </c>
    </row>
    <row r="272" spans="1:28">
      <c r="A272" s="38">
        <f>IF($B$1&gt;=DATE(2026,9,19),1,0)</f>
        <v/>
      </c>
      <c r="B272" s="38">
        <f>IFERROR(IF('Сен'!$B24=TRUE,1,0),0)</f>
        <v/>
      </c>
      <c r="C272" s="38">
        <f>IFERROR(IF('Сен'!$C24=TRUE,1,0),0)</f>
        <v/>
      </c>
      <c r="D272" s="38">
        <f>IFERROR(IF('Сен'!$D24=TRUE,1,0),0)</f>
        <v/>
      </c>
      <c r="E272" s="38">
        <f>IFERROR(IF('Сен'!$E24=TRUE,1,0),0)</f>
        <v/>
      </c>
      <c r="F272" s="38">
        <f>IFERROR(IF('Сен'!$F24=TRUE,1,0),0)</f>
        <v/>
      </c>
      <c r="G272" s="38">
        <f>IFERROR(IF('Сен'!$G24=TRUE,1,0),0)</f>
        <v/>
      </c>
      <c r="H272" s="38">
        <f>IFERROR(IF('Сен'!$H24=TRUE,1,0),0)</f>
        <v/>
      </c>
      <c r="I272" s="38">
        <f>IF($A272=0,$I271,IF($B272=1,$I271+1,IF($P272&lt;=1,$I271,0)))</f>
        <v/>
      </c>
      <c r="J272" s="38">
        <f>IF($A272=0,$J271,IF($C272=1,$J271+1,IF($Q272&lt;=1,$J271,0)))</f>
        <v/>
      </c>
      <c r="K272" s="38">
        <f>IF($A272=0,$K271,IF($D272=1,$K271+1,IF($R272&lt;=1,$K271,0)))</f>
        <v/>
      </c>
      <c r="L272" s="38">
        <f>IF($A272=0,$L271,IF($E272=1,$L271+1,IF($S272&lt;=1,$L271,0)))</f>
        <v/>
      </c>
      <c r="M272" s="38">
        <f>IF($A272=0,$M271,IF($F272=1,$M271+1,IF($T272&lt;=1,$M271,0)))</f>
        <v/>
      </c>
      <c r="N272" s="38">
        <f>IF($A272=0,$N271,IF($G272=1,$N271+1,IF($U272&lt;=1,$N271,0)))</f>
        <v/>
      </c>
      <c r="O272" s="38">
        <f>IF($A272=0,$O271,IF($H272=1,$O271+1,IF($V272&lt;=1,$O271,0)))</f>
        <v/>
      </c>
      <c r="P272" s="38">
        <f>IF($A272=0,$P271,$P271+IF($B272=1,0,1))</f>
        <v/>
      </c>
      <c r="Q272" s="38">
        <f>IF($A272=0,$Q271,$Q271+IF($C272=1,0,1))</f>
        <v/>
      </c>
      <c r="R272" s="38">
        <f>IF($A272=0,$R271,$R271+IF($D272=1,0,1))</f>
        <v/>
      </c>
      <c r="S272" s="38">
        <f>IF($A272=0,$S271,$S271+IF($E272=1,0,1))</f>
        <v/>
      </c>
      <c r="T272" s="38">
        <f>IF($A272=0,$T271,$T271+IF($F272=1,0,1))</f>
        <v/>
      </c>
      <c r="U272" s="38">
        <f>IF($A272=0,$U271,$U271+IF($G272=1,0,1))</f>
        <v/>
      </c>
      <c r="V272" s="38">
        <f>IF($A272=0,$V271,$V271+IF($H272=1,0,1))</f>
        <v/>
      </c>
      <c r="W272" s="38">
        <f>SUM($B272:$H272)</f>
        <v/>
      </c>
      <c r="X272" s="38">
        <f>IF(AND($A272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272=1),1,0)+IF(AND($G$1=7,$C272=1),1,0)+IF(AND($H$1=7,$D272=1),1,0)+IF(AND($I$1=7,$E272=1),1,0)+IF(AND($J$1=7,$F272=1),1,0)+IF(AND($K$1=7,$G272=1),1,0)+IF(AND($L$1=7,$H272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2" s="38">
        <f>IF($B272=1,IF($F$1&lt;7,10,IF(AND($F$1=7,$I271=0,$P271&gt;1),15,IF($I271&gt;=20,15,IF($I271&gt;=6,13,10)))),0)+IF($C272=1,IF($G$1&lt;7,10,IF(AND($G$1=7,$J271=0,$Q271&gt;1),15,IF($J271&gt;=20,15,IF($J271&gt;=6,13,10)))),0)+IF($D272=1,IF($H$1&lt;7,10,IF(AND($H$1=7,$K271=0,$R271&gt;1),15,IF($K271&gt;=20,15,IF($K271&gt;=6,13,10)))),0)+IF($E272=1,IF($I$1&lt;7,10,IF(AND($I$1=7,$L271=0,$S271&gt;1),15,IF($L271&gt;=20,15,IF($L271&gt;=6,13,10)))),0)+IF($F272=1,IF($J$1&lt;7,10,IF(AND($J$1=7,$M271=0,$T271&gt;1),15,IF($M271&gt;=20,15,IF($M271&gt;=6,13,10)))),0)+IF($G272=1,IF($K$1&lt;7,10,IF(AND($K$1=7,$N271=0,$U271&gt;1),15,IF($N271&gt;=20,15,IF($N271&gt;=6,13,10)))),0)+IF($H272=1,IF($L$1&lt;7,10,IF(AND($L$1=7,$O271=0,$V271&gt;1),15,IF($O271&gt;=20,15,IF($O271&gt;=6,13,10)))),0)</f>
        <v/>
      </c>
      <c r="Z272" s="38">
        <f>$Z271+$Y272</f>
        <v/>
      </c>
      <c r="AA272" s="38">
        <f>IF(AND($B272=1,AND($F$1=7,$I271=0,$P271&gt;1)),1,0)+IF(AND($C272=1,AND($G$1=7,$J271=0,$Q271&gt;1)),1,0)+IF(AND($D272=1,AND($H$1=7,$K271=0,$R271&gt;1)),1,0)+IF(AND($E272=1,AND($I$1=7,$L271=0,$S271&gt;1)),1,0)+IF(AND($F272=1,AND($J$1=7,$M271=0,$T271&gt;1)),1,0)+IF(AND($G272=1,AND($K$1=7,$N271=0,$U271&gt;1)),1,0)+IF(AND($H272=1,AND($L$1=7,$O271=0,$V271&gt;1)),1,0)</f>
        <v/>
      </c>
      <c r="AB272" s="38">
        <f>IF(IFERROR('Сен'!$I24,"")="",0,$AB271+1)</f>
        <v/>
      </c>
    </row>
    <row r="273" spans="1:28">
      <c r="A273" s="38">
        <f>IF($B$1&gt;=DATE(2026,9,20),1,0)</f>
        <v/>
      </c>
      <c r="B273" s="38">
        <f>IFERROR(IF('Сен'!$B25=TRUE,1,0),0)</f>
        <v/>
      </c>
      <c r="C273" s="38">
        <f>IFERROR(IF('Сен'!$C25=TRUE,1,0),0)</f>
        <v/>
      </c>
      <c r="D273" s="38">
        <f>IFERROR(IF('Сен'!$D25=TRUE,1,0),0)</f>
        <v/>
      </c>
      <c r="E273" s="38">
        <f>IFERROR(IF('Сен'!$E25=TRUE,1,0),0)</f>
        <v/>
      </c>
      <c r="F273" s="38">
        <f>IFERROR(IF('Сен'!$F25=TRUE,1,0),0)</f>
        <v/>
      </c>
      <c r="G273" s="38">
        <f>IFERROR(IF('Сен'!$G25=TRUE,1,0),0)</f>
        <v/>
      </c>
      <c r="H273" s="38">
        <f>IFERROR(IF('Сен'!$H25=TRUE,1,0),0)</f>
        <v/>
      </c>
      <c r="I273" s="38">
        <f>IF($A273=0,$I272,IF($B273=1,$I272+1,IF($P273&lt;=1,$I272,0)))</f>
        <v/>
      </c>
      <c r="J273" s="38">
        <f>IF($A273=0,$J272,IF($C273=1,$J272+1,IF($Q273&lt;=1,$J272,0)))</f>
        <v/>
      </c>
      <c r="K273" s="38">
        <f>IF($A273=0,$K272,IF($D273=1,$K272+1,IF($R273&lt;=1,$K272,0)))</f>
        <v/>
      </c>
      <c r="L273" s="38">
        <f>IF($A273=0,$L272,IF($E273=1,$L272+1,IF($S273&lt;=1,$L272,0)))</f>
        <v/>
      </c>
      <c r="M273" s="38">
        <f>IF($A273=0,$M272,IF($F273=1,$M272+1,IF($T273&lt;=1,$M272,0)))</f>
        <v/>
      </c>
      <c r="N273" s="38">
        <f>IF($A273=0,$N272,IF($G273=1,$N272+1,IF($U273&lt;=1,$N272,0)))</f>
        <v/>
      </c>
      <c r="O273" s="38">
        <f>IF($A273=0,$O272,IF($H273=1,$O272+1,IF($V273&lt;=1,$O272,0)))</f>
        <v/>
      </c>
      <c r="P273" s="38">
        <f>IF($A273=0,$P272,$P272+IF($B273=1,0,1))</f>
        <v/>
      </c>
      <c r="Q273" s="38">
        <f>IF($A273=0,$Q272,$Q272+IF($C273=1,0,1))</f>
        <v/>
      </c>
      <c r="R273" s="38">
        <f>IF($A273=0,$R272,$R272+IF($D273=1,0,1))</f>
        <v/>
      </c>
      <c r="S273" s="38">
        <f>IF($A273=0,$S272,$S272+IF($E273=1,0,1))</f>
        <v/>
      </c>
      <c r="T273" s="38">
        <f>IF($A273=0,$T272,$T272+IF($F273=1,0,1))</f>
        <v/>
      </c>
      <c r="U273" s="38">
        <f>IF($A273=0,$U272,$U272+IF($G273=1,0,1))</f>
        <v/>
      </c>
      <c r="V273" s="38">
        <f>IF($A273=0,$V272,$V272+IF($H273=1,0,1))</f>
        <v/>
      </c>
      <c r="W273" s="38">
        <f>SUM($B273:$H273)</f>
        <v/>
      </c>
      <c r="X273" s="38">
        <f>IF(AND($A273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273=1),1,0)+IF(AND($G$1=7,$C273=1),1,0)+IF(AND($H$1=7,$D273=1),1,0)+IF(AND($I$1=7,$E273=1),1,0)+IF(AND($J$1=7,$F273=1),1,0)+IF(AND($K$1=7,$G273=1),1,0)+IF(AND($L$1=7,$H273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3" s="38">
        <f>IF($B273=1,IF($F$1&lt;7,10,IF(AND($F$1=7,$I272=0,$P272&gt;1),15,IF($I272&gt;=20,15,IF($I272&gt;=6,13,10)))),0)+IF($C273=1,IF($G$1&lt;7,10,IF(AND($G$1=7,$J272=0,$Q272&gt;1),15,IF($J272&gt;=20,15,IF($J272&gt;=6,13,10)))),0)+IF($D273=1,IF($H$1&lt;7,10,IF(AND($H$1=7,$K272=0,$R272&gt;1),15,IF($K272&gt;=20,15,IF($K272&gt;=6,13,10)))),0)+IF($E273=1,IF($I$1&lt;7,10,IF(AND($I$1=7,$L272=0,$S272&gt;1),15,IF($L272&gt;=20,15,IF($L272&gt;=6,13,10)))),0)+IF($F273=1,IF($J$1&lt;7,10,IF(AND($J$1=7,$M272=0,$T272&gt;1),15,IF($M272&gt;=20,15,IF($M272&gt;=6,13,10)))),0)+IF($G273=1,IF($K$1&lt;7,10,IF(AND($K$1=7,$N272=0,$U272&gt;1),15,IF($N272&gt;=20,15,IF($N272&gt;=6,13,10)))),0)+IF($H273=1,IF($L$1&lt;7,10,IF(AND($L$1=7,$O272=0,$V272&gt;1),15,IF($O272&gt;=20,15,IF($O272&gt;=6,13,10)))),0)</f>
        <v/>
      </c>
      <c r="Z273" s="38">
        <f>$Z272+$Y273</f>
        <v/>
      </c>
      <c r="AA273" s="38">
        <f>IF(AND($B273=1,AND($F$1=7,$I272=0,$P272&gt;1)),1,0)+IF(AND($C273=1,AND($G$1=7,$J272=0,$Q272&gt;1)),1,0)+IF(AND($D273=1,AND($H$1=7,$K272=0,$R272&gt;1)),1,0)+IF(AND($E273=1,AND($I$1=7,$L272=0,$S272&gt;1)),1,0)+IF(AND($F273=1,AND($J$1=7,$M272=0,$T272&gt;1)),1,0)+IF(AND($G273=1,AND($K$1=7,$N272=0,$U272&gt;1)),1,0)+IF(AND($H273=1,AND($L$1=7,$O272=0,$V272&gt;1)),1,0)</f>
        <v/>
      </c>
      <c r="AB273" s="38">
        <f>IF(IFERROR('Сен'!$I25,"")="",0,$AB272+1)</f>
        <v/>
      </c>
    </row>
    <row r="274" spans="1:28">
      <c r="A274" s="38">
        <f>IF($B$1&gt;=DATE(2026,9,21),1,0)</f>
        <v/>
      </c>
      <c r="B274" s="38">
        <f>IFERROR(IF('Сен'!$B26=TRUE,1,0),0)</f>
        <v/>
      </c>
      <c r="C274" s="38">
        <f>IFERROR(IF('Сен'!$C26=TRUE,1,0),0)</f>
        <v/>
      </c>
      <c r="D274" s="38">
        <f>IFERROR(IF('Сен'!$D26=TRUE,1,0),0)</f>
        <v/>
      </c>
      <c r="E274" s="38">
        <f>IFERROR(IF('Сен'!$E26=TRUE,1,0),0)</f>
        <v/>
      </c>
      <c r="F274" s="38">
        <f>IFERROR(IF('Сен'!$F26=TRUE,1,0),0)</f>
        <v/>
      </c>
      <c r="G274" s="38">
        <f>IFERROR(IF('Сен'!$G26=TRUE,1,0),0)</f>
        <v/>
      </c>
      <c r="H274" s="38">
        <f>IFERROR(IF('Сен'!$H26=TRUE,1,0),0)</f>
        <v/>
      </c>
      <c r="I274" s="38">
        <f>IF($A274=0,$I273,IF($B274=1,$I273+1,IF($P274&lt;=1,$I273,0)))</f>
        <v/>
      </c>
      <c r="J274" s="38">
        <f>IF($A274=0,$J273,IF($C274=1,$J273+1,IF($Q274&lt;=1,$J273,0)))</f>
        <v/>
      </c>
      <c r="K274" s="38">
        <f>IF($A274=0,$K273,IF($D274=1,$K273+1,IF($R274&lt;=1,$K273,0)))</f>
        <v/>
      </c>
      <c r="L274" s="38">
        <f>IF($A274=0,$L273,IF($E274=1,$L273+1,IF($S274&lt;=1,$L273,0)))</f>
        <v/>
      </c>
      <c r="M274" s="38">
        <f>IF($A274=0,$M273,IF($F274=1,$M273+1,IF($T274&lt;=1,$M273,0)))</f>
        <v/>
      </c>
      <c r="N274" s="38">
        <f>IF($A274=0,$N273,IF($G274=1,$N273+1,IF($U274&lt;=1,$N273,0)))</f>
        <v/>
      </c>
      <c r="O274" s="38">
        <f>IF($A274=0,$O273,IF($H274=1,$O273+1,IF($V274&lt;=1,$O273,0)))</f>
        <v/>
      </c>
      <c r="P274" s="38">
        <f>IF($A274=0,$P273,$P273+IF($B274=1,0,1))</f>
        <v/>
      </c>
      <c r="Q274" s="38">
        <f>IF($A274=0,$Q273,$Q273+IF($C274=1,0,1))</f>
        <v/>
      </c>
      <c r="R274" s="38">
        <f>IF($A274=0,$R273,$R273+IF($D274=1,0,1))</f>
        <v/>
      </c>
      <c r="S274" s="38">
        <f>IF($A274=0,$S273,$S273+IF($E274=1,0,1))</f>
        <v/>
      </c>
      <c r="T274" s="38">
        <f>IF($A274=0,$T273,$T273+IF($F274=1,0,1))</f>
        <v/>
      </c>
      <c r="U274" s="38">
        <f>IF($A274=0,$U273,$U273+IF($G274=1,0,1))</f>
        <v/>
      </c>
      <c r="V274" s="38">
        <f>IF($A274=0,$V273,$V273+IF($H274=1,0,1))</f>
        <v/>
      </c>
      <c r="W274" s="38">
        <f>SUM($B274:$H274)</f>
        <v/>
      </c>
      <c r="X274" s="38">
        <f>IF(AND($A274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274=1),1,0)+IF(AND($G$1=7,$C274=1),1,0)+IF(AND($H$1=7,$D274=1),1,0)+IF(AND($I$1=7,$E274=1),1,0)+IF(AND($J$1=7,$F274=1),1,0)+IF(AND($K$1=7,$G274=1),1,0)+IF(AND($L$1=7,$H274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4" s="38">
        <f>IF($B274=1,IF($F$1&lt;7,10,IF(AND($F$1=7,$I273=0,$P273&gt;1),15,IF($I273&gt;=20,15,IF($I273&gt;=6,13,10)))),0)+IF($C274=1,IF($G$1&lt;7,10,IF(AND($G$1=7,$J273=0,$Q273&gt;1),15,IF($J273&gt;=20,15,IF($J273&gt;=6,13,10)))),0)+IF($D274=1,IF($H$1&lt;7,10,IF(AND($H$1=7,$K273=0,$R273&gt;1),15,IF($K273&gt;=20,15,IF($K273&gt;=6,13,10)))),0)+IF($E274=1,IF($I$1&lt;7,10,IF(AND($I$1=7,$L273=0,$S273&gt;1),15,IF($L273&gt;=20,15,IF($L273&gt;=6,13,10)))),0)+IF($F274=1,IF($J$1&lt;7,10,IF(AND($J$1=7,$M273=0,$T273&gt;1),15,IF($M273&gt;=20,15,IF($M273&gt;=6,13,10)))),0)+IF($G274=1,IF($K$1&lt;7,10,IF(AND($K$1=7,$N273=0,$U273&gt;1),15,IF($N273&gt;=20,15,IF($N273&gt;=6,13,10)))),0)+IF($H274=1,IF($L$1&lt;7,10,IF(AND($L$1=7,$O273=0,$V273&gt;1),15,IF($O273&gt;=20,15,IF($O273&gt;=6,13,10)))),0)</f>
        <v/>
      </c>
      <c r="Z274" s="38">
        <f>$Z273+$Y274</f>
        <v/>
      </c>
      <c r="AA274" s="38">
        <f>IF(AND($B274=1,AND($F$1=7,$I273=0,$P273&gt;1)),1,0)+IF(AND($C274=1,AND($G$1=7,$J273=0,$Q273&gt;1)),1,0)+IF(AND($D274=1,AND($H$1=7,$K273=0,$R273&gt;1)),1,0)+IF(AND($E274=1,AND($I$1=7,$L273=0,$S273&gt;1)),1,0)+IF(AND($F274=1,AND($J$1=7,$M273=0,$T273&gt;1)),1,0)+IF(AND($G274=1,AND($K$1=7,$N273=0,$U273&gt;1)),1,0)+IF(AND($H274=1,AND($L$1=7,$O273=0,$V273&gt;1)),1,0)</f>
        <v/>
      </c>
      <c r="AB274" s="38">
        <f>IF(IFERROR('Сен'!$I26,"")="",0,$AB273+1)</f>
        <v/>
      </c>
    </row>
    <row r="275" spans="1:28">
      <c r="A275" s="38">
        <f>IF($B$1&gt;=DATE(2026,9,22),1,0)</f>
        <v/>
      </c>
      <c r="B275" s="38">
        <f>IFERROR(IF('Сен'!$B27=TRUE,1,0),0)</f>
        <v/>
      </c>
      <c r="C275" s="38">
        <f>IFERROR(IF('Сен'!$C27=TRUE,1,0),0)</f>
        <v/>
      </c>
      <c r="D275" s="38">
        <f>IFERROR(IF('Сен'!$D27=TRUE,1,0),0)</f>
        <v/>
      </c>
      <c r="E275" s="38">
        <f>IFERROR(IF('Сен'!$E27=TRUE,1,0),0)</f>
        <v/>
      </c>
      <c r="F275" s="38">
        <f>IFERROR(IF('Сен'!$F27=TRUE,1,0),0)</f>
        <v/>
      </c>
      <c r="G275" s="38">
        <f>IFERROR(IF('Сен'!$G27=TRUE,1,0),0)</f>
        <v/>
      </c>
      <c r="H275" s="38">
        <f>IFERROR(IF('Сен'!$H27=TRUE,1,0),0)</f>
        <v/>
      </c>
      <c r="I275" s="38">
        <f>IF($A275=0,$I274,IF($B275=1,$I274+1,IF($P275&lt;=1,$I274,0)))</f>
        <v/>
      </c>
      <c r="J275" s="38">
        <f>IF($A275=0,$J274,IF($C275=1,$J274+1,IF($Q275&lt;=1,$J274,0)))</f>
        <v/>
      </c>
      <c r="K275" s="38">
        <f>IF($A275=0,$K274,IF($D275=1,$K274+1,IF($R275&lt;=1,$K274,0)))</f>
        <v/>
      </c>
      <c r="L275" s="38">
        <f>IF($A275=0,$L274,IF($E275=1,$L274+1,IF($S275&lt;=1,$L274,0)))</f>
        <v/>
      </c>
      <c r="M275" s="38">
        <f>IF($A275=0,$M274,IF($F275=1,$M274+1,IF($T275&lt;=1,$M274,0)))</f>
        <v/>
      </c>
      <c r="N275" s="38">
        <f>IF($A275=0,$N274,IF($G275=1,$N274+1,IF($U275&lt;=1,$N274,0)))</f>
        <v/>
      </c>
      <c r="O275" s="38">
        <f>IF($A275=0,$O274,IF($H275=1,$O274+1,IF($V275&lt;=1,$O274,0)))</f>
        <v/>
      </c>
      <c r="P275" s="38">
        <f>IF($A275=0,$P274,$P274+IF($B275=1,0,1))</f>
        <v/>
      </c>
      <c r="Q275" s="38">
        <f>IF($A275=0,$Q274,$Q274+IF($C275=1,0,1))</f>
        <v/>
      </c>
      <c r="R275" s="38">
        <f>IF($A275=0,$R274,$R274+IF($D275=1,0,1))</f>
        <v/>
      </c>
      <c r="S275" s="38">
        <f>IF($A275=0,$S274,$S274+IF($E275=1,0,1))</f>
        <v/>
      </c>
      <c r="T275" s="38">
        <f>IF($A275=0,$T274,$T274+IF($F275=1,0,1))</f>
        <v/>
      </c>
      <c r="U275" s="38">
        <f>IF($A275=0,$U274,$U274+IF($G275=1,0,1))</f>
        <v/>
      </c>
      <c r="V275" s="38">
        <f>IF($A275=0,$V274,$V274+IF($H275=1,0,1))</f>
        <v/>
      </c>
      <c r="W275" s="38">
        <f>SUM($B275:$H275)</f>
        <v/>
      </c>
      <c r="X275" s="38">
        <f>IF(AND($A275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275=1),1,0)+IF(AND($G$1=7,$C275=1),1,0)+IF(AND($H$1=7,$D275=1),1,0)+IF(AND($I$1=7,$E275=1),1,0)+IF(AND($J$1=7,$F275=1),1,0)+IF(AND($K$1=7,$G275=1),1,0)+IF(AND($L$1=7,$H275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5" s="38">
        <f>IF($B275=1,IF($F$1&lt;7,10,IF(AND($F$1=7,$I274=0,$P274&gt;1),15,IF($I274&gt;=20,15,IF($I274&gt;=6,13,10)))),0)+IF($C275=1,IF($G$1&lt;7,10,IF(AND($G$1=7,$J274=0,$Q274&gt;1),15,IF($J274&gt;=20,15,IF($J274&gt;=6,13,10)))),0)+IF($D275=1,IF($H$1&lt;7,10,IF(AND($H$1=7,$K274=0,$R274&gt;1),15,IF($K274&gt;=20,15,IF($K274&gt;=6,13,10)))),0)+IF($E275=1,IF($I$1&lt;7,10,IF(AND($I$1=7,$L274=0,$S274&gt;1),15,IF($L274&gt;=20,15,IF($L274&gt;=6,13,10)))),0)+IF($F275=1,IF($J$1&lt;7,10,IF(AND($J$1=7,$M274=0,$T274&gt;1),15,IF($M274&gt;=20,15,IF($M274&gt;=6,13,10)))),0)+IF($G275=1,IF($K$1&lt;7,10,IF(AND($K$1=7,$N274=0,$U274&gt;1),15,IF($N274&gt;=20,15,IF($N274&gt;=6,13,10)))),0)+IF($H275=1,IF($L$1&lt;7,10,IF(AND($L$1=7,$O274=0,$V274&gt;1),15,IF($O274&gt;=20,15,IF($O274&gt;=6,13,10)))),0)</f>
        <v/>
      </c>
      <c r="Z275" s="38">
        <f>$Z274+$Y275</f>
        <v/>
      </c>
      <c r="AA275" s="38">
        <f>IF(AND($B275=1,AND($F$1=7,$I274=0,$P274&gt;1)),1,0)+IF(AND($C275=1,AND($G$1=7,$J274=0,$Q274&gt;1)),1,0)+IF(AND($D275=1,AND($H$1=7,$K274=0,$R274&gt;1)),1,0)+IF(AND($E275=1,AND($I$1=7,$L274=0,$S274&gt;1)),1,0)+IF(AND($F275=1,AND($J$1=7,$M274=0,$T274&gt;1)),1,0)+IF(AND($G275=1,AND($K$1=7,$N274=0,$U274&gt;1)),1,0)+IF(AND($H275=1,AND($L$1=7,$O274=0,$V274&gt;1)),1,0)</f>
        <v/>
      </c>
      <c r="AB275" s="38">
        <f>IF(IFERROR('Сен'!$I27,"")="",0,$AB274+1)</f>
        <v/>
      </c>
    </row>
    <row r="276" spans="1:28">
      <c r="A276" s="38">
        <f>IF($B$1&gt;=DATE(2026,9,23),1,0)</f>
        <v/>
      </c>
      <c r="B276" s="38">
        <f>IFERROR(IF('Сен'!$B28=TRUE,1,0),0)</f>
        <v/>
      </c>
      <c r="C276" s="38">
        <f>IFERROR(IF('Сен'!$C28=TRUE,1,0),0)</f>
        <v/>
      </c>
      <c r="D276" s="38">
        <f>IFERROR(IF('Сен'!$D28=TRUE,1,0),0)</f>
        <v/>
      </c>
      <c r="E276" s="38">
        <f>IFERROR(IF('Сен'!$E28=TRUE,1,0),0)</f>
        <v/>
      </c>
      <c r="F276" s="38">
        <f>IFERROR(IF('Сен'!$F28=TRUE,1,0),0)</f>
        <v/>
      </c>
      <c r="G276" s="38">
        <f>IFERROR(IF('Сен'!$G28=TRUE,1,0),0)</f>
        <v/>
      </c>
      <c r="H276" s="38">
        <f>IFERROR(IF('Сен'!$H28=TRUE,1,0),0)</f>
        <v/>
      </c>
      <c r="I276" s="38">
        <f>IF($A276=0,$I275,IF($B276=1,$I275+1,IF($P276&lt;=1,$I275,0)))</f>
        <v/>
      </c>
      <c r="J276" s="38">
        <f>IF($A276=0,$J275,IF($C276=1,$J275+1,IF($Q276&lt;=1,$J275,0)))</f>
        <v/>
      </c>
      <c r="K276" s="38">
        <f>IF($A276=0,$K275,IF($D276=1,$K275+1,IF($R276&lt;=1,$K275,0)))</f>
        <v/>
      </c>
      <c r="L276" s="38">
        <f>IF($A276=0,$L275,IF($E276=1,$L275+1,IF($S276&lt;=1,$L275,0)))</f>
        <v/>
      </c>
      <c r="M276" s="38">
        <f>IF($A276=0,$M275,IF($F276=1,$M275+1,IF($T276&lt;=1,$M275,0)))</f>
        <v/>
      </c>
      <c r="N276" s="38">
        <f>IF($A276=0,$N275,IF($G276=1,$N275+1,IF($U276&lt;=1,$N275,0)))</f>
        <v/>
      </c>
      <c r="O276" s="38">
        <f>IF($A276=0,$O275,IF($H276=1,$O275+1,IF($V276&lt;=1,$O275,0)))</f>
        <v/>
      </c>
      <c r="P276" s="38">
        <f>IF($A276=0,$P275,$P275+IF($B276=1,0,1))</f>
        <v/>
      </c>
      <c r="Q276" s="38">
        <f>IF($A276=0,$Q275,$Q275+IF($C276=1,0,1))</f>
        <v/>
      </c>
      <c r="R276" s="38">
        <f>IF($A276=0,$R275,$R275+IF($D276=1,0,1))</f>
        <v/>
      </c>
      <c r="S276" s="38">
        <f>IF($A276=0,$S275,$S275+IF($E276=1,0,1))</f>
        <v/>
      </c>
      <c r="T276" s="38">
        <f>IF($A276=0,$T275,$T275+IF($F276=1,0,1))</f>
        <v/>
      </c>
      <c r="U276" s="38">
        <f>IF($A276=0,$U275,$U275+IF($G276=1,0,1))</f>
        <v/>
      </c>
      <c r="V276" s="38">
        <f>IF($A276=0,$V275,$V275+IF($H276=1,0,1))</f>
        <v/>
      </c>
      <c r="W276" s="38">
        <f>SUM($B276:$H276)</f>
        <v/>
      </c>
      <c r="X276" s="38">
        <f>IF(AND($A276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276=1),1,0)+IF(AND($G$1=7,$C276=1),1,0)+IF(AND($H$1=7,$D276=1),1,0)+IF(AND($I$1=7,$E276=1),1,0)+IF(AND($J$1=7,$F276=1),1,0)+IF(AND($K$1=7,$G276=1),1,0)+IF(AND($L$1=7,$H276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6" s="38">
        <f>IF($B276=1,IF($F$1&lt;7,10,IF(AND($F$1=7,$I275=0,$P275&gt;1),15,IF($I275&gt;=20,15,IF($I275&gt;=6,13,10)))),0)+IF($C276=1,IF($G$1&lt;7,10,IF(AND($G$1=7,$J275=0,$Q275&gt;1),15,IF($J275&gt;=20,15,IF($J275&gt;=6,13,10)))),0)+IF($D276=1,IF($H$1&lt;7,10,IF(AND($H$1=7,$K275=0,$R275&gt;1),15,IF($K275&gt;=20,15,IF($K275&gt;=6,13,10)))),0)+IF($E276=1,IF($I$1&lt;7,10,IF(AND($I$1=7,$L275=0,$S275&gt;1),15,IF($L275&gt;=20,15,IF($L275&gt;=6,13,10)))),0)+IF($F276=1,IF($J$1&lt;7,10,IF(AND($J$1=7,$M275=0,$T275&gt;1),15,IF($M275&gt;=20,15,IF($M275&gt;=6,13,10)))),0)+IF($G276=1,IF($K$1&lt;7,10,IF(AND($K$1=7,$N275=0,$U275&gt;1),15,IF($N275&gt;=20,15,IF($N275&gt;=6,13,10)))),0)+IF($H276=1,IF($L$1&lt;7,10,IF(AND($L$1=7,$O275=0,$V275&gt;1),15,IF($O275&gt;=20,15,IF($O275&gt;=6,13,10)))),0)</f>
        <v/>
      </c>
      <c r="Z276" s="38">
        <f>$Z275+$Y276</f>
        <v/>
      </c>
      <c r="AA276" s="38">
        <f>IF(AND($B276=1,AND($F$1=7,$I275=0,$P275&gt;1)),1,0)+IF(AND($C276=1,AND($G$1=7,$J275=0,$Q275&gt;1)),1,0)+IF(AND($D276=1,AND($H$1=7,$K275=0,$R275&gt;1)),1,0)+IF(AND($E276=1,AND($I$1=7,$L275=0,$S275&gt;1)),1,0)+IF(AND($F276=1,AND($J$1=7,$M275=0,$T275&gt;1)),1,0)+IF(AND($G276=1,AND($K$1=7,$N275=0,$U275&gt;1)),1,0)+IF(AND($H276=1,AND($L$1=7,$O275=0,$V275&gt;1)),1,0)</f>
        <v/>
      </c>
      <c r="AB276" s="38">
        <f>IF(IFERROR('Сен'!$I28,"")="",0,$AB275+1)</f>
        <v/>
      </c>
    </row>
    <row r="277" spans="1:28">
      <c r="A277" s="38">
        <f>IF($B$1&gt;=DATE(2026,9,24),1,0)</f>
        <v/>
      </c>
      <c r="B277" s="38">
        <f>IFERROR(IF('Сен'!$B29=TRUE,1,0),0)</f>
        <v/>
      </c>
      <c r="C277" s="38">
        <f>IFERROR(IF('Сен'!$C29=TRUE,1,0),0)</f>
        <v/>
      </c>
      <c r="D277" s="38">
        <f>IFERROR(IF('Сен'!$D29=TRUE,1,0),0)</f>
        <v/>
      </c>
      <c r="E277" s="38">
        <f>IFERROR(IF('Сен'!$E29=TRUE,1,0),0)</f>
        <v/>
      </c>
      <c r="F277" s="38">
        <f>IFERROR(IF('Сен'!$F29=TRUE,1,0),0)</f>
        <v/>
      </c>
      <c r="G277" s="38">
        <f>IFERROR(IF('Сен'!$G29=TRUE,1,0),0)</f>
        <v/>
      </c>
      <c r="H277" s="38">
        <f>IFERROR(IF('Сен'!$H29=TRUE,1,0),0)</f>
        <v/>
      </c>
      <c r="I277" s="38">
        <f>IF($A277=0,$I276,IF($B277=1,$I276+1,IF($P277&lt;=1,$I276,0)))</f>
        <v/>
      </c>
      <c r="J277" s="38">
        <f>IF($A277=0,$J276,IF($C277=1,$J276+1,IF($Q277&lt;=1,$J276,0)))</f>
        <v/>
      </c>
      <c r="K277" s="38">
        <f>IF($A277=0,$K276,IF($D277=1,$K276+1,IF($R277&lt;=1,$K276,0)))</f>
        <v/>
      </c>
      <c r="L277" s="38">
        <f>IF($A277=0,$L276,IF($E277=1,$L276+1,IF($S277&lt;=1,$L276,0)))</f>
        <v/>
      </c>
      <c r="M277" s="38">
        <f>IF($A277=0,$M276,IF($F277=1,$M276+1,IF($T277&lt;=1,$M276,0)))</f>
        <v/>
      </c>
      <c r="N277" s="38">
        <f>IF($A277=0,$N276,IF($G277=1,$N276+1,IF($U277&lt;=1,$N276,0)))</f>
        <v/>
      </c>
      <c r="O277" s="38">
        <f>IF($A277=0,$O276,IF($H277=1,$O276+1,IF($V277&lt;=1,$O276,0)))</f>
        <v/>
      </c>
      <c r="P277" s="38">
        <f>IF($A277=0,$P276,$P276+IF($B277=1,0,1))</f>
        <v/>
      </c>
      <c r="Q277" s="38">
        <f>IF($A277=0,$Q276,$Q276+IF($C277=1,0,1))</f>
        <v/>
      </c>
      <c r="R277" s="38">
        <f>IF($A277=0,$R276,$R276+IF($D277=1,0,1))</f>
        <v/>
      </c>
      <c r="S277" s="38">
        <f>IF($A277=0,$S276,$S276+IF($E277=1,0,1))</f>
        <v/>
      </c>
      <c r="T277" s="38">
        <f>IF($A277=0,$T276,$T276+IF($F277=1,0,1))</f>
        <v/>
      </c>
      <c r="U277" s="38">
        <f>IF($A277=0,$U276,$U276+IF($G277=1,0,1))</f>
        <v/>
      </c>
      <c r="V277" s="38">
        <f>IF($A277=0,$V276,$V276+IF($H277=1,0,1))</f>
        <v/>
      </c>
      <c r="W277" s="38">
        <f>SUM($B277:$H277)</f>
        <v/>
      </c>
      <c r="X277" s="38">
        <f>IF(AND($A277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277=1),1,0)+IF(AND($G$1=7,$C277=1),1,0)+IF(AND($H$1=7,$D277=1),1,0)+IF(AND($I$1=7,$E277=1),1,0)+IF(AND($J$1=7,$F277=1),1,0)+IF(AND($K$1=7,$G277=1),1,0)+IF(AND($L$1=7,$H277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7" s="38">
        <f>IF($B277=1,IF($F$1&lt;7,10,IF(AND($F$1=7,$I276=0,$P276&gt;1),15,IF($I276&gt;=20,15,IF($I276&gt;=6,13,10)))),0)+IF($C277=1,IF($G$1&lt;7,10,IF(AND($G$1=7,$J276=0,$Q276&gt;1),15,IF($J276&gt;=20,15,IF($J276&gt;=6,13,10)))),0)+IF($D277=1,IF($H$1&lt;7,10,IF(AND($H$1=7,$K276=0,$R276&gt;1),15,IF($K276&gt;=20,15,IF($K276&gt;=6,13,10)))),0)+IF($E277=1,IF($I$1&lt;7,10,IF(AND($I$1=7,$L276=0,$S276&gt;1),15,IF($L276&gt;=20,15,IF($L276&gt;=6,13,10)))),0)+IF($F277=1,IF($J$1&lt;7,10,IF(AND($J$1=7,$M276=0,$T276&gt;1),15,IF($M276&gt;=20,15,IF($M276&gt;=6,13,10)))),0)+IF($G277=1,IF($K$1&lt;7,10,IF(AND($K$1=7,$N276=0,$U276&gt;1),15,IF($N276&gt;=20,15,IF($N276&gt;=6,13,10)))),0)+IF($H277=1,IF($L$1&lt;7,10,IF(AND($L$1=7,$O276=0,$V276&gt;1),15,IF($O276&gt;=20,15,IF($O276&gt;=6,13,10)))),0)</f>
        <v/>
      </c>
      <c r="Z277" s="38">
        <f>$Z276+$Y277</f>
        <v/>
      </c>
      <c r="AA277" s="38">
        <f>IF(AND($B277=1,AND($F$1=7,$I276=0,$P276&gt;1)),1,0)+IF(AND($C277=1,AND($G$1=7,$J276=0,$Q276&gt;1)),1,0)+IF(AND($D277=1,AND($H$1=7,$K276=0,$R276&gt;1)),1,0)+IF(AND($E277=1,AND($I$1=7,$L276=0,$S276&gt;1)),1,0)+IF(AND($F277=1,AND($J$1=7,$M276=0,$T276&gt;1)),1,0)+IF(AND($G277=1,AND($K$1=7,$N276=0,$U276&gt;1)),1,0)+IF(AND($H277=1,AND($L$1=7,$O276=0,$V276&gt;1)),1,0)</f>
        <v/>
      </c>
      <c r="AB277" s="38">
        <f>IF(IFERROR('Сен'!$I29,"")="",0,$AB276+1)</f>
        <v/>
      </c>
    </row>
    <row r="278" spans="1:28">
      <c r="A278" s="38">
        <f>IF($B$1&gt;=DATE(2026,9,25),1,0)</f>
        <v/>
      </c>
      <c r="B278" s="38">
        <f>IFERROR(IF('Сен'!$B30=TRUE,1,0),0)</f>
        <v/>
      </c>
      <c r="C278" s="38">
        <f>IFERROR(IF('Сен'!$C30=TRUE,1,0),0)</f>
        <v/>
      </c>
      <c r="D278" s="38">
        <f>IFERROR(IF('Сен'!$D30=TRUE,1,0),0)</f>
        <v/>
      </c>
      <c r="E278" s="38">
        <f>IFERROR(IF('Сен'!$E30=TRUE,1,0),0)</f>
        <v/>
      </c>
      <c r="F278" s="38">
        <f>IFERROR(IF('Сен'!$F30=TRUE,1,0),0)</f>
        <v/>
      </c>
      <c r="G278" s="38">
        <f>IFERROR(IF('Сен'!$G30=TRUE,1,0),0)</f>
        <v/>
      </c>
      <c r="H278" s="38">
        <f>IFERROR(IF('Сен'!$H30=TRUE,1,0),0)</f>
        <v/>
      </c>
      <c r="I278" s="38">
        <f>IF($A278=0,$I277,IF($B278=1,$I277+1,IF($P278&lt;=1,$I277,0)))</f>
        <v/>
      </c>
      <c r="J278" s="38">
        <f>IF($A278=0,$J277,IF($C278=1,$J277+1,IF($Q278&lt;=1,$J277,0)))</f>
        <v/>
      </c>
      <c r="K278" s="38">
        <f>IF($A278=0,$K277,IF($D278=1,$K277+1,IF($R278&lt;=1,$K277,0)))</f>
        <v/>
      </c>
      <c r="L278" s="38">
        <f>IF($A278=0,$L277,IF($E278=1,$L277+1,IF($S278&lt;=1,$L277,0)))</f>
        <v/>
      </c>
      <c r="M278" s="38">
        <f>IF($A278=0,$M277,IF($F278=1,$M277+1,IF($T278&lt;=1,$M277,0)))</f>
        <v/>
      </c>
      <c r="N278" s="38">
        <f>IF($A278=0,$N277,IF($G278=1,$N277+1,IF($U278&lt;=1,$N277,0)))</f>
        <v/>
      </c>
      <c r="O278" s="38">
        <f>IF($A278=0,$O277,IF($H278=1,$O277+1,IF($V278&lt;=1,$O277,0)))</f>
        <v/>
      </c>
      <c r="P278" s="38">
        <f>IF($A278=0,$P277,$P277+IF($B278=1,0,1))</f>
        <v/>
      </c>
      <c r="Q278" s="38">
        <f>IF($A278=0,$Q277,$Q277+IF($C278=1,0,1))</f>
        <v/>
      </c>
      <c r="R278" s="38">
        <f>IF($A278=0,$R277,$R277+IF($D278=1,0,1))</f>
        <v/>
      </c>
      <c r="S278" s="38">
        <f>IF($A278=0,$S277,$S277+IF($E278=1,0,1))</f>
        <v/>
      </c>
      <c r="T278" s="38">
        <f>IF($A278=0,$T277,$T277+IF($F278=1,0,1))</f>
        <v/>
      </c>
      <c r="U278" s="38">
        <f>IF($A278=0,$U277,$U277+IF($G278=1,0,1))</f>
        <v/>
      </c>
      <c r="V278" s="38">
        <f>IF($A278=0,$V277,$V277+IF($H278=1,0,1))</f>
        <v/>
      </c>
      <c r="W278" s="38">
        <f>SUM($B278:$H278)</f>
        <v/>
      </c>
      <c r="X278" s="38">
        <f>IF(AND($A278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278=1),1,0)+IF(AND($G$1=7,$C278=1),1,0)+IF(AND($H$1=7,$D278=1),1,0)+IF(AND($I$1=7,$E278=1),1,0)+IF(AND($J$1=7,$F278=1),1,0)+IF(AND($K$1=7,$G278=1),1,0)+IF(AND($L$1=7,$H278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8" s="38">
        <f>IF($B278=1,IF($F$1&lt;7,10,IF(AND($F$1=7,$I277=0,$P277&gt;1),15,IF($I277&gt;=20,15,IF($I277&gt;=6,13,10)))),0)+IF($C278=1,IF($G$1&lt;7,10,IF(AND($G$1=7,$J277=0,$Q277&gt;1),15,IF($J277&gt;=20,15,IF($J277&gt;=6,13,10)))),0)+IF($D278=1,IF($H$1&lt;7,10,IF(AND($H$1=7,$K277=0,$R277&gt;1),15,IF($K277&gt;=20,15,IF($K277&gt;=6,13,10)))),0)+IF($E278=1,IF($I$1&lt;7,10,IF(AND($I$1=7,$L277=0,$S277&gt;1),15,IF($L277&gt;=20,15,IF($L277&gt;=6,13,10)))),0)+IF($F278=1,IF($J$1&lt;7,10,IF(AND($J$1=7,$M277=0,$T277&gt;1),15,IF($M277&gt;=20,15,IF($M277&gt;=6,13,10)))),0)+IF($G278=1,IF($K$1&lt;7,10,IF(AND($K$1=7,$N277=0,$U277&gt;1),15,IF($N277&gt;=20,15,IF($N277&gt;=6,13,10)))),0)+IF($H278=1,IF($L$1&lt;7,10,IF(AND($L$1=7,$O277=0,$V277&gt;1),15,IF($O277&gt;=20,15,IF($O277&gt;=6,13,10)))),0)</f>
        <v/>
      </c>
      <c r="Z278" s="38">
        <f>$Z277+$Y278</f>
        <v/>
      </c>
      <c r="AA278" s="38">
        <f>IF(AND($B278=1,AND($F$1=7,$I277=0,$P277&gt;1)),1,0)+IF(AND($C278=1,AND($G$1=7,$J277=0,$Q277&gt;1)),1,0)+IF(AND($D278=1,AND($H$1=7,$K277=0,$R277&gt;1)),1,0)+IF(AND($E278=1,AND($I$1=7,$L277=0,$S277&gt;1)),1,0)+IF(AND($F278=1,AND($J$1=7,$M277=0,$T277&gt;1)),1,0)+IF(AND($G278=1,AND($K$1=7,$N277=0,$U277&gt;1)),1,0)+IF(AND($H278=1,AND($L$1=7,$O277=0,$V277&gt;1)),1,0)</f>
        <v/>
      </c>
      <c r="AB278" s="38">
        <f>IF(IFERROR('Сен'!$I30,"")="",0,$AB277+1)</f>
        <v/>
      </c>
    </row>
    <row r="279" spans="1:28">
      <c r="A279" s="38">
        <f>IF($B$1&gt;=DATE(2026,9,26),1,0)</f>
        <v/>
      </c>
      <c r="B279" s="38">
        <f>IFERROR(IF('Сен'!$B31=TRUE,1,0),0)</f>
        <v/>
      </c>
      <c r="C279" s="38">
        <f>IFERROR(IF('Сен'!$C31=TRUE,1,0),0)</f>
        <v/>
      </c>
      <c r="D279" s="38">
        <f>IFERROR(IF('Сен'!$D31=TRUE,1,0),0)</f>
        <v/>
      </c>
      <c r="E279" s="38">
        <f>IFERROR(IF('Сен'!$E31=TRUE,1,0),0)</f>
        <v/>
      </c>
      <c r="F279" s="38">
        <f>IFERROR(IF('Сен'!$F31=TRUE,1,0),0)</f>
        <v/>
      </c>
      <c r="G279" s="38">
        <f>IFERROR(IF('Сен'!$G31=TRUE,1,0),0)</f>
        <v/>
      </c>
      <c r="H279" s="38">
        <f>IFERROR(IF('Сен'!$H31=TRUE,1,0),0)</f>
        <v/>
      </c>
      <c r="I279" s="38">
        <f>IF($A279=0,$I278,IF($B279=1,$I278+1,IF($P279&lt;=1,$I278,0)))</f>
        <v/>
      </c>
      <c r="J279" s="38">
        <f>IF($A279=0,$J278,IF($C279=1,$J278+1,IF($Q279&lt;=1,$J278,0)))</f>
        <v/>
      </c>
      <c r="K279" s="38">
        <f>IF($A279=0,$K278,IF($D279=1,$K278+1,IF($R279&lt;=1,$K278,0)))</f>
        <v/>
      </c>
      <c r="L279" s="38">
        <f>IF($A279=0,$L278,IF($E279=1,$L278+1,IF($S279&lt;=1,$L278,0)))</f>
        <v/>
      </c>
      <c r="M279" s="38">
        <f>IF($A279=0,$M278,IF($F279=1,$M278+1,IF($T279&lt;=1,$M278,0)))</f>
        <v/>
      </c>
      <c r="N279" s="38">
        <f>IF($A279=0,$N278,IF($G279=1,$N278+1,IF($U279&lt;=1,$N278,0)))</f>
        <v/>
      </c>
      <c r="O279" s="38">
        <f>IF($A279=0,$O278,IF($H279=1,$O278+1,IF($V279&lt;=1,$O278,0)))</f>
        <v/>
      </c>
      <c r="P279" s="38">
        <f>IF($A279=0,$P278,$P278+IF($B279=1,0,1))</f>
        <v/>
      </c>
      <c r="Q279" s="38">
        <f>IF($A279=0,$Q278,$Q278+IF($C279=1,0,1))</f>
        <v/>
      </c>
      <c r="R279" s="38">
        <f>IF($A279=0,$R278,$R278+IF($D279=1,0,1))</f>
        <v/>
      </c>
      <c r="S279" s="38">
        <f>IF($A279=0,$S278,$S278+IF($E279=1,0,1))</f>
        <v/>
      </c>
      <c r="T279" s="38">
        <f>IF($A279=0,$T278,$T278+IF($F279=1,0,1))</f>
        <v/>
      </c>
      <c r="U279" s="38">
        <f>IF($A279=0,$U278,$U278+IF($G279=1,0,1))</f>
        <v/>
      </c>
      <c r="V279" s="38">
        <f>IF($A279=0,$V278,$V278+IF($H279=1,0,1))</f>
        <v/>
      </c>
      <c r="W279" s="38">
        <f>SUM($B279:$H279)</f>
        <v/>
      </c>
      <c r="X279" s="38">
        <f>IF(AND($A279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279=1),1,0)+IF(AND($G$1=7,$C279=1),1,0)+IF(AND($H$1=7,$D279=1),1,0)+IF(AND($I$1=7,$E279=1),1,0)+IF(AND($J$1=7,$F279=1),1,0)+IF(AND($K$1=7,$G279=1),1,0)+IF(AND($L$1=7,$H279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9" s="38">
        <f>IF($B279=1,IF($F$1&lt;7,10,IF(AND($F$1=7,$I278=0,$P278&gt;1),15,IF($I278&gt;=20,15,IF($I278&gt;=6,13,10)))),0)+IF($C279=1,IF($G$1&lt;7,10,IF(AND($G$1=7,$J278=0,$Q278&gt;1),15,IF($J278&gt;=20,15,IF($J278&gt;=6,13,10)))),0)+IF($D279=1,IF($H$1&lt;7,10,IF(AND($H$1=7,$K278=0,$R278&gt;1),15,IF($K278&gt;=20,15,IF($K278&gt;=6,13,10)))),0)+IF($E279=1,IF($I$1&lt;7,10,IF(AND($I$1=7,$L278=0,$S278&gt;1),15,IF($L278&gt;=20,15,IF($L278&gt;=6,13,10)))),0)+IF($F279=1,IF($J$1&lt;7,10,IF(AND($J$1=7,$M278=0,$T278&gt;1),15,IF($M278&gt;=20,15,IF($M278&gt;=6,13,10)))),0)+IF($G279=1,IF($K$1&lt;7,10,IF(AND($K$1=7,$N278=0,$U278&gt;1),15,IF($N278&gt;=20,15,IF($N278&gt;=6,13,10)))),0)+IF($H279=1,IF($L$1&lt;7,10,IF(AND($L$1=7,$O278=0,$V278&gt;1),15,IF($O278&gt;=20,15,IF($O278&gt;=6,13,10)))),0)</f>
        <v/>
      </c>
      <c r="Z279" s="38">
        <f>$Z278+$Y279</f>
        <v/>
      </c>
      <c r="AA279" s="38">
        <f>IF(AND($B279=1,AND($F$1=7,$I278=0,$P278&gt;1)),1,0)+IF(AND($C279=1,AND($G$1=7,$J278=0,$Q278&gt;1)),1,0)+IF(AND($D279=1,AND($H$1=7,$K278=0,$R278&gt;1)),1,0)+IF(AND($E279=1,AND($I$1=7,$L278=0,$S278&gt;1)),1,0)+IF(AND($F279=1,AND($J$1=7,$M278=0,$T278&gt;1)),1,0)+IF(AND($G279=1,AND($K$1=7,$N278=0,$U278&gt;1)),1,0)+IF(AND($H279=1,AND($L$1=7,$O278=0,$V278&gt;1)),1,0)</f>
        <v/>
      </c>
      <c r="AB279" s="38">
        <f>IF(IFERROR('Сен'!$I31,"")="",0,$AB278+1)</f>
        <v/>
      </c>
    </row>
    <row r="280" spans="1:28">
      <c r="A280" s="38">
        <f>IF($B$1&gt;=DATE(2026,9,27),1,0)</f>
        <v/>
      </c>
      <c r="B280" s="38">
        <f>IFERROR(IF('Сен'!$B32=TRUE,1,0),0)</f>
        <v/>
      </c>
      <c r="C280" s="38">
        <f>IFERROR(IF('Сен'!$C32=TRUE,1,0),0)</f>
        <v/>
      </c>
      <c r="D280" s="38">
        <f>IFERROR(IF('Сен'!$D32=TRUE,1,0),0)</f>
        <v/>
      </c>
      <c r="E280" s="38">
        <f>IFERROR(IF('Сен'!$E32=TRUE,1,0),0)</f>
        <v/>
      </c>
      <c r="F280" s="38">
        <f>IFERROR(IF('Сен'!$F32=TRUE,1,0),0)</f>
        <v/>
      </c>
      <c r="G280" s="38">
        <f>IFERROR(IF('Сен'!$G32=TRUE,1,0),0)</f>
        <v/>
      </c>
      <c r="H280" s="38">
        <f>IFERROR(IF('Сен'!$H32=TRUE,1,0),0)</f>
        <v/>
      </c>
      <c r="I280" s="38">
        <f>IF($A280=0,$I279,IF($B280=1,$I279+1,IF($P280&lt;=1,$I279,0)))</f>
        <v/>
      </c>
      <c r="J280" s="38">
        <f>IF($A280=0,$J279,IF($C280=1,$J279+1,IF($Q280&lt;=1,$J279,0)))</f>
        <v/>
      </c>
      <c r="K280" s="38">
        <f>IF($A280=0,$K279,IF($D280=1,$K279+1,IF($R280&lt;=1,$K279,0)))</f>
        <v/>
      </c>
      <c r="L280" s="38">
        <f>IF($A280=0,$L279,IF($E280=1,$L279+1,IF($S280&lt;=1,$L279,0)))</f>
        <v/>
      </c>
      <c r="M280" s="38">
        <f>IF($A280=0,$M279,IF($F280=1,$M279+1,IF($T280&lt;=1,$M279,0)))</f>
        <v/>
      </c>
      <c r="N280" s="38">
        <f>IF($A280=0,$N279,IF($G280=1,$N279+1,IF($U280&lt;=1,$N279,0)))</f>
        <v/>
      </c>
      <c r="O280" s="38">
        <f>IF($A280=0,$O279,IF($H280=1,$O279+1,IF($V280&lt;=1,$O279,0)))</f>
        <v/>
      </c>
      <c r="P280" s="38">
        <f>IF($A280=0,$P279,$P279+IF($B280=1,0,1))</f>
        <v/>
      </c>
      <c r="Q280" s="38">
        <f>IF($A280=0,$Q279,$Q279+IF($C280=1,0,1))</f>
        <v/>
      </c>
      <c r="R280" s="38">
        <f>IF($A280=0,$R279,$R279+IF($D280=1,0,1))</f>
        <v/>
      </c>
      <c r="S280" s="38">
        <f>IF($A280=0,$S279,$S279+IF($E280=1,0,1))</f>
        <v/>
      </c>
      <c r="T280" s="38">
        <f>IF($A280=0,$T279,$T279+IF($F280=1,0,1))</f>
        <v/>
      </c>
      <c r="U280" s="38">
        <f>IF($A280=0,$U279,$U279+IF($G280=1,0,1))</f>
        <v/>
      </c>
      <c r="V280" s="38">
        <f>IF($A280=0,$V279,$V279+IF($H280=1,0,1))</f>
        <v/>
      </c>
      <c r="W280" s="38">
        <f>SUM($B280:$H280)</f>
        <v/>
      </c>
      <c r="X280" s="38">
        <f>IF(AND($A280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280=1),1,0)+IF(AND($G$1=7,$C280=1),1,0)+IF(AND($H$1=7,$D280=1),1,0)+IF(AND($I$1=7,$E280=1),1,0)+IF(AND($J$1=7,$F280=1),1,0)+IF(AND($K$1=7,$G280=1),1,0)+IF(AND($L$1=7,$H280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0" s="38">
        <f>IF($B280=1,IF($F$1&lt;7,10,IF(AND($F$1=7,$I279=0,$P279&gt;1),15,IF($I279&gt;=20,15,IF($I279&gt;=6,13,10)))),0)+IF($C280=1,IF($G$1&lt;7,10,IF(AND($G$1=7,$J279=0,$Q279&gt;1),15,IF($J279&gt;=20,15,IF($J279&gt;=6,13,10)))),0)+IF($D280=1,IF($H$1&lt;7,10,IF(AND($H$1=7,$K279=0,$R279&gt;1),15,IF($K279&gt;=20,15,IF($K279&gt;=6,13,10)))),0)+IF($E280=1,IF($I$1&lt;7,10,IF(AND($I$1=7,$L279=0,$S279&gt;1),15,IF($L279&gt;=20,15,IF($L279&gt;=6,13,10)))),0)+IF($F280=1,IF($J$1&lt;7,10,IF(AND($J$1=7,$M279=0,$T279&gt;1),15,IF($M279&gt;=20,15,IF($M279&gt;=6,13,10)))),0)+IF($G280=1,IF($K$1&lt;7,10,IF(AND($K$1=7,$N279=0,$U279&gt;1),15,IF($N279&gt;=20,15,IF($N279&gt;=6,13,10)))),0)+IF($H280=1,IF($L$1&lt;7,10,IF(AND($L$1=7,$O279=0,$V279&gt;1),15,IF($O279&gt;=20,15,IF($O279&gt;=6,13,10)))),0)</f>
        <v/>
      </c>
      <c r="Z280" s="38">
        <f>$Z279+$Y280</f>
        <v/>
      </c>
      <c r="AA280" s="38">
        <f>IF(AND($B280=1,AND($F$1=7,$I279=0,$P279&gt;1)),1,0)+IF(AND($C280=1,AND($G$1=7,$J279=0,$Q279&gt;1)),1,0)+IF(AND($D280=1,AND($H$1=7,$K279=0,$R279&gt;1)),1,0)+IF(AND($E280=1,AND($I$1=7,$L279=0,$S279&gt;1)),1,0)+IF(AND($F280=1,AND($J$1=7,$M279=0,$T279&gt;1)),1,0)+IF(AND($G280=1,AND($K$1=7,$N279=0,$U279&gt;1)),1,0)+IF(AND($H280=1,AND($L$1=7,$O279=0,$V279&gt;1)),1,0)</f>
        <v/>
      </c>
      <c r="AB280" s="38">
        <f>IF(IFERROR('Сен'!$I32,"")="",0,$AB279+1)</f>
        <v/>
      </c>
    </row>
    <row r="281" spans="1:28">
      <c r="A281" s="38">
        <f>IF($B$1&gt;=DATE(2026,9,28),1,0)</f>
        <v/>
      </c>
      <c r="B281" s="38">
        <f>IFERROR(IF('Сен'!$B33=TRUE,1,0),0)</f>
        <v/>
      </c>
      <c r="C281" s="38">
        <f>IFERROR(IF('Сен'!$C33=TRUE,1,0),0)</f>
        <v/>
      </c>
      <c r="D281" s="38">
        <f>IFERROR(IF('Сен'!$D33=TRUE,1,0),0)</f>
        <v/>
      </c>
      <c r="E281" s="38">
        <f>IFERROR(IF('Сен'!$E33=TRUE,1,0),0)</f>
        <v/>
      </c>
      <c r="F281" s="38">
        <f>IFERROR(IF('Сен'!$F33=TRUE,1,0),0)</f>
        <v/>
      </c>
      <c r="G281" s="38">
        <f>IFERROR(IF('Сен'!$G33=TRUE,1,0),0)</f>
        <v/>
      </c>
      <c r="H281" s="38">
        <f>IFERROR(IF('Сен'!$H33=TRUE,1,0),0)</f>
        <v/>
      </c>
      <c r="I281" s="38">
        <f>IF($A281=0,$I280,IF($B281=1,$I280+1,IF($P281&lt;=1,$I280,0)))</f>
        <v/>
      </c>
      <c r="J281" s="38">
        <f>IF($A281=0,$J280,IF($C281=1,$J280+1,IF($Q281&lt;=1,$J280,0)))</f>
        <v/>
      </c>
      <c r="K281" s="38">
        <f>IF($A281=0,$K280,IF($D281=1,$K280+1,IF($R281&lt;=1,$K280,0)))</f>
        <v/>
      </c>
      <c r="L281" s="38">
        <f>IF($A281=0,$L280,IF($E281=1,$L280+1,IF($S281&lt;=1,$L280,0)))</f>
        <v/>
      </c>
      <c r="M281" s="38">
        <f>IF($A281=0,$M280,IF($F281=1,$M280+1,IF($T281&lt;=1,$M280,0)))</f>
        <v/>
      </c>
      <c r="N281" s="38">
        <f>IF($A281=0,$N280,IF($G281=1,$N280+1,IF($U281&lt;=1,$N280,0)))</f>
        <v/>
      </c>
      <c r="O281" s="38">
        <f>IF($A281=0,$O280,IF($H281=1,$O280+1,IF($V281&lt;=1,$O280,0)))</f>
        <v/>
      </c>
      <c r="P281" s="38">
        <f>IF($A281=0,$P280,$P280+IF($B281=1,0,1))</f>
        <v/>
      </c>
      <c r="Q281" s="38">
        <f>IF($A281=0,$Q280,$Q280+IF($C281=1,0,1))</f>
        <v/>
      </c>
      <c r="R281" s="38">
        <f>IF($A281=0,$R280,$R280+IF($D281=1,0,1))</f>
        <v/>
      </c>
      <c r="S281" s="38">
        <f>IF($A281=0,$S280,$S280+IF($E281=1,0,1))</f>
        <v/>
      </c>
      <c r="T281" s="38">
        <f>IF($A281=0,$T280,$T280+IF($F281=1,0,1))</f>
        <v/>
      </c>
      <c r="U281" s="38">
        <f>IF($A281=0,$U280,$U280+IF($G281=1,0,1))</f>
        <v/>
      </c>
      <c r="V281" s="38">
        <f>IF($A281=0,$V280,$V280+IF($H281=1,0,1))</f>
        <v/>
      </c>
      <c r="W281" s="38">
        <f>SUM($B281:$H281)</f>
        <v/>
      </c>
      <c r="X281" s="38">
        <f>IF(AND($A281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281=1),1,0)+IF(AND($G$1=7,$C281=1),1,0)+IF(AND($H$1=7,$D281=1),1,0)+IF(AND($I$1=7,$E281=1),1,0)+IF(AND($J$1=7,$F281=1),1,0)+IF(AND($K$1=7,$G281=1),1,0)+IF(AND($L$1=7,$H281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1" s="38">
        <f>IF($B281=1,IF($F$1&lt;7,10,IF(AND($F$1=7,$I280=0,$P280&gt;1),15,IF($I280&gt;=20,15,IF($I280&gt;=6,13,10)))),0)+IF($C281=1,IF($G$1&lt;7,10,IF(AND($G$1=7,$J280=0,$Q280&gt;1),15,IF($J280&gt;=20,15,IF($J280&gt;=6,13,10)))),0)+IF($D281=1,IF($H$1&lt;7,10,IF(AND($H$1=7,$K280=0,$R280&gt;1),15,IF($K280&gt;=20,15,IF($K280&gt;=6,13,10)))),0)+IF($E281=1,IF($I$1&lt;7,10,IF(AND($I$1=7,$L280=0,$S280&gt;1),15,IF($L280&gt;=20,15,IF($L280&gt;=6,13,10)))),0)+IF($F281=1,IF($J$1&lt;7,10,IF(AND($J$1=7,$M280=0,$T280&gt;1),15,IF($M280&gt;=20,15,IF($M280&gt;=6,13,10)))),0)+IF($G281=1,IF($K$1&lt;7,10,IF(AND($K$1=7,$N280=0,$U280&gt;1),15,IF($N280&gt;=20,15,IF($N280&gt;=6,13,10)))),0)+IF($H281=1,IF($L$1&lt;7,10,IF(AND($L$1=7,$O280=0,$V280&gt;1),15,IF($O280&gt;=20,15,IF($O280&gt;=6,13,10)))),0)</f>
        <v/>
      </c>
      <c r="Z281" s="38">
        <f>$Z280+$Y281</f>
        <v/>
      </c>
      <c r="AA281" s="38">
        <f>IF(AND($B281=1,AND($F$1=7,$I280=0,$P280&gt;1)),1,0)+IF(AND($C281=1,AND($G$1=7,$J280=0,$Q280&gt;1)),1,0)+IF(AND($D281=1,AND($H$1=7,$K280=0,$R280&gt;1)),1,0)+IF(AND($E281=1,AND($I$1=7,$L280=0,$S280&gt;1)),1,0)+IF(AND($F281=1,AND($J$1=7,$M280=0,$T280&gt;1)),1,0)+IF(AND($G281=1,AND($K$1=7,$N280=0,$U280&gt;1)),1,0)+IF(AND($H281=1,AND($L$1=7,$O280=0,$V280&gt;1)),1,0)</f>
        <v/>
      </c>
      <c r="AB281" s="38">
        <f>IF(IFERROR('Сен'!$I33,"")="",0,$AB280+1)</f>
        <v/>
      </c>
    </row>
    <row r="282" spans="1:28">
      <c r="A282" s="38">
        <f>IF($B$1&gt;=DATE(2026,9,29),1,0)</f>
        <v/>
      </c>
      <c r="B282" s="38">
        <f>IFERROR(IF('Сен'!$B34=TRUE,1,0),0)</f>
        <v/>
      </c>
      <c r="C282" s="38">
        <f>IFERROR(IF('Сен'!$C34=TRUE,1,0),0)</f>
        <v/>
      </c>
      <c r="D282" s="38">
        <f>IFERROR(IF('Сен'!$D34=TRUE,1,0),0)</f>
        <v/>
      </c>
      <c r="E282" s="38">
        <f>IFERROR(IF('Сен'!$E34=TRUE,1,0),0)</f>
        <v/>
      </c>
      <c r="F282" s="38">
        <f>IFERROR(IF('Сен'!$F34=TRUE,1,0),0)</f>
        <v/>
      </c>
      <c r="G282" s="38">
        <f>IFERROR(IF('Сен'!$G34=TRUE,1,0),0)</f>
        <v/>
      </c>
      <c r="H282" s="38">
        <f>IFERROR(IF('Сен'!$H34=TRUE,1,0),0)</f>
        <v/>
      </c>
      <c r="I282" s="38">
        <f>IF($A282=0,$I281,IF($B282=1,$I281+1,IF($P282&lt;=1,$I281,0)))</f>
        <v/>
      </c>
      <c r="J282" s="38">
        <f>IF($A282=0,$J281,IF($C282=1,$J281+1,IF($Q282&lt;=1,$J281,0)))</f>
        <v/>
      </c>
      <c r="K282" s="38">
        <f>IF($A282=0,$K281,IF($D282=1,$K281+1,IF($R282&lt;=1,$K281,0)))</f>
        <v/>
      </c>
      <c r="L282" s="38">
        <f>IF($A282=0,$L281,IF($E282=1,$L281+1,IF($S282&lt;=1,$L281,0)))</f>
        <v/>
      </c>
      <c r="M282" s="38">
        <f>IF($A282=0,$M281,IF($F282=1,$M281+1,IF($T282&lt;=1,$M281,0)))</f>
        <v/>
      </c>
      <c r="N282" s="38">
        <f>IF($A282=0,$N281,IF($G282=1,$N281+1,IF($U282&lt;=1,$N281,0)))</f>
        <v/>
      </c>
      <c r="O282" s="38">
        <f>IF($A282=0,$O281,IF($H282=1,$O281+1,IF($V282&lt;=1,$O281,0)))</f>
        <v/>
      </c>
      <c r="P282" s="38">
        <f>IF($A282=0,$P281,$P281+IF($B282=1,0,1))</f>
        <v/>
      </c>
      <c r="Q282" s="38">
        <f>IF($A282=0,$Q281,$Q281+IF($C282=1,0,1))</f>
        <v/>
      </c>
      <c r="R282" s="38">
        <f>IF($A282=0,$R281,$R281+IF($D282=1,0,1))</f>
        <v/>
      </c>
      <c r="S282" s="38">
        <f>IF($A282=0,$S281,$S281+IF($E282=1,0,1))</f>
        <v/>
      </c>
      <c r="T282" s="38">
        <f>IF($A282=0,$T281,$T281+IF($F282=1,0,1))</f>
        <v/>
      </c>
      <c r="U282" s="38">
        <f>IF($A282=0,$U281,$U281+IF($G282=1,0,1))</f>
        <v/>
      </c>
      <c r="V282" s="38">
        <f>IF($A282=0,$V281,$V281+IF($H282=1,0,1))</f>
        <v/>
      </c>
      <c r="W282" s="38">
        <f>SUM($B282:$H282)</f>
        <v/>
      </c>
      <c r="X282" s="38">
        <f>IF(AND($A282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282=1),1,0)+IF(AND($G$1=7,$C282=1),1,0)+IF(AND($H$1=7,$D282=1),1,0)+IF(AND($I$1=7,$E282=1),1,0)+IF(AND($J$1=7,$F282=1),1,0)+IF(AND($K$1=7,$G282=1),1,0)+IF(AND($L$1=7,$H282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2" s="38">
        <f>IF($B282=1,IF($F$1&lt;7,10,IF(AND($F$1=7,$I281=0,$P281&gt;1),15,IF($I281&gt;=20,15,IF($I281&gt;=6,13,10)))),0)+IF($C282=1,IF($G$1&lt;7,10,IF(AND($G$1=7,$J281=0,$Q281&gt;1),15,IF($J281&gt;=20,15,IF($J281&gt;=6,13,10)))),0)+IF($D282=1,IF($H$1&lt;7,10,IF(AND($H$1=7,$K281=0,$R281&gt;1),15,IF($K281&gt;=20,15,IF($K281&gt;=6,13,10)))),0)+IF($E282=1,IF($I$1&lt;7,10,IF(AND($I$1=7,$L281=0,$S281&gt;1),15,IF($L281&gt;=20,15,IF($L281&gt;=6,13,10)))),0)+IF($F282=1,IF($J$1&lt;7,10,IF(AND($J$1=7,$M281=0,$T281&gt;1),15,IF($M281&gt;=20,15,IF($M281&gt;=6,13,10)))),0)+IF($G282=1,IF($K$1&lt;7,10,IF(AND($K$1=7,$N281=0,$U281&gt;1),15,IF($N281&gt;=20,15,IF($N281&gt;=6,13,10)))),0)+IF($H282=1,IF($L$1&lt;7,10,IF(AND($L$1=7,$O281=0,$V281&gt;1),15,IF($O281&gt;=20,15,IF($O281&gt;=6,13,10)))),0)</f>
        <v/>
      </c>
      <c r="Z282" s="38">
        <f>$Z281+$Y282</f>
        <v/>
      </c>
      <c r="AA282" s="38">
        <f>IF(AND($B282=1,AND($F$1=7,$I281=0,$P281&gt;1)),1,0)+IF(AND($C282=1,AND($G$1=7,$J281=0,$Q281&gt;1)),1,0)+IF(AND($D282=1,AND($H$1=7,$K281=0,$R281&gt;1)),1,0)+IF(AND($E282=1,AND($I$1=7,$L281=0,$S281&gt;1)),1,0)+IF(AND($F282=1,AND($J$1=7,$M281=0,$T281&gt;1)),1,0)+IF(AND($G282=1,AND($K$1=7,$N281=0,$U281&gt;1)),1,0)+IF(AND($H282=1,AND($L$1=7,$O281=0,$V281&gt;1)),1,0)</f>
        <v/>
      </c>
      <c r="AB282" s="38">
        <f>IF(IFERROR('Сен'!$I34,"")="",0,$AB281+1)</f>
        <v/>
      </c>
    </row>
    <row r="283" spans="1:28">
      <c r="A283" s="38">
        <f>IF($B$1&gt;=DATE(2026,9,30),1,0)</f>
        <v/>
      </c>
      <c r="B283" s="38">
        <f>IFERROR(IF('Сен'!$B35=TRUE,1,0),0)</f>
        <v/>
      </c>
      <c r="C283" s="38">
        <f>IFERROR(IF('Сен'!$C35=TRUE,1,0),0)</f>
        <v/>
      </c>
      <c r="D283" s="38">
        <f>IFERROR(IF('Сен'!$D35=TRUE,1,0),0)</f>
        <v/>
      </c>
      <c r="E283" s="38">
        <f>IFERROR(IF('Сен'!$E35=TRUE,1,0),0)</f>
        <v/>
      </c>
      <c r="F283" s="38">
        <f>IFERROR(IF('Сен'!$F35=TRUE,1,0),0)</f>
        <v/>
      </c>
      <c r="G283" s="38">
        <f>IFERROR(IF('Сен'!$G35=TRUE,1,0),0)</f>
        <v/>
      </c>
      <c r="H283" s="38">
        <f>IFERROR(IF('Сен'!$H35=TRUE,1,0),0)</f>
        <v/>
      </c>
      <c r="I283" s="38">
        <f>IF($A283=0,$I282,IF($B283=1,$I282+1,IF($P283&lt;=1,$I282,0)))</f>
        <v/>
      </c>
      <c r="J283" s="38">
        <f>IF($A283=0,$J282,IF($C283=1,$J282+1,IF($Q283&lt;=1,$J282,0)))</f>
        <v/>
      </c>
      <c r="K283" s="38">
        <f>IF($A283=0,$K282,IF($D283=1,$K282+1,IF($R283&lt;=1,$K282,0)))</f>
        <v/>
      </c>
      <c r="L283" s="38">
        <f>IF($A283=0,$L282,IF($E283=1,$L282+1,IF($S283&lt;=1,$L282,0)))</f>
        <v/>
      </c>
      <c r="M283" s="38">
        <f>IF($A283=0,$M282,IF($F283=1,$M282+1,IF($T283&lt;=1,$M282,0)))</f>
        <v/>
      </c>
      <c r="N283" s="38">
        <f>IF($A283=0,$N282,IF($G283=1,$N282+1,IF($U283&lt;=1,$N282,0)))</f>
        <v/>
      </c>
      <c r="O283" s="38">
        <f>IF($A283=0,$O282,IF($H283=1,$O282+1,IF($V283&lt;=1,$O282,0)))</f>
        <v/>
      </c>
      <c r="P283" s="38">
        <f>IF($A283=0,$P282,$P282+IF($B283=1,0,1))</f>
        <v/>
      </c>
      <c r="Q283" s="38">
        <f>IF($A283=0,$Q282,$Q282+IF($C283=1,0,1))</f>
        <v/>
      </c>
      <c r="R283" s="38">
        <f>IF($A283=0,$R282,$R282+IF($D283=1,0,1))</f>
        <v/>
      </c>
      <c r="S283" s="38">
        <f>IF($A283=0,$S282,$S282+IF($E283=1,0,1))</f>
        <v/>
      </c>
      <c r="T283" s="38">
        <f>IF($A283=0,$T282,$T282+IF($F283=1,0,1))</f>
        <v/>
      </c>
      <c r="U283" s="38">
        <f>IF($A283=0,$U282,$U282+IF($G283=1,0,1))</f>
        <v/>
      </c>
      <c r="V283" s="38">
        <f>IF($A283=0,$V282,$V282+IF($H283=1,0,1))</f>
        <v/>
      </c>
      <c r="W283" s="38">
        <f>SUM($B283:$H283)</f>
        <v/>
      </c>
      <c r="X283" s="38">
        <f>IF(AND($A283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283=1),1,0)+IF(AND($G$1=7,$C283=1),1,0)+IF(AND($H$1=7,$D283=1),1,0)+IF(AND($I$1=7,$E283=1),1,0)+IF(AND($J$1=7,$F283=1),1,0)+IF(AND($K$1=7,$G283=1),1,0)+IF(AND($L$1=7,$H283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3" s="38">
        <f>IF($B283=1,IF($F$1&lt;7,10,IF(AND($F$1=7,$I282=0,$P282&gt;1),15,IF($I282&gt;=20,15,IF($I282&gt;=6,13,10)))),0)+IF($C283=1,IF($G$1&lt;7,10,IF(AND($G$1=7,$J282=0,$Q282&gt;1),15,IF($J282&gt;=20,15,IF($J282&gt;=6,13,10)))),0)+IF($D283=1,IF($H$1&lt;7,10,IF(AND($H$1=7,$K282=0,$R282&gt;1),15,IF($K282&gt;=20,15,IF($K282&gt;=6,13,10)))),0)+IF($E283=1,IF($I$1&lt;7,10,IF(AND($I$1=7,$L282=0,$S282&gt;1),15,IF($L282&gt;=20,15,IF($L282&gt;=6,13,10)))),0)+IF($F283=1,IF($J$1&lt;7,10,IF(AND($J$1=7,$M282=0,$T282&gt;1),15,IF($M282&gt;=20,15,IF($M282&gt;=6,13,10)))),0)+IF($G283=1,IF($K$1&lt;7,10,IF(AND($K$1=7,$N282=0,$U282&gt;1),15,IF($N282&gt;=20,15,IF($N282&gt;=6,13,10)))),0)+IF($H283=1,IF($L$1&lt;7,10,IF(AND($L$1=7,$O282=0,$V282&gt;1),15,IF($O282&gt;=20,15,IF($O282&gt;=6,13,10)))),0)</f>
        <v/>
      </c>
      <c r="Z283" s="38">
        <f>$Z282+$Y283</f>
        <v/>
      </c>
      <c r="AA283" s="38">
        <f>IF(AND($B283=1,AND($F$1=7,$I282=0,$P282&gt;1)),1,0)+IF(AND($C283=1,AND($G$1=7,$J282=0,$Q282&gt;1)),1,0)+IF(AND($D283=1,AND($H$1=7,$K282=0,$R282&gt;1)),1,0)+IF(AND($E283=1,AND($I$1=7,$L282=0,$S282&gt;1)),1,0)+IF(AND($F283=1,AND($J$1=7,$M282=0,$T282&gt;1)),1,0)+IF(AND($G283=1,AND($K$1=7,$N282=0,$U282&gt;1)),1,0)+IF(AND($H283=1,AND($L$1=7,$O282=0,$V282&gt;1)),1,0)</f>
        <v/>
      </c>
      <c r="AB283" s="38">
        <f>IF(IFERROR('Сен'!$I35,"")="",0,$AB282+1)</f>
        <v/>
      </c>
    </row>
    <row r="284" spans="1:28">
      <c r="A284" s="38">
        <f>IF($B$1&gt;=DATE(2026,10,1),1,0)</f>
        <v/>
      </c>
      <c r="B284" s="38">
        <f>IFERROR(IF('Окт'!$B6=TRUE,1,0),0)</f>
        <v/>
      </c>
      <c r="C284" s="38">
        <f>IFERROR(IF('Окт'!$C6=TRUE,1,0),0)</f>
        <v/>
      </c>
      <c r="D284" s="38">
        <f>IFERROR(IF('Окт'!$D6=TRUE,1,0),0)</f>
        <v/>
      </c>
      <c r="E284" s="38">
        <f>IFERROR(IF('Окт'!$E6=TRUE,1,0),0)</f>
        <v/>
      </c>
      <c r="F284" s="38">
        <f>IFERROR(IF('Окт'!$F6=TRUE,1,0),0)</f>
        <v/>
      </c>
      <c r="G284" s="38">
        <f>IFERROR(IF('Окт'!$G6=TRUE,1,0),0)</f>
        <v/>
      </c>
      <c r="H284" s="38">
        <f>IFERROR(IF('Окт'!$H6=TRUE,1,0),0)</f>
        <v/>
      </c>
      <c r="I284" s="38">
        <f>IF($A284=0,$I283,IF($B284=1,$I283+1,IF($P284&lt;=1,$I283,0)))</f>
        <v/>
      </c>
      <c r="J284" s="38">
        <f>IF($A284=0,$J283,IF($C284=1,$J283+1,IF($Q284&lt;=1,$J283,0)))</f>
        <v/>
      </c>
      <c r="K284" s="38">
        <f>IF($A284=0,$K283,IF($D284=1,$K283+1,IF($R284&lt;=1,$K283,0)))</f>
        <v/>
      </c>
      <c r="L284" s="38">
        <f>IF($A284=0,$L283,IF($E284=1,$L283+1,IF($S284&lt;=1,$L283,0)))</f>
        <v/>
      </c>
      <c r="M284" s="38">
        <f>IF($A284=0,$M283,IF($F284=1,$M283+1,IF($T284&lt;=1,$M283,0)))</f>
        <v/>
      </c>
      <c r="N284" s="38">
        <f>IF($A284=0,$N283,IF($G284=1,$N283+1,IF($U284&lt;=1,$N283,0)))</f>
        <v/>
      </c>
      <c r="O284" s="38">
        <f>IF($A284=0,$O283,IF($H284=1,$O283+1,IF($V284&lt;=1,$O283,0)))</f>
        <v/>
      </c>
      <c r="P284" s="38">
        <f>IF($A284=0,0,0+IF($B284=1,0,1))</f>
        <v/>
      </c>
      <c r="Q284" s="38">
        <f>IF($A284=0,0,0+IF($C284=1,0,1))</f>
        <v/>
      </c>
      <c r="R284" s="38">
        <f>IF($A284=0,0,0+IF($D284=1,0,1))</f>
        <v/>
      </c>
      <c r="S284" s="38">
        <f>IF($A284=0,0,0+IF($E284=1,0,1))</f>
        <v/>
      </c>
      <c r="T284" s="38">
        <f>IF($A284=0,0,0+IF($F284=1,0,1))</f>
        <v/>
      </c>
      <c r="U284" s="38">
        <f>IF($A284=0,0,0+IF($G284=1,0,1))</f>
        <v/>
      </c>
      <c r="V284" s="38">
        <f>IF($A284=0,0,0+IF($H284=1,0,1))</f>
        <v/>
      </c>
      <c r="W284" s="38">
        <f>SUM($B284:$H284)</f>
        <v/>
      </c>
      <c r="X284" s="38">
        <f>IF(AND($A284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284=1),1,0)+IF(AND($G$1=7,$C284=1),1,0)+IF(AND($H$1=7,$D284=1),1,0)+IF(AND($I$1=7,$E284=1),1,0)+IF(AND($J$1=7,$F284=1),1,0)+IF(AND($K$1=7,$G284=1),1,0)+IF(AND($L$1=7,$H284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4" s="38">
        <f>IF($B284=1,IF($F$1&lt;7,10,IF(AND($F$1=7,$I283=0,0&gt;1),15,IF($I283&gt;=20,15,IF($I283&gt;=6,13,10)))),0)+IF($C284=1,IF($G$1&lt;7,10,IF(AND($G$1=7,$J283=0,0&gt;1),15,IF($J283&gt;=20,15,IF($J283&gt;=6,13,10)))),0)+IF($D284=1,IF($H$1&lt;7,10,IF(AND($H$1=7,$K283=0,0&gt;1),15,IF($K283&gt;=20,15,IF($K283&gt;=6,13,10)))),0)+IF($E284=1,IF($I$1&lt;7,10,IF(AND($I$1=7,$L283=0,0&gt;1),15,IF($L283&gt;=20,15,IF($L283&gt;=6,13,10)))),0)+IF($F284=1,IF($J$1&lt;7,10,IF(AND($J$1=7,$M283=0,0&gt;1),15,IF($M283&gt;=20,15,IF($M283&gt;=6,13,10)))),0)+IF($G284=1,IF($K$1&lt;7,10,IF(AND($K$1=7,$N283=0,0&gt;1),15,IF($N283&gt;=20,15,IF($N283&gt;=6,13,10)))),0)+IF($H284=1,IF($L$1&lt;7,10,IF(AND($L$1=7,$O283=0,0&gt;1),15,IF($O283&gt;=20,15,IF($O283&gt;=6,13,10)))),0)</f>
        <v/>
      </c>
      <c r="Z284" s="38">
        <f>$Z283+$Y284</f>
        <v/>
      </c>
      <c r="AA284" s="38">
        <f>IF(AND($B284=1,AND($F$1=7,$I283=0,0&gt;1)),1,0)+IF(AND($C284=1,AND($G$1=7,$J283=0,0&gt;1)),1,0)+IF(AND($D284=1,AND($H$1=7,$K283=0,0&gt;1)),1,0)+IF(AND($E284=1,AND($I$1=7,$L283=0,0&gt;1)),1,0)+IF(AND($F284=1,AND($J$1=7,$M283=0,0&gt;1)),1,0)+IF(AND($G284=1,AND($K$1=7,$N283=0,0&gt;1)),1,0)+IF(AND($H284=1,AND($L$1=7,$O283=0,0&gt;1)),1,0)</f>
        <v/>
      </c>
      <c r="AB284" s="38">
        <f>IF(IFERROR('Окт'!$I6,"")="",0,$AB283+1)</f>
        <v/>
      </c>
    </row>
    <row r="285" spans="1:28">
      <c r="A285" s="38">
        <f>IF($B$1&gt;=DATE(2026,10,2),1,0)</f>
        <v/>
      </c>
      <c r="B285" s="38">
        <f>IFERROR(IF('Окт'!$B7=TRUE,1,0),0)</f>
        <v/>
      </c>
      <c r="C285" s="38">
        <f>IFERROR(IF('Окт'!$C7=TRUE,1,0),0)</f>
        <v/>
      </c>
      <c r="D285" s="38">
        <f>IFERROR(IF('Окт'!$D7=TRUE,1,0),0)</f>
        <v/>
      </c>
      <c r="E285" s="38">
        <f>IFERROR(IF('Окт'!$E7=TRUE,1,0),0)</f>
        <v/>
      </c>
      <c r="F285" s="38">
        <f>IFERROR(IF('Окт'!$F7=TRUE,1,0),0)</f>
        <v/>
      </c>
      <c r="G285" s="38">
        <f>IFERROR(IF('Окт'!$G7=TRUE,1,0),0)</f>
        <v/>
      </c>
      <c r="H285" s="38">
        <f>IFERROR(IF('Окт'!$H7=TRUE,1,0),0)</f>
        <v/>
      </c>
      <c r="I285" s="38">
        <f>IF($A285=0,$I284,IF($B285=1,$I284+1,IF($P285&lt;=1,$I284,0)))</f>
        <v/>
      </c>
      <c r="J285" s="38">
        <f>IF($A285=0,$J284,IF($C285=1,$J284+1,IF($Q285&lt;=1,$J284,0)))</f>
        <v/>
      </c>
      <c r="K285" s="38">
        <f>IF($A285=0,$K284,IF($D285=1,$K284+1,IF($R285&lt;=1,$K284,0)))</f>
        <v/>
      </c>
      <c r="L285" s="38">
        <f>IF($A285=0,$L284,IF($E285=1,$L284+1,IF($S285&lt;=1,$L284,0)))</f>
        <v/>
      </c>
      <c r="M285" s="38">
        <f>IF($A285=0,$M284,IF($F285=1,$M284+1,IF($T285&lt;=1,$M284,0)))</f>
        <v/>
      </c>
      <c r="N285" s="38">
        <f>IF($A285=0,$N284,IF($G285=1,$N284+1,IF($U285&lt;=1,$N284,0)))</f>
        <v/>
      </c>
      <c r="O285" s="38">
        <f>IF($A285=0,$O284,IF($H285=1,$O284+1,IF($V285&lt;=1,$O284,0)))</f>
        <v/>
      </c>
      <c r="P285" s="38">
        <f>IF($A285=0,$P284,$P284+IF($B285=1,0,1))</f>
        <v/>
      </c>
      <c r="Q285" s="38">
        <f>IF($A285=0,$Q284,$Q284+IF($C285=1,0,1))</f>
        <v/>
      </c>
      <c r="R285" s="38">
        <f>IF($A285=0,$R284,$R284+IF($D285=1,0,1))</f>
        <v/>
      </c>
      <c r="S285" s="38">
        <f>IF($A285=0,$S284,$S284+IF($E285=1,0,1))</f>
        <v/>
      </c>
      <c r="T285" s="38">
        <f>IF($A285=0,$T284,$T284+IF($F285=1,0,1))</f>
        <v/>
      </c>
      <c r="U285" s="38">
        <f>IF($A285=0,$U284,$U284+IF($G285=1,0,1))</f>
        <v/>
      </c>
      <c r="V285" s="38">
        <f>IF($A285=0,$V284,$V284+IF($H285=1,0,1))</f>
        <v/>
      </c>
      <c r="W285" s="38">
        <f>SUM($B285:$H285)</f>
        <v/>
      </c>
      <c r="X285" s="38">
        <f>IF(AND($A285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285=1),1,0)+IF(AND($G$1=7,$C285=1),1,0)+IF(AND($H$1=7,$D285=1),1,0)+IF(AND($I$1=7,$E285=1),1,0)+IF(AND($J$1=7,$F285=1),1,0)+IF(AND($K$1=7,$G285=1),1,0)+IF(AND($L$1=7,$H285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5" s="38">
        <f>IF($B285=1,IF($F$1&lt;7,10,IF(AND($F$1=7,$I284=0,$P284&gt;1),15,IF($I284&gt;=20,15,IF($I284&gt;=6,13,10)))),0)+IF($C285=1,IF($G$1&lt;7,10,IF(AND($G$1=7,$J284=0,$Q284&gt;1),15,IF($J284&gt;=20,15,IF($J284&gt;=6,13,10)))),0)+IF($D285=1,IF($H$1&lt;7,10,IF(AND($H$1=7,$K284=0,$R284&gt;1),15,IF($K284&gt;=20,15,IF($K284&gt;=6,13,10)))),0)+IF($E285=1,IF($I$1&lt;7,10,IF(AND($I$1=7,$L284=0,$S284&gt;1),15,IF($L284&gt;=20,15,IF($L284&gt;=6,13,10)))),0)+IF($F285=1,IF($J$1&lt;7,10,IF(AND($J$1=7,$M284=0,$T284&gt;1),15,IF($M284&gt;=20,15,IF($M284&gt;=6,13,10)))),0)+IF($G285=1,IF($K$1&lt;7,10,IF(AND($K$1=7,$N284=0,$U284&gt;1),15,IF($N284&gt;=20,15,IF($N284&gt;=6,13,10)))),0)+IF($H285=1,IF($L$1&lt;7,10,IF(AND($L$1=7,$O284=0,$V284&gt;1),15,IF($O284&gt;=20,15,IF($O284&gt;=6,13,10)))),0)</f>
        <v/>
      </c>
      <c r="Z285" s="38">
        <f>$Z284+$Y285</f>
        <v/>
      </c>
      <c r="AA285" s="38">
        <f>IF(AND($B285=1,AND($F$1=7,$I284=0,$P284&gt;1)),1,0)+IF(AND($C285=1,AND($G$1=7,$J284=0,$Q284&gt;1)),1,0)+IF(AND($D285=1,AND($H$1=7,$K284=0,$R284&gt;1)),1,0)+IF(AND($E285=1,AND($I$1=7,$L284=0,$S284&gt;1)),1,0)+IF(AND($F285=1,AND($J$1=7,$M284=0,$T284&gt;1)),1,0)+IF(AND($G285=1,AND($K$1=7,$N284=0,$U284&gt;1)),1,0)+IF(AND($H285=1,AND($L$1=7,$O284=0,$V284&gt;1)),1,0)</f>
        <v/>
      </c>
      <c r="AB285" s="38">
        <f>IF(IFERROR('Окт'!$I7,"")="",0,$AB284+1)</f>
        <v/>
      </c>
    </row>
    <row r="286" spans="1:28">
      <c r="A286" s="38">
        <f>IF($B$1&gt;=DATE(2026,10,3),1,0)</f>
        <v/>
      </c>
      <c r="B286" s="38">
        <f>IFERROR(IF('Окт'!$B8=TRUE,1,0),0)</f>
        <v/>
      </c>
      <c r="C286" s="38">
        <f>IFERROR(IF('Окт'!$C8=TRUE,1,0),0)</f>
        <v/>
      </c>
      <c r="D286" s="38">
        <f>IFERROR(IF('Окт'!$D8=TRUE,1,0),0)</f>
        <v/>
      </c>
      <c r="E286" s="38">
        <f>IFERROR(IF('Окт'!$E8=TRUE,1,0),0)</f>
        <v/>
      </c>
      <c r="F286" s="38">
        <f>IFERROR(IF('Окт'!$F8=TRUE,1,0),0)</f>
        <v/>
      </c>
      <c r="G286" s="38">
        <f>IFERROR(IF('Окт'!$G8=TRUE,1,0),0)</f>
        <v/>
      </c>
      <c r="H286" s="38">
        <f>IFERROR(IF('Окт'!$H8=TRUE,1,0),0)</f>
        <v/>
      </c>
      <c r="I286" s="38">
        <f>IF($A286=0,$I285,IF($B286=1,$I285+1,IF($P286&lt;=1,$I285,0)))</f>
        <v/>
      </c>
      <c r="J286" s="38">
        <f>IF($A286=0,$J285,IF($C286=1,$J285+1,IF($Q286&lt;=1,$J285,0)))</f>
        <v/>
      </c>
      <c r="K286" s="38">
        <f>IF($A286=0,$K285,IF($D286=1,$K285+1,IF($R286&lt;=1,$K285,0)))</f>
        <v/>
      </c>
      <c r="L286" s="38">
        <f>IF($A286=0,$L285,IF($E286=1,$L285+1,IF($S286&lt;=1,$L285,0)))</f>
        <v/>
      </c>
      <c r="M286" s="38">
        <f>IF($A286=0,$M285,IF($F286=1,$M285+1,IF($T286&lt;=1,$M285,0)))</f>
        <v/>
      </c>
      <c r="N286" s="38">
        <f>IF($A286=0,$N285,IF($G286=1,$N285+1,IF($U286&lt;=1,$N285,0)))</f>
        <v/>
      </c>
      <c r="O286" s="38">
        <f>IF($A286=0,$O285,IF($H286=1,$O285+1,IF($V286&lt;=1,$O285,0)))</f>
        <v/>
      </c>
      <c r="P286" s="38">
        <f>IF($A286=0,$P285,$P285+IF($B286=1,0,1))</f>
        <v/>
      </c>
      <c r="Q286" s="38">
        <f>IF($A286=0,$Q285,$Q285+IF($C286=1,0,1))</f>
        <v/>
      </c>
      <c r="R286" s="38">
        <f>IF($A286=0,$R285,$R285+IF($D286=1,0,1))</f>
        <v/>
      </c>
      <c r="S286" s="38">
        <f>IF($A286=0,$S285,$S285+IF($E286=1,0,1))</f>
        <v/>
      </c>
      <c r="T286" s="38">
        <f>IF($A286=0,$T285,$T285+IF($F286=1,0,1))</f>
        <v/>
      </c>
      <c r="U286" s="38">
        <f>IF($A286=0,$U285,$U285+IF($G286=1,0,1))</f>
        <v/>
      </c>
      <c r="V286" s="38">
        <f>IF($A286=0,$V285,$V285+IF($H286=1,0,1))</f>
        <v/>
      </c>
      <c r="W286" s="38">
        <f>SUM($B286:$H286)</f>
        <v/>
      </c>
      <c r="X286" s="38">
        <f>IF(AND($A286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286=1),1,0)+IF(AND($G$1=7,$C286=1),1,0)+IF(AND($H$1=7,$D286=1),1,0)+IF(AND($I$1=7,$E286=1),1,0)+IF(AND($J$1=7,$F286=1),1,0)+IF(AND($K$1=7,$G286=1),1,0)+IF(AND($L$1=7,$H286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6" s="38">
        <f>IF($B286=1,IF($F$1&lt;7,10,IF(AND($F$1=7,$I285=0,$P285&gt;1),15,IF($I285&gt;=20,15,IF($I285&gt;=6,13,10)))),0)+IF($C286=1,IF($G$1&lt;7,10,IF(AND($G$1=7,$J285=0,$Q285&gt;1),15,IF($J285&gt;=20,15,IF($J285&gt;=6,13,10)))),0)+IF($D286=1,IF($H$1&lt;7,10,IF(AND($H$1=7,$K285=0,$R285&gt;1),15,IF($K285&gt;=20,15,IF($K285&gt;=6,13,10)))),0)+IF($E286=1,IF($I$1&lt;7,10,IF(AND($I$1=7,$L285=0,$S285&gt;1),15,IF($L285&gt;=20,15,IF($L285&gt;=6,13,10)))),0)+IF($F286=1,IF($J$1&lt;7,10,IF(AND($J$1=7,$M285=0,$T285&gt;1),15,IF($M285&gt;=20,15,IF($M285&gt;=6,13,10)))),0)+IF($G286=1,IF($K$1&lt;7,10,IF(AND($K$1=7,$N285=0,$U285&gt;1),15,IF($N285&gt;=20,15,IF($N285&gt;=6,13,10)))),0)+IF($H286=1,IF($L$1&lt;7,10,IF(AND($L$1=7,$O285=0,$V285&gt;1),15,IF($O285&gt;=20,15,IF($O285&gt;=6,13,10)))),0)</f>
        <v/>
      </c>
      <c r="Z286" s="38">
        <f>$Z285+$Y286</f>
        <v/>
      </c>
      <c r="AA286" s="38">
        <f>IF(AND($B286=1,AND($F$1=7,$I285=0,$P285&gt;1)),1,0)+IF(AND($C286=1,AND($G$1=7,$J285=0,$Q285&gt;1)),1,0)+IF(AND($D286=1,AND($H$1=7,$K285=0,$R285&gt;1)),1,0)+IF(AND($E286=1,AND($I$1=7,$L285=0,$S285&gt;1)),1,0)+IF(AND($F286=1,AND($J$1=7,$M285=0,$T285&gt;1)),1,0)+IF(AND($G286=1,AND($K$1=7,$N285=0,$U285&gt;1)),1,0)+IF(AND($H286=1,AND($L$1=7,$O285=0,$V285&gt;1)),1,0)</f>
        <v/>
      </c>
      <c r="AB286" s="38">
        <f>IF(IFERROR('Окт'!$I8,"")="",0,$AB285+1)</f>
        <v/>
      </c>
    </row>
    <row r="287" spans="1:28">
      <c r="A287" s="38">
        <f>IF($B$1&gt;=DATE(2026,10,4),1,0)</f>
        <v/>
      </c>
      <c r="B287" s="38">
        <f>IFERROR(IF('Окт'!$B9=TRUE,1,0),0)</f>
        <v/>
      </c>
      <c r="C287" s="38">
        <f>IFERROR(IF('Окт'!$C9=TRUE,1,0),0)</f>
        <v/>
      </c>
      <c r="D287" s="38">
        <f>IFERROR(IF('Окт'!$D9=TRUE,1,0),0)</f>
        <v/>
      </c>
      <c r="E287" s="38">
        <f>IFERROR(IF('Окт'!$E9=TRUE,1,0),0)</f>
        <v/>
      </c>
      <c r="F287" s="38">
        <f>IFERROR(IF('Окт'!$F9=TRUE,1,0),0)</f>
        <v/>
      </c>
      <c r="G287" s="38">
        <f>IFERROR(IF('Окт'!$G9=TRUE,1,0),0)</f>
        <v/>
      </c>
      <c r="H287" s="38">
        <f>IFERROR(IF('Окт'!$H9=TRUE,1,0),0)</f>
        <v/>
      </c>
      <c r="I287" s="38">
        <f>IF($A287=0,$I286,IF($B287=1,$I286+1,IF($P287&lt;=1,$I286,0)))</f>
        <v/>
      </c>
      <c r="J287" s="38">
        <f>IF($A287=0,$J286,IF($C287=1,$J286+1,IF($Q287&lt;=1,$J286,0)))</f>
        <v/>
      </c>
      <c r="K287" s="38">
        <f>IF($A287=0,$K286,IF($D287=1,$K286+1,IF($R287&lt;=1,$K286,0)))</f>
        <v/>
      </c>
      <c r="L287" s="38">
        <f>IF($A287=0,$L286,IF($E287=1,$L286+1,IF($S287&lt;=1,$L286,0)))</f>
        <v/>
      </c>
      <c r="M287" s="38">
        <f>IF($A287=0,$M286,IF($F287=1,$M286+1,IF($T287&lt;=1,$M286,0)))</f>
        <v/>
      </c>
      <c r="N287" s="38">
        <f>IF($A287=0,$N286,IF($G287=1,$N286+1,IF($U287&lt;=1,$N286,0)))</f>
        <v/>
      </c>
      <c r="O287" s="38">
        <f>IF($A287=0,$O286,IF($H287=1,$O286+1,IF($V287&lt;=1,$O286,0)))</f>
        <v/>
      </c>
      <c r="P287" s="38">
        <f>IF($A287=0,$P286,$P286+IF($B287=1,0,1))</f>
        <v/>
      </c>
      <c r="Q287" s="38">
        <f>IF($A287=0,$Q286,$Q286+IF($C287=1,0,1))</f>
        <v/>
      </c>
      <c r="R287" s="38">
        <f>IF($A287=0,$R286,$R286+IF($D287=1,0,1))</f>
        <v/>
      </c>
      <c r="S287" s="38">
        <f>IF($A287=0,$S286,$S286+IF($E287=1,0,1))</f>
        <v/>
      </c>
      <c r="T287" s="38">
        <f>IF($A287=0,$T286,$T286+IF($F287=1,0,1))</f>
        <v/>
      </c>
      <c r="U287" s="38">
        <f>IF($A287=0,$U286,$U286+IF($G287=1,0,1))</f>
        <v/>
      </c>
      <c r="V287" s="38">
        <f>IF($A287=0,$V286,$V286+IF($H287=1,0,1))</f>
        <v/>
      </c>
      <c r="W287" s="38">
        <f>SUM($B287:$H287)</f>
        <v/>
      </c>
      <c r="X287" s="38">
        <f>IF(AND($A287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287=1),1,0)+IF(AND($G$1=7,$C287=1),1,0)+IF(AND($H$1=7,$D287=1),1,0)+IF(AND($I$1=7,$E287=1),1,0)+IF(AND($J$1=7,$F287=1),1,0)+IF(AND($K$1=7,$G287=1),1,0)+IF(AND($L$1=7,$H287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7" s="38">
        <f>IF($B287=1,IF($F$1&lt;7,10,IF(AND($F$1=7,$I286=0,$P286&gt;1),15,IF($I286&gt;=20,15,IF($I286&gt;=6,13,10)))),0)+IF($C287=1,IF($G$1&lt;7,10,IF(AND($G$1=7,$J286=0,$Q286&gt;1),15,IF($J286&gt;=20,15,IF($J286&gt;=6,13,10)))),0)+IF($D287=1,IF($H$1&lt;7,10,IF(AND($H$1=7,$K286=0,$R286&gt;1),15,IF($K286&gt;=20,15,IF($K286&gt;=6,13,10)))),0)+IF($E287=1,IF($I$1&lt;7,10,IF(AND($I$1=7,$L286=0,$S286&gt;1),15,IF($L286&gt;=20,15,IF($L286&gt;=6,13,10)))),0)+IF($F287=1,IF($J$1&lt;7,10,IF(AND($J$1=7,$M286=0,$T286&gt;1),15,IF($M286&gt;=20,15,IF($M286&gt;=6,13,10)))),0)+IF($G287=1,IF($K$1&lt;7,10,IF(AND($K$1=7,$N286=0,$U286&gt;1),15,IF($N286&gt;=20,15,IF($N286&gt;=6,13,10)))),0)+IF($H287=1,IF($L$1&lt;7,10,IF(AND($L$1=7,$O286=0,$V286&gt;1),15,IF($O286&gt;=20,15,IF($O286&gt;=6,13,10)))),0)</f>
        <v/>
      </c>
      <c r="Z287" s="38">
        <f>$Z286+$Y287</f>
        <v/>
      </c>
      <c r="AA287" s="38">
        <f>IF(AND($B287=1,AND($F$1=7,$I286=0,$P286&gt;1)),1,0)+IF(AND($C287=1,AND($G$1=7,$J286=0,$Q286&gt;1)),1,0)+IF(AND($D287=1,AND($H$1=7,$K286=0,$R286&gt;1)),1,0)+IF(AND($E287=1,AND($I$1=7,$L286=0,$S286&gt;1)),1,0)+IF(AND($F287=1,AND($J$1=7,$M286=0,$T286&gt;1)),1,0)+IF(AND($G287=1,AND($K$1=7,$N286=0,$U286&gt;1)),1,0)+IF(AND($H287=1,AND($L$1=7,$O286=0,$V286&gt;1)),1,0)</f>
        <v/>
      </c>
      <c r="AB287" s="38">
        <f>IF(IFERROR('Окт'!$I9,"")="",0,$AB286+1)</f>
        <v/>
      </c>
    </row>
    <row r="288" spans="1:28">
      <c r="A288" s="38">
        <f>IF($B$1&gt;=DATE(2026,10,5),1,0)</f>
        <v/>
      </c>
      <c r="B288" s="38">
        <f>IFERROR(IF('Окт'!$B10=TRUE,1,0),0)</f>
        <v/>
      </c>
      <c r="C288" s="38">
        <f>IFERROR(IF('Окт'!$C10=TRUE,1,0),0)</f>
        <v/>
      </c>
      <c r="D288" s="38">
        <f>IFERROR(IF('Окт'!$D10=TRUE,1,0),0)</f>
        <v/>
      </c>
      <c r="E288" s="38">
        <f>IFERROR(IF('Окт'!$E10=TRUE,1,0),0)</f>
        <v/>
      </c>
      <c r="F288" s="38">
        <f>IFERROR(IF('Окт'!$F10=TRUE,1,0),0)</f>
        <v/>
      </c>
      <c r="G288" s="38">
        <f>IFERROR(IF('Окт'!$G10=TRUE,1,0),0)</f>
        <v/>
      </c>
      <c r="H288" s="38">
        <f>IFERROR(IF('Окт'!$H10=TRUE,1,0),0)</f>
        <v/>
      </c>
      <c r="I288" s="38">
        <f>IF($A288=0,$I287,IF($B288=1,$I287+1,IF($P288&lt;=1,$I287,0)))</f>
        <v/>
      </c>
      <c r="J288" s="38">
        <f>IF($A288=0,$J287,IF($C288=1,$J287+1,IF($Q288&lt;=1,$J287,0)))</f>
        <v/>
      </c>
      <c r="K288" s="38">
        <f>IF($A288=0,$K287,IF($D288=1,$K287+1,IF($R288&lt;=1,$K287,0)))</f>
        <v/>
      </c>
      <c r="L288" s="38">
        <f>IF($A288=0,$L287,IF($E288=1,$L287+1,IF($S288&lt;=1,$L287,0)))</f>
        <v/>
      </c>
      <c r="M288" s="38">
        <f>IF($A288=0,$M287,IF($F288=1,$M287+1,IF($T288&lt;=1,$M287,0)))</f>
        <v/>
      </c>
      <c r="N288" s="38">
        <f>IF($A288=0,$N287,IF($G288=1,$N287+1,IF($U288&lt;=1,$N287,0)))</f>
        <v/>
      </c>
      <c r="O288" s="38">
        <f>IF($A288=0,$O287,IF($H288=1,$O287+1,IF($V288&lt;=1,$O287,0)))</f>
        <v/>
      </c>
      <c r="P288" s="38">
        <f>IF($A288=0,$P287,$P287+IF($B288=1,0,1))</f>
        <v/>
      </c>
      <c r="Q288" s="38">
        <f>IF($A288=0,$Q287,$Q287+IF($C288=1,0,1))</f>
        <v/>
      </c>
      <c r="R288" s="38">
        <f>IF($A288=0,$R287,$R287+IF($D288=1,0,1))</f>
        <v/>
      </c>
      <c r="S288" s="38">
        <f>IF($A288=0,$S287,$S287+IF($E288=1,0,1))</f>
        <v/>
      </c>
      <c r="T288" s="38">
        <f>IF($A288=0,$T287,$T287+IF($F288=1,0,1))</f>
        <v/>
      </c>
      <c r="U288" s="38">
        <f>IF($A288=0,$U287,$U287+IF($G288=1,0,1))</f>
        <v/>
      </c>
      <c r="V288" s="38">
        <f>IF($A288=0,$V287,$V287+IF($H288=1,0,1))</f>
        <v/>
      </c>
      <c r="W288" s="38">
        <f>SUM($B288:$H288)</f>
        <v/>
      </c>
      <c r="X288" s="38">
        <f>IF(AND($A288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288=1),1,0)+IF(AND($G$1=7,$C288=1),1,0)+IF(AND($H$1=7,$D288=1),1,0)+IF(AND($I$1=7,$E288=1),1,0)+IF(AND($J$1=7,$F288=1),1,0)+IF(AND($K$1=7,$G288=1),1,0)+IF(AND($L$1=7,$H288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8" s="38">
        <f>IF($B288=1,IF($F$1&lt;7,10,IF(AND($F$1=7,$I287=0,$P287&gt;1),15,IF($I287&gt;=20,15,IF($I287&gt;=6,13,10)))),0)+IF($C288=1,IF($G$1&lt;7,10,IF(AND($G$1=7,$J287=0,$Q287&gt;1),15,IF($J287&gt;=20,15,IF($J287&gt;=6,13,10)))),0)+IF($D288=1,IF($H$1&lt;7,10,IF(AND($H$1=7,$K287=0,$R287&gt;1),15,IF($K287&gt;=20,15,IF($K287&gt;=6,13,10)))),0)+IF($E288=1,IF($I$1&lt;7,10,IF(AND($I$1=7,$L287=0,$S287&gt;1),15,IF($L287&gt;=20,15,IF($L287&gt;=6,13,10)))),0)+IF($F288=1,IF($J$1&lt;7,10,IF(AND($J$1=7,$M287=0,$T287&gt;1),15,IF($M287&gt;=20,15,IF($M287&gt;=6,13,10)))),0)+IF($G288=1,IF($K$1&lt;7,10,IF(AND($K$1=7,$N287=0,$U287&gt;1),15,IF($N287&gt;=20,15,IF($N287&gt;=6,13,10)))),0)+IF($H288=1,IF($L$1&lt;7,10,IF(AND($L$1=7,$O287=0,$V287&gt;1),15,IF($O287&gt;=20,15,IF($O287&gt;=6,13,10)))),0)</f>
        <v/>
      </c>
      <c r="Z288" s="38">
        <f>$Z287+$Y288</f>
        <v/>
      </c>
      <c r="AA288" s="38">
        <f>IF(AND($B288=1,AND($F$1=7,$I287=0,$P287&gt;1)),1,0)+IF(AND($C288=1,AND($G$1=7,$J287=0,$Q287&gt;1)),1,0)+IF(AND($D288=1,AND($H$1=7,$K287=0,$R287&gt;1)),1,0)+IF(AND($E288=1,AND($I$1=7,$L287=0,$S287&gt;1)),1,0)+IF(AND($F288=1,AND($J$1=7,$M287=0,$T287&gt;1)),1,0)+IF(AND($G288=1,AND($K$1=7,$N287=0,$U287&gt;1)),1,0)+IF(AND($H288=1,AND($L$1=7,$O287=0,$V287&gt;1)),1,0)</f>
        <v/>
      </c>
      <c r="AB288" s="38">
        <f>IF(IFERROR('Окт'!$I10,"")="",0,$AB287+1)</f>
        <v/>
      </c>
    </row>
    <row r="289" spans="1:28">
      <c r="A289" s="38">
        <f>IF($B$1&gt;=DATE(2026,10,6),1,0)</f>
        <v/>
      </c>
      <c r="B289" s="38">
        <f>IFERROR(IF('Окт'!$B11=TRUE,1,0),0)</f>
        <v/>
      </c>
      <c r="C289" s="38">
        <f>IFERROR(IF('Окт'!$C11=TRUE,1,0),0)</f>
        <v/>
      </c>
      <c r="D289" s="38">
        <f>IFERROR(IF('Окт'!$D11=TRUE,1,0),0)</f>
        <v/>
      </c>
      <c r="E289" s="38">
        <f>IFERROR(IF('Окт'!$E11=TRUE,1,0),0)</f>
        <v/>
      </c>
      <c r="F289" s="38">
        <f>IFERROR(IF('Окт'!$F11=TRUE,1,0),0)</f>
        <v/>
      </c>
      <c r="G289" s="38">
        <f>IFERROR(IF('Окт'!$G11=TRUE,1,0),0)</f>
        <v/>
      </c>
      <c r="H289" s="38">
        <f>IFERROR(IF('Окт'!$H11=TRUE,1,0),0)</f>
        <v/>
      </c>
      <c r="I289" s="38">
        <f>IF($A289=0,$I288,IF($B289=1,$I288+1,IF($P289&lt;=1,$I288,0)))</f>
        <v/>
      </c>
      <c r="J289" s="38">
        <f>IF($A289=0,$J288,IF($C289=1,$J288+1,IF($Q289&lt;=1,$J288,0)))</f>
        <v/>
      </c>
      <c r="K289" s="38">
        <f>IF($A289=0,$K288,IF($D289=1,$K288+1,IF($R289&lt;=1,$K288,0)))</f>
        <v/>
      </c>
      <c r="L289" s="38">
        <f>IF($A289=0,$L288,IF($E289=1,$L288+1,IF($S289&lt;=1,$L288,0)))</f>
        <v/>
      </c>
      <c r="M289" s="38">
        <f>IF($A289=0,$M288,IF($F289=1,$M288+1,IF($T289&lt;=1,$M288,0)))</f>
        <v/>
      </c>
      <c r="N289" s="38">
        <f>IF($A289=0,$N288,IF($G289=1,$N288+1,IF($U289&lt;=1,$N288,0)))</f>
        <v/>
      </c>
      <c r="O289" s="38">
        <f>IF($A289=0,$O288,IF($H289=1,$O288+1,IF($V289&lt;=1,$O288,0)))</f>
        <v/>
      </c>
      <c r="P289" s="38">
        <f>IF($A289=0,$P288,$P288+IF($B289=1,0,1))</f>
        <v/>
      </c>
      <c r="Q289" s="38">
        <f>IF($A289=0,$Q288,$Q288+IF($C289=1,0,1))</f>
        <v/>
      </c>
      <c r="R289" s="38">
        <f>IF($A289=0,$R288,$R288+IF($D289=1,0,1))</f>
        <v/>
      </c>
      <c r="S289" s="38">
        <f>IF($A289=0,$S288,$S288+IF($E289=1,0,1))</f>
        <v/>
      </c>
      <c r="T289" s="38">
        <f>IF($A289=0,$T288,$T288+IF($F289=1,0,1))</f>
        <v/>
      </c>
      <c r="U289" s="38">
        <f>IF($A289=0,$U288,$U288+IF($G289=1,0,1))</f>
        <v/>
      </c>
      <c r="V289" s="38">
        <f>IF($A289=0,$V288,$V288+IF($H289=1,0,1))</f>
        <v/>
      </c>
      <c r="W289" s="38">
        <f>SUM($B289:$H289)</f>
        <v/>
      </c>
      <c r="X289" s="38">
        <f>IF(AND($A289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289=1),1,0)+IF(AND($G$1=7,$C289=1),1,0)+IF(AND($H$1=7,$D289=1),1,0)+IF(AND($I$1=7,$E289=1),1,0)+IF(AND($J$1=7,$F289=1),1,0)+IF(AND($K$1=7,$G289=1),1,0)+IF(AND($L$1=7,$H289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9" s="38">
        <f>IF($B289=1,IF($F$1&lt;7,10,IF(AND($F$1=7,$I288=0,$P288&gt;1),15,IF($I288&gt;=20,15,IF($I288&gt;=6,13,10)))),0)+IF($C289=1,IF($G$1&lt;7,10,IF(AND($G$1=7,$J288=0,$Q288&gt;1),15,IF($J288&gt;=20,15,IF($J288&gt;=6,13,10)))),0)+IF($D289=1,IF($H$1&lt;7,10,IF(AND($H$1=7,$K288=0,$R288&gt;1),15,IF($K288&gt;=20,15,IF($K288&gt;=6,13,10)))),0)+IF($E289=1,IF($I$1&lt;7,10,IF(AND($I$1=7,$L288=0,$S288&gt;1),15,IF($L288&gt;=20,15,IF($L288&gt;=6,13,10)))),0)+IF($F289=1,IF($J$1&lt;7,10,IF(AND($J$1=7,$M288=0,$T288&gt;1),15,IF($M288&gt;=20,15,IF($M288&gt;=6,13,10)))),0)+IF($G289=1,IF($K$1&lt;7,10,IF(AND($K$1=7,$N288=0,$U288&gt;1),15,IF($N288&gt;=20,15,IF($N288&gt;=6,13,10)))),0)+IF($H289=1,IF($L$1&lt;7,10,IF(AND($L$1=7,$O288=0,$V288&gt;1),15,IF($O288&gt;=20,15,IF($O288&gt;=6,13,10)))),0)</f>
        <v/>
      </c>
      <c r="Z289" s="38">
        <f>$Z288+$Y289</f>
        <v/>
      </c>
      <c r="AA289" s="38">
        <f>IF(AND($B289=1,AND($F$1=7,$I288=0,$P288&gt;1)),1,0)+IF(AND($C289=1,AND($G$1=7,$J288=0,$Q288&gt;1)),1,0)+IF(AND($D289=1,AND($H$1=7,$K288=0,$R288&gt;1)),1,0)+IF(AND($E289=1,AND($I$1=7,$L288=0,$S288&gt;1)),1,0)+IF(AND($F289=1,AND($J$1=7,$M288=0,$T288&gt;1)),1,0)+IF(AND($G289=1,AND($K$1=7,$N288=0,$U288&gt;1)),1,0)+IF(AND($H289=1,AND($L$1=7,$O288=0,$V288&gt;1)),1,0)</f>
        <v/>
      </c>
      <c r="AB289" s="38">
        <f>IF(IFERROR('Окт'!$I11,"")="",0,$AB288+1)</f>
        <v/>
      </c>
    </row>
    <row r="290" spans="1:28">
      <c r="A290" s="38">
        <f>IF($B$1&gt;=DATE(2026,10,7),1,0)</f>
        <v/>
      </c>
      <c r="B290" s="38">
        <f>IFERROR(IF('Окт'!$B12=TRUE,1,0),0)</f>
        <v/>
      </c>
      <c r="C290" s="38">
        <f>IFERROR(IF('Окт'!$C12=TRUE,1,0),0)</f>
        <v/>
      </c>
      <c r="D290" s="38">
        <f>IFERROR(IF('Окт'!$D12=TRUE,1,0),0)</f>
        <v/>
      </c>
      <c r="E290" s="38">
        <f>IFERROR(IF('Окт'!$E12=TRUE,1,0),0)</f>
        <v/>
      </c>
      <c r="F290" s="38">
        <f>IFERROR(IF('Окт'!$F12=TRUE,1,0),0)</f>
        <v/>
      </c>
      <c r="G290" s="38">
        <f>IFERROR(IF('Окт'!$G12=TRUE,1,0),0)</f>
        <v/>
      </c>
      <c r="H290" s="38">
        <f>IFERROR(IF('Окт'!$H12=TRUE,1,0),0)</f>
        <v/>
      </c>
      <c r="I290" s="38">
        <f>IF($A290=0,$I289,IF($B290=1,$I289+1,IF($P290&lt;=1,$I289,0)))</f>
        <v/>
      </c>
      <c r="J290" s="38">
        <f>IF($A290=0,$J289,IF($C290=1,$J289+1,IF($Q290&lt;=1,$J289,0)))</f>
        <v/>
      </c>
      <c r="K290" s="38">
        <f>IF($A290=0,$K289,IF($D290=1,$K289+1,IF($R290&lt;=1,$K289,0)))</f>
        <v/>
      </c>
      <c r="L290" s="38">
        <f>IF($A290=0,$L289,IF($E290=1,$L289+1,IF($S290&lt;=1,$L289,0)))</f>
        <v/>
      </c>
      <c r="M290" s="38">
        <f>IF($A290=0,$M289,IF($F290=1,$M289+1,IF($T290&lt;=1,$M289,0)))</f>
        <v/>
      </c>
      <c r="N290" s="38">
        <f>IF($A290=0,$N289,IF($G290=1,$N289+1,IF($U290&lt;=1,$N289,0)))</f>
        <v/>
      </c>
      <c r="O290" s="38">
        <f>IF($A290=0,$O289,IF($H290=1,$O289+1,IF($V290&lt;=1,$O289,0)))</f>
        <v/>
      </c>
      <c r="P290" s="38">
        <f>IF($A290=0,$P289,$P289+IF($B290=1,0,1))</f>
        <v/>
      </c>
      <c r="Q290" s="38">
        <f>IF($A290=0,$Q289,$Q289+IF($C290=1,0,1))</f>
        <v/>
      </c>
      <c r="R290" s="38">
        <f>IF($A290=0,$R289,$R289+IF($D290=1,0,1))</f>
        <v/>
      </c>
      <c r="S290" s="38">
        <f>IF($A290=0,$S289,$S289+IF($E290=1,0,1))</f>
        <v/>
      </c>
      <c r="T290" s="38">
        <f>IF($A290=0,$T289,$T289+IF($F290=1,0,1))</f>
        <v/>
      </c>
      <c r="U290" s="38">
        <f>IF($A290=0,$U289,$U289+IF($G290=1,0,1))</f>
        <v/>
      </c>
      <c r="V290" s="38">
        <f>IF($A290=0,$V289,$V289+IF($H290=1,0,1))</f>
        <v/>
      </c>
      <c r="W290" s="38">
        <f>SUM($B290:$H290)</f>
        <v/>
      </c>
      <c r="X290" s="38">
        <f>IF(AND($A290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290=1),1,0)+IF(AND($G$1=7,$C290=1),1,0)+IF(AND($H$1=7,$D290=1),1,0)+IF(AND($I$1=7,$E290=1),1,0)+IF(AND($J$1=7,$F290=1),1,0)+IF(AND($K$1=7,$G290=1),1,0)+IF(AND($L$1=7,$H290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0" s="38">
        <f>IF($B290=1,IF($F$1&lt;7,10,IF(AND($F$1=7,$I289=0,$P289&gt;1),15,IF($I289&gt;=20,15,IF($I289&gt;=6,13,10)))),0)+IF($C290=1,IF($G$1&lt;7,10,IF(AND($G$1=7,$J289=0,$Q289&gt;1),15,IF($J289&gt;=20,15,IF($J289&gt;=6,13,10)))),0)+IF($D290=1,IF($H$1&lt;7,10,IF(AND($H$1=7,$K289=0,$R289&gt;1),15,IF($K289&gt;=20,15,IF($K289&gt;=6,13,10)))),0)+IF($E290=1,IF($I$1&lt;7,10,IF(AND($I$1=7,$L289=0,$S289&gt;1),15,IF($L289&gt;=20,15,IF($L289&gt;=6,13,10)))),0)+IF($F290=1,IF($J$1&lt;7,10,IF(AND($J$1=7,$M289=0,$T289&gt;1),15,IF($M289&gt;=20,15,IF($M289&gt;=6,13,10)))),0)+IF($G290=1,IF($K$1&lt;7,10,IF(AND($K$1=7,$N289=0,$U289&gt;1),15,IF($N289&gt;=20,15,IF($N289&gt;=6,13,10)))),0)+IF($H290=1,IF($L$1&lt;7,10,IF(AND($L$1=7,$O289=0,$V289&gt;1),15,IF($O289&gt;=20,15,IF($O289&gt;=6,13,10)))),0)</f>
        <v/>
      </c>
      <c r="Z290" s="38">
        <f>$Z289+$Y290</f>
        <v/>
      </c>
      <c r="AA290" s="38">
        <f>IF(AND($B290=1,AND($F$1=7,$I289=0,$P289&gt;1)),1,0)+IF(AND($C290=1,AND($G$1=7,$J289=0,$Q289&gt;1)),1,0)+IF(AND($D290=1,AND($H$1=7,$K289=0,$R289&gt;1)),1,0)+IF(AND($E290=1,AND($I$1=7,$L289=0,$S289&gt;1)),1,0)+IF(AND($F290=1,AND($J$1=7,$M289=0,$T289&gt;1)),1,0)+IF(AND($G290=1,AND($K$1=7,$N289=0,$U289&gt;1)),1,0)+IF(AND($H290=1,AND($L$1=7,$O289=0,$V289&gt;1)),1,0)</f>
        <v/>
      </c>
      <c r="AB290" s="38">
        <f>IF(IFERROR('Окт'!$I12,"")="",0,$AB289+1)</f>
        <v/>
      </c>
    </row>
    <row r="291" spans="1:28">
      <c r="A291" s="38">
        <f>IF($B$1&gt;=DATE(2026,10,8),1,0)</f>
        <v/>
      </c>
      <c r="B291" s="38">
        <f>IFERROR(IF('Окт'!$B13=TRUE,1,0),0)</f>
        <v/>
      </c>
      <c r="C291" s="38">
        <f>IFERROR(IF('Окт'!$C13=TRUE,1,0),0)</f>
        <v/>
      </c>
      <c r="D291" s="38">
        <f>IFERROR(IF('Окт'!$D13=TRUE,1,0),0)</f>
        <v/>
      </c>
      <c r="E291" s="38">
        <f>IFERROR(IF('Окт'!$E13=TRUE,1,0),0)</f>
        <v/>
      </c>
      <c r="F291" s="38">
        <f>IFERROR(IF('Окт'!$F13=TRUE,1,0),0)</f>
        <v/>
      </c>
      <c r="G291" s="38">
        <f>IFERROR(IF('Окт'!$G13=TRUE,1,0),0)</f>
        <v/>
      </c>
      <c r="H291" s="38">
        <f>IFERROR(IF('Окт'!$H13=TRUE,1,0),0)</f>
        <v/>
      </c>
      <c r="I291" s="38">
        <f>IF($A291=0,$I290,IF($B291=1,$I290+1,IF($P291&lt;=1,$I290,0)))</f>
        <v/>
      </c>
      <c r="J291" s="38">
        <f>IF($A291=0,$J290,IF($C291=1,$J290+1,IF($Q291&lt;=1,$J290,0)))</f>
        <v/>
      </c>
      <c r="K291" s="38">
        <f>IF($A291=0,$K290,IF($D291=1,$K290+1,IF($R291&lt;=1,$K290,0)))</f>
        <v/>
      </c>
      <c r="L291" s="38">
        <f>IF($A291=0,$L290,IF($E291=1,$L290+1,IF($S291&lt;=1,$L290,0)))</f>
        <v/>
      </c>
      <c r="M291" s="38">
        <f>IF($A291=0,$M290,IF($F291=1,$M290+1,IF($T291&lt;=1,$M290,0)))</f>
        <v/>
      </c>
      <c r="N291" s="38">
        <f>IF($A291=0,$N290,IF($G291=1,$N290+1,IF($U291&lt;=1,$N290,0)))</f>
        <v/>
      </c>
      <c r="O291" s="38">
        <f>IF($A291=0,$O290,IF($H291=1,$O290+1,IF($V291&lt;=1,$O290,0)))</f>
        <v/>
      </c>
      <c r="P291" s="38">
        <f>IF($A291=0,$P290,$P290+IF($B291=1,0,1))</f>
        <v/>
      </c>
      <c r="Q291" s="38">
        <f>IF($A291=0,$Q290,$Q290+IF($C291=1,0,1))</f>
        <v/>
      </c>
      <c r="R291" s="38">
        <f>IF($A291=0,$R290,$R290+IF($D291=1,0,1))</f>
        <v/>
      </c>
      <c r="S291" s="38">
        <f>IF($A291=0,$S290,$S290+IF($E291=1,0,1))</f>
        <v/>
      </c>
      <c r="T291" s="38">
        <f>IF($A291=0,$T290,$T290+IF($F291=1,0,1))</f>
        <v/>
      </c>
      <c r="U291" s="38">
        <f>IF($A291=0,$U290,$U290+IF($G291=1,0,1))</f>
        <v/>
      </c>
      <c r="V291" s="38">
        <f>IF($A291=0,$V290,$V290+IF($H291=1,0,1))</f>
        <v/>
      </c>
      <c r="W291" s="38">
        <f>SUM($B291:$H291)</f>
        <v/>
      </c>
      <c r="X291" s="38">
        <f>IF(AND($A291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291=1),1,0)+IF(AND($G$1=7,$C291=1),1,0)+IF(AND($H$1=7,$D291=1),1,0)+IF(AND($I$1=7,$E291=1),1,0)+IF(AND($J$1=7,$F291=1),1,0)+IF(AND($K$1=7,$G291=1),1,0)+IF(AND($L$1=7,$H291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1" s="38">
        <f>IF($B291=1,IF($F$1&lt;7,10,IF(AND($F$1=7,$I290=0,$P290&gt;1),15,IF($I290&gt;=20,15,IF($I290&gt;=6,13,10)))),0)+IF($C291=1,IF($G$1&lt;7,10,IF(AND($G$1=7,$J290=0,$Q290&gt;1),15,IF($J290&gt;=20,15,IF($J290&gt;=6,13,10)))),0)+IF($D291=1,IF($H$1&lt;7,10,IF(AND($H$1=7,$K290=0,$R290&gt;1),15,IF($K290&gt;=20,15,IF($K290&gt;=6,13,10)))),0)+IF($E291=1,IF($I$1&lt;7,10,IF(AND($I$1=7,$L290=0,$S290&gt;1),15,IF($L290&gt;=20,15,IF($L290&gt;=6,13,10)))),0)+IF($F291=1,IF($J$1&lt;7,10,IF(AND($J$1=7,$M290=0,$T290&gt;1),15,IF($M290&gt;=20,15,IF($M290&gt;=6,13,10)))),0)+IF($G291=1,IF($K$1&lt;7,10,IF(AND($K$1=7,$N290=0,$U290&gt;1),15,IF($N290&gt;=20,15,IF($N290&gt;=6,13,10)))),0)+IF($H291=1,IF($L$1&lt;7,10,IF(AND($L$1=7,$O290=0,$V290&gt;1),15,IF($O290&gt;=20,15,IF($O290&gt;=6,13,10)))),0)</f>
        <v/>
      </c>
      <c r="Z291" s="38">
        <f>$Z290+$Y291</f>
        <v/>
      </c>
      <c r="AA291" s="38">
        <f>IF(AND($B291=1,AND($F$1=7,$I290=0,$P290&gt;1)),1,0)+IF(AND($C291=1,AND($G$1=7,$J290=0,$Q290&gt;1)),1,0)+IF(AND($D291=1,AND($H$1=7,$K290=0,$R290&gt;1)),1,0)+IF(AND($E291=1,AND($I$1=7,$L290=0,$S290&gt;1)),1,0)+IF(AND($F291=1,AND($J$1=7,$M290=0,$T290&gt;1)),1,0)+IF(AND($G291=1,AND($K$1=7,$N290=0,$U290&gt;1)),1,0)+IF(AND($H291=1,AND($L$1=7,$O290=0,$V290&gt;1)),1,0)</f>
        <v/>
      </c>
      <c r="AB291" s="38">
        <f>IF(IFERROR('Окт'!$I13,"")="",0,$AB290+1)</f>
        <v/>
      </c>
    </row>
    <row r="292" spans="1:28">
      <c r="A292" s="38">
        <f>IF($B$1&gt;=DATE(2026,10,9),1,0)</f>
        <v/>
      </c>
      <c r="B292" s="38">
        <f>IFERROR(IF('Окт'!$B14=TRUE,1,0),0)</f>
        <v/>
      </c>
      <c r="C292" s="38">
        <f>IFERROR(IF('Окт'!$C14=TRUE,1,0),0)</f>
        <v/>
      </c>
      <c r="D292" s="38">
        <f>IFERROR(IF('Окт'!$D14=TRUE,1,0),0)</f>
        <v/>
      </c>
      <c r="E292" s="38">
        <f>IFERROR(IF('Окт'!$E14=TRUE,1,0),0)</f>
        <v/>
      </c>
      <c r="F292" s="38">
        <f>IFERROR(IF('Окт'!$F14=TRUE,1,0),0)</f>
        <v/>
      </c>
      <c r="G292" s="38">
        <f>IFERROR(IF('Окт'!$G14=TRUE,1,0),0)</f>
        <v/>
      </c>
      <c r="H292" s="38">
        <f>IFERROR(IF('Окт'!$H14=TRUE,1,0),0)</f>
        <v/>
      </c>
      <c r="I292" s="38">
        <f>IF($A292=0,$I291,IF($B292=1,$I291+1,IF($P292&lt;=1,$I291,0)))</f>
        <v/>
      </c>
      <c r="J292" s="38">
        <f>IF($A292=0,$J291,IF($C292=1,$J291+1,IF($Q292&lt;=1,$J291,0)))</f>
        <v/>
      </c>
      <c r="K292" s="38">
        <f>IF($A292=0,$K291,IF($D292=1,$K291+1,IF($R292&lt;=1,$K291,0)))</f>
        <v/>
      </c>
      <c r="L292" s="38">
        <f>IF($A292=0,$L291,IF($E292=1,$L291+1,IF($S292&lt;=1,$L291,0)))</f>
        <v/>
      </c>
      <c r="M292" s="38">
        <f>IF($A292=0,$M291,IF($F292=1,$M291+1,IF($T292&lt;=1,$M291,0)))</f>
        <v/>
      </c>
      <c r="N292" s="38">
        <f>IF($A292=0,$N291,IF($G292=1,$N291+1,IF($U292&lt;=1,$N291,0)))</f>
        <v/>
      </c>
      <c r="O292" s="38">
        <f>IF($A292=0,$O291,IF($H292=1,$O291+1,IF($V292&lt;=1,$O291,0)))</f>
        <v/>
      </c>
      <c r="P292" s="38">
        <f>IF($A292=0,$P291,$P291+IF($B292=1,0,1))</f>
        <v/>
      </c>
      <c r="Q292" s="38">
        <f>IF($A292=0,$Q291,$Q291+IF($C292=1,0,1))</f>
        <v/>
      </c>
      <c r="R292" s="38">
        <f>IF($A292=0,$R291,$R291+IF($D292=1,0,1))</f>
        <v/>
      </c>
      <c r="S292" s="38">
        <f>IF($A292=0,$S291,$S291+IF($E292=1,0,1))</f>
        <v/>
      </c>
      <c r="T292" s="38">
        <f>IF($A292=0,$T291,$T291+IF($F292=1,0,1))</f>
        <v/>
      </c>
      <c r="U292" s="38">
        <f>IF($A292=0,$U291,$U291+IF($G292=1,0,1))</f>
        <v/>
      </c>
      <c r="V292" s="38">
        <f>IF($A292=0,$V291,$V291+IF($H292=1,0,1))</f>
        <v/>
      </c>
      <c r="W292" s="38">
        <f>SUM($B292:$H292)</f>
        <v/>
      </c>
      <c r="X292" s="38">
        <f>IF(AND($A292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292=1),1,0)+IF(AND($G$1=7,$C292=1),1,0)+IF(AND($H$1=7,$D292=1),1,0)+IF(AND($I$1=7,$E292=1),1,0)+IF(AND($J$1=7,$F292=1),1,0)+IF(AND($K$1=7,$G292=1),1,0)+IF(AND($L$1=7,$H292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2" s="38">
        <f>IF($B292=1,IF($F$1&lt;7,10,IF(AND($F$1=7,$I291=0,$P291&gt;1),15,IF($I291&gt;=20,15,IF($I291&gt;=6,13,10)))),0)+IF($C292=1,IF($G$1&lt;7,10,IF(AND($G$1=7,$J291=0,$Q291&gt;1),15,IF($J291&gt;=20,15,IF($J291&gt;=6,13,10)))),0)+IF($D292=1,IF($H$1&lt;7,10,IF(AND($H$1=7,$K291=0,$R291&gt;1),15,IF($K291&gt;=20,15,IF($K291&gt;=6,13,10)))),0)+IF($E292=1,IF($I$1&lt;7,10,IF(AND($I$1=7,$L291=0,$S291&gt;1),15,IF($L291&gt;=20,15,IF($L291&gt;=6,13,10)))),0)+IF($F292=1,IF($J$1&lt;7,10,IF(AND($J$1=7,$M291=0,$T291&gt;1),15,IF($M291&gt;=20,15,IF($M291&gt;=6,13,10)))),0)+IF($G292=1,IF($K$1&lt;7,10,IF(AND($K$1=7,$N291=0,$U291&gt;1),15,IF($N291&gt;=20,15,IF($N291&gt;=6,13,10)))),0)+IF($H292=1,IF($L$1&lt;7,10,IF(AND($L$1=7,$O291=0,$V291&gt;1),15,IF($O291&gt;=20,15,IF($O291&gt;=6,13,10)))),0)</f>
        <v/>
      </c>
      <c r="Z292" s="38">
        <f>$Z291+$Y292</f>
        <v/>
      </c>
      <c r="AA292" s="38">
        <f>IF(AND($B292=1,AND($F$1=7,$I291=0,$P291&gt;1)),1,0)+IF(AND($C292=1,AND($G$1=7,$J291=0,$Q291&gt;1)),1,0)+IF(AND($D292=1,AND($H$1=7,$K291=0,$R291&gt;1)),1,0)+IF(AND($E292=1,AND($I$1=7,$L291=0,$S291&gt;1)),1,0)+IF(AND($F292=1,AND($J$1=7,$M291=0,$T291&gt;1)),1,0)+IF(AND($G292=1,AND($K$1=7,$N291=0,$U291&gt;1)),1,0)+IF(AND($H292=1,AND($L$1=7,$O291=0,$V291&gt;1)),1,0)</f>
        <v/>
      </c>
      <c r="AB292" s="38">
        <f>IF(IFERROR('Окт'!$I14,"")="",0,$AB291+1)</f>
        <v/>
      </c>
    </row>
    <row r="293" spans="1:28">
      <c r="A293" s="38">
        <f>IF($B$1&gt;=DATE(2026,10,10),1,0)</f>
        <v/>
      </c>
      <c r="B293" s="38">
        <f>IFERROR(IF('Окт'!$B15=TRUE,1,0),0)</f>
        <v/>
      </c>
      <c r="C293" s="38">
        <f>IFERROR(IF('Окт'!$C15=TRUE,1,0),0)</f>
        <v/>
      </c>
      <c r="D293" s="38">
        <f>IFERROR(IF('Окт'!$D15=TRUE,1,0),0)</f>
        <v/>
      </c>
      <c r="E293" s="38">
        <f>IFERROR(IF('Окт'!$E15=TRUE,1,0),0)</f>
        <v/>
      </c>
      <c r="F293" s="38">
        <f>IFERROR(IF('Окт'!$F15=TRUE,1,0),0)</f>
        <v/>
      </c>
      <c r="G293" s="38">
        <f>IFERROR(IF('Окт'!$G15=TRUE,1,0),0)</f>
        <v/>
      </c>
      <c r="H293" s="38">
        <f>IFERROR(IF('Окт'!$H15=TRUE,1,0),0)</f>
        <v/>
      </c>
      <c r="I293" s="38">
        <f>IF($A293=0,$I292,IF($B293=1,$I292+1,IF($P293&lt;=1,$I292,0)))</f>
        <v/>
      </c>
      <c r="J293" s="38">
        <f>IF($A293=0,$J292,IF($C293=1,$J292+1,IF($Q293&lt;=1,$J292,0)))</f>
        <v/>
      </c>
      <c r="K293" s="38">
        <f>IF($A293=0,$K292,IF($D293=1,$K292+1,IF($R293&lt;=1,$K292,0)))</f>
        <v/>
      </c>
      <c r="L293" s="38">
        <f>IF($A293=0,$L292,IF($E293=1,$L292+1,IF($S293&lt;=1,$L292,0)))</f>
        <v/>
      </c>
      <c r="M293" s="38">
        <f>IF($A293=0,$M292,IF($F293=1,$M292+1,IF($T293&lt;=1,$M292,0)))</f>
        <v/>
      </c>
      <c r="N293" s="38">
        <f>IF($A293=0,$N292,IF($G293=1,$N292+1,IF($U293&lt;=1,$N292,0)))</f>
        <v/>
      </c>
      <c r="O293" s="38">
        <f>IF($A293=0,$O292,IF($H293=1,$O292+1,IF($V293&lt;=1,$O292,0)))</f>
        <v/>
      </c>
      <c r="P293" s="38">
        <f>IF($A293=0,$P292,$P292+IF($B293=1,0,1))</f>
        <v/>
      </c>
      <c r="Q293" s="38">
        <f>IF($A293=0,$Q292,$Q292+IF($C293=1,0,1))</f>
        <v/>
      </c>
      <c r="R293" s="38">
        <f>IF($A293=0,$R292,$R292+IF($D293=1,0,1))</f>
        <v/>
      </c>
      <c r="S293" s="38">
        <f>IF($A293=0,$S292,$S292+IF($E293=1,0,1))</f>
        <v/>
      </c>
      <c r="T293" s="38">
        <f>IF($A293=0,$T292,$T292+IF($F293=1,0,1))</f>
        <v/>
      </c>
      <c r="U293" s="38">
        <f>IF($A293=0,$U292,$U292+IF($G293=1,0,1))</f>
        <v/>
      </c>
      <c r="V293" s="38">
        <f>IF($A293=0,$V292,$V292+IF($H293=1,0,1))</f>
        <v/>
      </c>
      <c r="W293" s="38">
        <f>SUM($B293:$H293)</f>
        <v/>
      </c>
      <c r="X293" s="38">
        <f>IF(AND($A293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293=1),1,0)+IF(AND($G$1=7,$C293=1),1,0)+IF(AND($H$1=7,$D293=1),1,0)+IF(AND($I$1=7,$E293=1),1,0)+IF(AND($J$1=7,$F293=1),1,0)+IF(AND($K$1=7,$G293=1),1,0)+IF(AND($L$1=7,$H293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3" s="38">
        <f>IF($B293=1,IF($F$1&lt;7,10,IF(AND($F$1=7,$I292=0,$P292&gt;1),15,IF($I292&gt;=20,15,IF($I292&gt;=6,13,10)))),0)+IF($C293=1,IF($G$1&lt;7,10,IF(AND($G$1=7,$J292=0,$Q292&gt;1),15,IF($J292&gt;=20,15,IF($J292&gt;=6,13,10)))),0)+IF($D293=1,IF($H$1&lt;7,10,IF(AND($H$1=7,$K292=0,$R292&gt;1),15,IF($K292&gt;=20,15,IF($K292&gt;=6,13,10)))),0)+IF($E293=1,IF($I$1&lt;7,10,IF(AND($I$1=7,$L292=0,$S292&gt;1),15,IF($L292&gt;=20,15,IF($L292&gt;=6,13,10)))),0)+IF($F293=1,IF($J$1&lt;7,10,IF(AND($J$1=7,$M292=0,$T292&gt;1),15,IF($M292&gt;=20,15,IF($M292&gt;=6,13,10)))),0)+IF($G293=1,IF($K$1&lt;7,10,IF(AND($K$1=7,$N292=0,$U292&gt;1),15,IF($N292&gt;=20,15,IF($N292&gt;=6,13,10)))),0)+IF($H293=1,IF($L$1&lt;7,10,IF(AND($L$1=7,$O292=0,$V292&gt;1),15,IF($O292&gt;=20,15,IF($O292&gt;=6,13,10)))),0)</f>
        <v/>
      </c>
      <c r="Z293" s="38">
        <f>$Z292+$Y293</f>
        <v/>
      </c>
      <c r="AA293" s="38">
        <f>IF(AND($B293=1,AND($F$1=7,$I292=0,$P292&gt;1)),1,0)+IF(AND($C293=1,AND($G$1=7,$J292=0,$Q292&gt;1)),1,0)+IF(AND($D293=1,AND($H$1=7,$K292=0,$R292&gt;1)),1,0)+IF(AND($E293=1,AND($I$1=7,$L292=0,$S292&gt;1)),1,0)+IF(AND($F293=1,AND($J$1=7,$M292=0,$T292&gt;1)),1,0)+IF(AND($G293=1,AND($K$1=7,$N292=0,$U292&gt;1)),1,0)+IF(AND($H293=1,AND($L$1=7,$O292=0,$V292&gt;1)),1,0)</f>
        <v/>
      </c>
      <c r="AB293" s="38">
        <f>IF(IFERROR('Окт'!$I15,"")="",0,$AB292+1)</f>
        <v/>
      </c>
    </row>
    <row r="294" spans="1:28">
      <c r="A294" s="38">
        <f>IF($B$1&gt;=DATE(2026,10,11),1,0)</f>
        <v/>
      </c>
      <c r="B294" s="38">
        <f>IFERROR(IF('Окт'!$B16=TRUE,1,0),0)</f>
        <v/>
      </c>
      <c r="C294" s="38">
        <f>IFERROR(IF('Окт'!$C16=TRUE,1,0),0)</f>
        <v/>
      </c>
      <c r="D294" s="38">
        <f>IFERROR(IF('Окт'!$D16=TRUE,1,0),0)</f>
        <v/>
      </c>
      <c r="E294" s="38">
        <f>IFERROR(IF('Окт'!$E16=TRUE,1,0),0)</f>
        <v/>
      </c>
      <c r="F294" s="38">
        <f>IFERROR(IF('Окт'!$F16=TRUE,1,0),0)</f>
        <v/>
      </c>
      <c r="G294" s="38">
        <f>IFERROR(IF('Окт'!$G16=TRUE,1,0),0)</f>
        <v/>
      </c>
      <c r="H294" s="38">
        <f>IFERROR(IF('Окт'!$H16=TRUE,1,0),0)</f>
        <v/>
      </c>
      <c r="I294" s="38">
        <f>IF($A294=0,$I293,IF($B294=1,$I293+1,IF($P294&lt;=1,$I293,0)))</f>
        <v/>
      </c>
      <c r="J294" s="38">
        <f>IF($A294=0,$J293,IF($C294=1,$J293+1,IF($Q294&lt;=1,$J293,0)))</f>
        <v/>
      </c>
      <c r="K294" s="38">
        <f>IF($A294=0,$K293,IF($D294=1,$K293+1,IF($R294&lt;=1,$K293,0)))</f>
        <v/>
      </c>
      <c r="L294" s="38">
        <f>IF($A294=0,$L293,IF($E294=1,$L293+1,IF($S294&lt;=1,$L293,0)))</f>
        <v/>
      </c>
      <c r="M294" s="38">
        <f>IF($A294=0,$M293,IF($F294=1,$M293+1,IF($T294&lt;=1,$M293,0)))</f>
        <v/>
      </c>
      <c r="N294" s="38">
        <f>IF($A294=0,$N293,IF($G294=1,$N293+1,IF($U294&lt;=1,$N293,0)))</f>
        <v/>
      </c>
      <c r="O294" s="38">
        <f>IF($A294=0,$O293,IF($H294=1,$O293+1,IF($V294&lt;=1,$O293,0)))</f>
        <v/>
      </c>
      <c r="P294" s="38">
        <f>IF($A294=0,$P293,$P293+IF($B294=1,0,1))</f>
        <v/>
      </c>
      <c r="Q294" s="38">
        <f>IF($A294=0,$Q293,$Q293+IF($C294=1,0,1))</f>
        <v/>
      </c>
      <c r="R294" s="38">
        <f>IF($A294=0,$R293,$R293+IF($D294=1,0,1))</f>
        <v/>
      </c>
      <c r="S294" s="38">
        <f>IF($A294=0,$S293,$S293+IF($E294=1,0,1))</f>
        <v/>
      </c>
      <c r="T294" s="38">
        <f>IF($A294=0,$T293,$T293+IF($F294=1,0,1))</f>
        <v/>
      </c>
      <c r="U294" s="38">
        <f>IF($A294=0,$U293,$U293+IF($G294=1,0,1))</f>
        <v/>
      </c>
      <c r="V294" s="38">
        <f>IF($A294=0,$V293,$V293+IF($H294=1,0,1))</f>
        <v/>
      </c>
      <c r="W294" s="38">
        <f>SUM($B294:$H294)</f>
        <v/>
      </c>
      <c r="X294" s="38">
        <f>IF(AND($A294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294=1),1,0)+IF(AND($G$1=7,$C294=1),1,0)+IF(AND($H$1=7,$D294=1),1,0)+IF(AND($I$1=7,$E294=1),1,0)+IF(AND($J$1=7,$F294=1),1,0)+IF(AND($K$1=7,$G294=1),1,0)+IF(AND($L$1=7,$H294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4" s="38">
        <f>IF($B294=1,IF($F$1&lt;7,10,IF(AND($F$1=7,$I293=0,$P293&gt;1),15,IF($I293&gt;=20,15,IF($I293&gt;=6,13,10)))),0)+IF($C294=1,IF($G$1&lt;7,10,IF(AND($G$1=7,$J293=0,$Q293&gt;1),15,IF($J293&gt;=20,15,IF($J293&gt;=6,13,10)))),0)+IF($D294=1,IF($H$1&lt;7,10,IF(AND($H$1=7,$K293=0,$R293&gt;1),15,IF($K293&gt;=20,15,IF($K293&gt;=6,13,10)))),0)+IF($E294=1,IF($I$1&lt;7,10,IF(AND($I$1=7,$L293=0,$S293&gt;1),15,IF($L293&gt;=20,15,IF($L293&gt;=6,13,10)))),0)+IF($F294=1,IF($J$1&lt;7,10,IF(AND($J$1=7,$M293=0,$T293&gt;1),15,IF($M293&gt;=20,15,IF($M293&gt;=6,13,10)))),0)+IF($G294=1,IF($K$1&lt;7,10,IF(AND($K$1=7,$N293=0,$U293&gt;1),15,IF($N293&gt;=20,15,IF($N293&gt;=6,13,10)))),0)+IF($H294=1,IF($L$1&lt;7,10,IF(AND($L$1=7,$O293=0,$V293&gt;1),15,IF($O293&gt;=20,15,IF($O293&gt;=6,13,10)))),0)</f>
        <v/>
      </c>
      <c r="Z294" s="38">
        <f>$Z293+$Y294</f>
        <v/>
      </c>
      <c r="AA294" s="38">
        <f>IF(AND($B294=1,AND($F$1=7,$I293=0,$P293&gt;1)),1,0)+IF(AND($C294=1,AND($G$1=7,$J293=0,$Q293&gt;1)),1,0)+IF(AND($D294=1,AND($H$1=7,$K293=0,$R293&gt;1)),1,0)+IF(AND($E294=1,AND($I$1=7,$L293=0,$S293&gt;1)),1,0)+IF(AND($F294=1,AND($J$1=7,$M293=0,$T293&gt;1)),1,0)+IF(AND($G294=1,AND($K$1=7,$N293=0,$U293&gt;1)),1,0)+IF(AND($H294=1,AND($L$1=7,$O293=0,$V293&gt;1)),1,0)</f>
        <v/>
      </c>
      <c r="AB294" s="38">
        <f>IF(IFERROR('Окт'!$I16,"")="",0,$AB293+1)</f>
        <v/>
      </c>
    </row>
    <row r="295" spans="1:28">
      <c r="A295" s="38">
        <f>IF($B$1&gt;=DATE(2026,10,12),1,0)</f>
        <v/>
      </c>
      <c r="B295" s="38">
        <f>IFERROR(IF('Окт'!$B17=TRUE,1,0),0)</f>
        <v/>
      </c>
      <c r="C295" s="38">
        <f>IFERROR(IF('Окт'!$C17=TRUE,1,0),0)</f>
        <v/>
      </c>
      <c r="D295" s="38">
        <f>IFERROR(IF('Окт'!$D17=TRUE,1,0),0)</f>
        <v/>
      </c>
      <c r="E295" s="38">
        <f>IFERROR(IF('Окт'!$E17=TRUE,1,0),0)</f>
        <v/>
      </c>
      <c r="F295" s="38">
        <f>IFERROR(IF('Окт'!$F17=TRUE,1,0),0)</f>
        <v/>
      </c>
      <c r="G295" s="38">
        <f>IFERROR(IF('Окт'!$G17=TRUE,1,0),0)</f>
        <v/>
      </c>
      <c r="H295" s="38">
        <f>IFERROR(IF('Окт'!$H17=TRUE,1,0),0)</f>
        <v/>
      </c>
      <c r="I295" s="38">
        <f>IF($A295=0,$I294,IF($B295=1,$I294+1,IF($P295&lt;=1,$I294,0)))</f>
        <v/>
      </c>
      <c r="J295" s="38">
        <f>IF($A295=0,$J294,IF($C295=1,$J294+1,IF($Q295&lt;=1,$J294,0)))</f>
        <v/>
      </c>
      <c r="K295" s="38">
        <f>IF($A295=0,$K294,IF($D295=1,$K294+1,IF($R295&lt;=1,$K294,0)))</f>
        <v/>
      </c>
      <c r="L295" s="38">
        <f>IF($A295=0,$L294,IF($E295=1,$L294+1,IF($S295&lt;=1,$L294,0)))</f>
        <v/>
      </c>
      <c r="M295" s="38">
        <f>IF($A295=0,$M294,IF($F295=1,$M294+1,IF($T295&lt;=1,$M294,0)))</f>
        <v/>
      </c>
      <c r="N295" s="38">
        <f>IF($A295=0,$N294,IF($G295=1,$N294+1,IF($U295&lt;=1,$N294,0)))</f>
        <v/>
      </c>
      <c r="O295" s="38">
        <f>IF($A295=0,$O294,IF($H295=1,$O294+1,IF($V295&lt;=1,$O294,0)))</f>
        <v/>
      </c>
      <c r="P295" s="38">
        <f>IF($A295=0,$P294,$P294+IF($B295=1,0,1))</f>
        <v/>
      </c>
      <c r="Q295" s="38">
        <f>IF($A295=0,$Q294,$Q294+IF($C295=1,0,1))</f>
        <v/>
      </c>
      <c r="R295" s="38">
        <f>IF($A295=0,$R294,$R294+IF($D295=1,0,1))</f>
        <v/>
      </c>
      <c r="S295" s="38">
        <f>IF($A295=0,$S294,$S294+IF($E295=1,0,1))</f>
        <v/>
      </c>
      <c r="T295" s="38">
        <f>IF($A295=0,$T294,$T294+IF($F295=1,0,1))</f>
        <v/>
      </c>
      <c r="U295" s="38">
        <f>IF($A295=0,$U294,$U294+IF($G295=1,0,1))</f>
        <v/>
      </c>
      <c r="V295" s="38">
        <f>IF($A295=0,$V294,$V294+IF($H295=1,0,1))</f>
        <v/>
      </c>
      <c r="W295" s="38">
        <f>SUM($B295:$H295)</f>
        <v/>
      </c>
      <c r="X295" s="38">
        <f>IF(AND($A295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295=1),1,0)+IF(AND($G$1=7,$C295=1),1,0)+IF(AND($H$1=7,$D295=1),1,0)+IF(AND($I$1=7,$E295=1),1,0)+IF(AND($J$1=7,$F295=1),1,0)+IF(AND($K$1=7,$G295=1),1,0)+IF(AND($L$1=7,$H295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5" s="38">
        <f>IF($B295=1,IF($F$1&lt;7,10,IF(AND($F$1=7,$I294=0,$P294&gt;1),15,IF($I294&gt;=20,15,IF($I294&gt;=6,13,10)))),0)+IF($C295=1,IF($G$1&lt;7,10,IF(AND($G$1=7,$J294=0,$Q294&gt;1),15,IF($J294&gt;=20,15,IF($J294&gt;=6,13,10)))),0)+IF($D295=1,IF($H$1&lt;7,10,IF(AND($H$1=7,$K294=0,$R294&gt;1),15,IF($K294&gt;=20,15,IF($K294&gt;=6,13,10)))),0)+IF($E295=1,IF($I$1&lt;7,10,IF(AND($I$1=7,$L294=0,$S294&gt;1),15,IF($L294&gt;=20,15,IF($L294&gt;=6,13,10)))),0)+IF($F295=1,IF($J$1&lt;7,10,IF(AND($J$1=7,$M294=0,$T294&gt;1),15,IF($M294&gt;=20,15,IF($M294&gt;=6,13,10)))),0)+IF($G295=1,IF($K$1&lt;7,10,IF(AND($K$1=7,$N294=0,$U294&gt;1),15,IF($N294&gt;=20,15,IF($N294&gt;=6,13,10)))),0)+IF($H295=1,IF($L$1&lt;7,10,IF(AND($L$1=7,$O294=0,$V294&gt;1),15,IF($O294&gt;=20,15,IF($O294&gt;=6,13,10)))),0)</f>
        <v/>
      </c>
      <c r="Z295" s="38">
        <f>$Z294+$Y295</f>
        <v/>
      </c>
      <c r="AA295" s="38">
        <f>IF(AND($B295=1,AND($F$1=7,$I294=0,$P294&gt;1)),1,0)+IF(AND($C295=1,AND($G$1=7,$J294=0,$Q294&gt;1)),1,0)+IF(AND($D295=1,AND($H$1=7,$K294=0,$R294&gt;1)),1,0)+IF(AND($E295=1,AND($I$1=7,$L294=0,$S294&gt;1)),1,0)+IF(AND($F295=1,AND($J$1=7,$M294=0,$T294&gt;1)),1,0)+IF(AND($G295=1,AND($K$1=7,$N294=0,$U294&gt;1)),1,0)+IF(AND($H295=1,AND($L$1=7,$O294=0,$V294&gt;1)),1,0)</f>
        <v/>
      </c>
      <c r="AB295" s="38">
        <f>IF(IFERROR('Окт'!$I17,"")="",0,$AB294+1)</f>
        <v/>
      </c>
    </row>
    <row r="296" spans="1:28">
      <c r="A296" s="38">
        <f>IF($B$1&gt;=DATE(2026,10,13),1,0)</f>
        <v/>
      </c>
      <c r="B296" s="38">
        <f>IFERROR(IF('Окт'!$B18=TRUE,1,0),0)</f>
        <v/>
      </c>
      <c r="C296" s="38">
        <f>IFERROR(IF('Окт'!$C18=TRUE,1,0),0)</f>
        <v/>
      </c>
      <c r="D296" s="38">
        <f>IFERROR(IF('Окт'!$D18=TRUE,1,0),0)</f>
        <v/>
      </c>
      <c r="E296" s="38">
        <f>IFERROR(IF('Окт'!$E18=TRUE,1,0),0)</f>
        <v/>
      </c>
      <c r="F296" s="38">
        <f>IFERROR(IF('Окт'!$F18=TRUE,1,0),0)</f>
        <v/>
      </c>
      <c r="G296" s="38">
        <f>IFERROR(IF('Окт'!$G18=TRUE,1,0),0)</f>
        <v/>
      </c>
      <c r="H296" s="38">
        <f>IFERROR(IF('Окт'!$H18=TRUE,1,0),0)</f>
        <v/>
      </c>
      <c r="I296" s="38">
        <f>IF($A296=0,$I295,IF($B296=1,$I295+1,IF($P296&lt;=1,$I295,0)))</f>
        <v/>
      </c>
      <c r="J296" s="38">
        <f>IF($A296=0,$J295,IF($C296=1,$J295+1,IF($Q296&lt;=1,$J295,0)))</f>
        <v/>
      </c>
      <c r="K296" s="38">
        <f>IF($A296=0,$K295,IF($D296=1,$K295+1,IF($R296&lt;=1,$K295,0)))</f>
        <v/>
      </c>
      <c r="L296" s="38">
        <f>IF($A296=0,$L295,IF($E296=1,$L295+1,IF($S296&lt;=1,$L295,0)))</f>
        <v/>
      </c>
      <c r="M296" s="38">
        <f>IF($A296=0,$M295,IF($F296=1,$M295+1,IF($T296&lt;=1,$M295,0)))</f>
        <v/>
      </c>
      <c r="N296" s="38">
        <f>IF($A296=0,$N295,IF($G296=1,$N295+1,IF($U296&lt;=1,$N295,0)))</f>
        <v/>
      </c>
      <c r="O296" s="38">
        <f>IF($A296=0,$O295,IF($H296=1,$O295+1,IF($V296&lt;=1,$O295,0)))</f>
        <v/>
      </c>
      <c r="P296" s="38">
        <f>IF($A296=0,$P295,$P295+IF($B296=1,0,1))</f>
        <v/>
      </c>
      <c r="Q296" s="38">
        <f>IF($A296=0,$Q295,$Q295+IF($C296=1,0,1))</f>
        <v/>
      </c>
      <c r="R296" s="38">
        <f>IF($A296=0,$R295,$R295+IF($D296=1,0,1))</f>
        <v/>
      </c>
      <c r="S296" s="38">
        <f>IF($A296=0,$S295,$S295+IF($E296=1,0,1))</f>
        <v/>
      </c>
      <c r="T296" s="38">
        <f>IF($A296=0,$T295,$T295+IF($F296=1,0,1))</f>
        <v/>
      </c>
      <c r="U296" s="38">
        <f>IF($A296=0,$U295,$U295+IF($G296=1,0,1))</f>
        <v/>
      </c>
      <c r="V296" s="38">
        <f>IF($A296=0,$V295,$V295+IF($H296=1,0,1))</f>
        <v/>
      </c>
      <c r="W296" s="38">
        <f>SUM($B296:$H296)</f>
        <v/>
      </c>
      <c r="X296" s="38">
        <f>IF(AND($A296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296=1),1,0)+IF(AND($G$1=7,$C296=1),1,0)+IF(AND($H$1=7,$D296=1),1,0)+IF(AND($I$1=7,$E296=1),1,0)+IF(AND($J$1=7,$F296=1),1,0)+IF(AND($K$1=7,$G296=1),1,0)+IF(AND($L$1=7,$H296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6" s="38">
        <f>IF($B296=1,IF($F$1&lt;7,10,IF(AND($F$1=7,$I295=0,$P295&gt;1),15,IF($I295&gt;=20,15,IF($I295&gt;=6,13,10)))),0)+IF($C296=1,IF($G$1&lt;7,10,IF(AND($G$1=7,$J295=0,$Q295&gt;1),15,IF($J295&gt;=20,15,IF($J295&gt;=6,13,10)))),0)+IF($D296=1,IF($H$1&lt;7,10,IF(AND($H$1=7,$K295=0,$R295&gt;1),15,IF($K295&gt;=20,15,IF($K295&gt;=6,13,10)))),0)+IF($E296=1,IF($I$1&lt;7,10,IF(AND($I$1=7,$L295=0,$S295&gt;1),15,IF($L295&gt;=20,15,IF($L295&gt;=6,13,10)))),0)+IF($F296=1,IF($J$1&lt;7,10,IF(AND($J$1=7,$M295=0,$T295&gt;1),15,IF($M295&gt;=20,15,IF($M295&gt;=6,13,10)))),0)+IF($G296=1,IF($K$1&lt;7,10,IF(AND($K$1=7,$N295=0,$U295&gt;1),15,IF($N295&gt;=20,15,IF($N295&gt;=6,13,10)))),0)+IF($H296=1,IF($L$1&lt;7,10,IF(AND($L$1=7,$O295=0,$V295&gt;1),15,IF($O295&gt;=20,15,IF($O295&gt;=6,13,10)))),0)</f>
        <v/>
      </c>
      <c r="Z296" s="38">
        <f>$Z295+$Y296</f>
        <v/>
      </c>
      <c r="AA296" s="38">
        <f>IF(AND($B296=1,AND($F$1=7,$I295=0,$P295&gt;1)),1,0)+IF(AND($C296=1,AND($G$1=7,$J295=0,$Q295&gt;1)),1,0)+IF(AND($D296=1,AND($H$1=7,$K295=0,$R295&gt;1)),1,0)+IF(AND($E296=1,AND($I$1=7,$L295=0,$S295&gt;1)),1,0)+IF(AND($F296=1,AND($J$1=7,$M295=0,$T295&gt;1)),1,0)+IF(AND($G296=1,AND($K$1=7,$N295=0,$U295&gt;1)),1,0)+IF(AND($H296=1,AND($L$1=7,$O295=0,$V295&gt;1)),1,0)</f>
        <v/>
      </c>
      <c r="AB296" s="38">
        <f>IF(IFERROR('Окт'!$I18,"")="",0,$AB295+1)</f>
        <v/>
      </c>
    </row>
    <row r="297" spans="1:28">
      <c r="A297" s="38">
        <f>IF($B$1&gt;=DATE(2026,10,14),1,0)</f>
        <v/>
      </c>
      <c r="B297" s="38">
        <f>IFERROR(IF('Окт'!$B19=TRUE,1,0),0)</f>
        <v/>
      </c>
      <c r="C297" s="38">
        <f>IFERROR(IF('Окт'!$C19=TRUE,1,0),0)</f>
        <v/>
      </c>
      <c r="D297" s="38">
        <f>IFERROR(IF('Окт'!$D19=TRUE,1,0),0)</f>
        <v/>
      </c>
      <c r="E297" s="38">
        <f>IFERROR(IF('Окт'!$E19=TRUE,1,0),0)</f>
        <v/>
      </c>
      <c r="F297" s="38">
        <f>IFERROR(IF('Окт'!$F19=TRUE,1,0),0)</f>
        <v/>
      </c>
      <c r="G297" s="38">
        <f>IFERROR(IF('Окт'!$G19=TRUE,1,0),0)</f>
        <v/>
      </c>
      <c r="H297" s="38">
        <f>IFERROR(IF('Окт'!$H19=TRUE,1,0),0)</f>
        <v/>
      </c>
      <c r="I297" s="38">
        <f>IF($A297=0,$I296,IF($B297=1,$I296+1,IF($P297&lt;=1,$I296,0)))</f>
        <v/>
      </c>
      <c r="J297" s="38">
        <f>IF($A297=0,$J296,IF($C297=1,$J296+1,IF($Q297&lt;=1,$J296,0)))</f>
        <v/>
      </c>
      <c r="K297" s="38">
        <f>IF($A297=0,$K296,IF($D297=1,$K296+1,IF($R297&lt;=1,$K296,0)))</f>
        <v/>
      </c>
      <c r="L297" s="38">
        <f>IF($A297=0,$L296,IF($E297=1,$L296+1,IF($S297&lt;=1,$L296,0)))</f>
        <v/>
      </c>
      <c r="M297" s="38">
        <f>IF($A297=0,$M296,IF($F297=1,$M296+1,IF($T297&lt;=1,$M296,0)))</f>
        <v/>
      </c>
      <c r="N297" s="38">
        <f>IF($A297=0,$N296,IF($G297=1,$N296+1,IF($U297&lt;=1,$N296,0)))</f>
        <v/>
      </c>
      <c r="O297" s="38">
        <f>IF($A297=0,$O296,IF($H297=1,$O296+1,IF($V297&lt;=1,$O296,0)))</f>
        <v/>
      </c>
      <c r="P297" s="38">
        <f>IF($A297=0,$P296,$P296+IF($B297=1,0,1))</f>
        <v/>
      </c>
      <c r="Q297" s="38">
        <f>IF($A297=0,$Q296,$Q296+IF($C297=1,0,1))</f>
        <v/>
      </c>
      <c r="R297" s="38">
        <f>IF($A297=0,$R296,$R296+IF($D297=1,0,1))</f>
        <v/>
      </c>
      <c r="S297" s="38">
        <f>IF($A297=0,$S296,$S296+IF($E297=1,0,1))</f>
        <v/>
      </c>
      <c r="T297" s="38">
        <f>IF($A297=0,$T296,$T296+IF($F297=1,0,1))</f>
        <v/>
      </c>
      <c r="U297" s="38">
        <f>IF($A297=0,$U296,$U296+IF($G297=1,0,1))</f>
        <v/>
      </c>
      <c r="V297" s="38">
        <f>IF($A297=0,$V296,$V296+IF($H297=1,0,1))</f>
        <v/>
      </c>
      <c r="W297" s="38">
        <f>SUM($B297:$H297)</f>
        <v/>
      </c>
      <c r="X297" s="38">
        <f>IF(AND($A297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297=1),1,0)+IF(AND($G$1=7,$C297=1),1,0)+IF(AND($H$1=7,$D297=1),1,0)+IF(AND($I$1=7,$E297=1),1,0)+IF(AND($J$1=7,$F297=1),1,0)+IF(AND($K$1=7,$G297=1),1,0)+IF(AND($L$1=7,$H297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7" s="38">
        <f>IF($B297=1,IF($F$1&lt;7,10,IF(AND($F$1=7,$I296=0,$P296&gt;1),15,IF($I296&gt;=20,15,IF($I296&gt;=6,13,10)))),0)+IF($C297=1,IF($G$1&lt;7,10,IF(AND($G$1=7,$J296=0,$Q296&gt;1),15,IF($J296&gt;=20,15,IF($J296&gt;=6,13,10)))),0)+IF($D297=1,IF($H$1&lt;7,10,IF(AND($H$1=7,$K296=0,$R296&gt;1),15,IF($K296&gt;=20,15,IF($K296&gt;=6,13,10)))),0)+IF($E297=1,IF($I$1&lt;7,10,IF(AND($I$1=7,$L296=0,$S296&gt;1),15,IF($L296&gt;=20,15,IF($L296&gt;=6,13,10)))),0)+IF($F297=1,IF($J$1&lt;7,10,IF(AND($J$1=7,$M296=0,$T296&gt;1),15,IF($M296&gt;=20,15,IF($M296&gt;=6,13,10)))),0)+IF($G297=1,IF($K$1&lt;7,10,IF(AND($K$1=7,$N296=0,$U296&gt;1),15,IF($N296&gt;=20,15,IF($N296&gt;=6,13,10)))),0)+IF($H297=1,IF($L$1&lt;7,10,IF(AND($L$1=7,$O296=0,$V296&gt;1),15,IF($O296&gt;=20,15,IF($O296&gt;=6,13,10)))),0)</f>
        <v/>
      </c>
      <c r="Z297" s="38">
        <f>$Z296+$Y297</f>
        <v/>
      </c>
      <c r="AA297" s="38">
        <f>IF(AND($B297=1,AND($F$1=7,$I296=0,$P296&gt;1)),1,0)+IF(AND($C297=1,AND($G$1=7,$J296=0,$Q296&gt;1)),1,0)+IF(AND($D297=1,AND($H$1=7,$K296=0,$R296&gt;1)),1,0)+IF(AND($E297=1,AND($I$1=7,$L296=0,$S296&gt;1)),1,0)+IF(AND($F297=1,AND($J$1=7,$M296=0,$T296&gt;1)),1,0)+IF(AND($G297=1,AND($K$1=7,$N296=0,$U296&gt;1)),1,0)+IF(AND($H297=1,AND($L$1=7,$O296=0,$V296&gt;1)),1,0)</f>
        <v/>
      </c>
      <c r="AB297" s="38">
        <f>IF(IFERROR('Окт'!$I19,"")="",0,$AB296+1)</f>
        <v/>
      </c>
    </row>
    <row r="298" spans="1:28">
      <c r="A298" s="38">
        <f>IF($B$1&gt;=DATE(2026,10,15),1,0)</f>
        <v/>
      </c>
      <c r="B298" s="38">
        <f>IFERROR(IF('Окт'!$B20=TRUE,1,0),0)</f>
        <v/>
      </c>
      <c r="C298" s="38">
        <f>IFERROR(IF('Окт'!$C20=TRUE,1,0),0)</f>
        <v/>
      </c>
      <c r="D298" s="38">
        <f>IFERROR(IF('Окт'!$D20=TRUE,1,0),0)</f>
        <v/>
      </c>
      <c r="E298" s="38">
        <f>IFERROR(IF('Окт'!$E20=TRUE,1,0),0)</f>
        <v/>
      </c>
      <c r="F298" s="38">
        <f>IFERROR(IF('Окт'!$F20=TRUE,1,0),0)</f>
        <v/>
      </c>
      <c r="G298" s="38">
        <f>IFERROR(IF('Окт'!$G20=TRUE,1,0),0)</f>
        <v/>
      </c>
      <c r="H298" s="38">
        <f>IFERROR(IF('Окт'!$H20=TRUE,1,0),0)</f>
        <v/>
      </c>
      <c r="I298" s="38">
        <f>IF($A298=0,$I297,IF($B298=1,$I297+1,IF($P298&lt;=1,$I297,0)))</f>
        <v/>
      </c>
      <c r="J298" s="38">
        <f>IF($A298=0,$J297,IF($C298=1,$J297+1,IF($Q298&lt;=1,$J297,0)))</f>
        <v/>
      </c>
      <c r="K298" s="38">
        <f>IF($A298=0,$K297,IF($D298=1,$K297+1,IF($R298&lt;=1,$K297,0)))</f>
        <v/>
      </c>
      <c r="L298" s="38">
        <f>IF($A298=0,$L297,IF($E298=1,$L297+1,IF($S298&lt;=1,$L297,0)))</f>
        <v/>
      </c>
      <c r="M298" s="38">
        <f>IF($A298=0,$M297,IF($F298=1,$M297+1,IF($T298&lt;=1,$M297,0)))</f>
        <v/>
      </c>
      <c r="N298" s="38">
        <f>IF($A298=0,$N297,IF($G298=1,$N297+1,IF($U298&lt;=1,$N297,0)))</f>
        <v/>
      </c>
      <c r="O298" s="38">
        <f>IF($A298=0,$O297,IF($H298=1,$O297+1,IF($V298&lt;=1,$O297,0)))</f>
        <v/>
      </c>
      <c r="P298" s="38">
        <f>IF($A298=0,$P297,$P297+IF($B298=1,0,1))</f>
        <v/>
      </c>
      <c r="Q298" s="38">
        <f>IF($A298=0,$Q297,$Q297+IF($C298=1,0,1))</f>
        <v/>
      </c>
      <c r="R298" s="38">
        <f>IF($A298=0,$R297,$R297+IF($D298=1,0,1))</f>
        <v/>
      </c>
      <c r="S298" s="38">
        <f>IF($A298=0,$S297,$S297+IF($E298=1,0,1))</f>
        <v/>
      </c>
      <c r="T298" s="38">
        <f>IF($A298=0,$T297,$T297+IF($F298=1,0,1))</f>
        <v/>
      </c>
      <c r="U298" s="38">
        <f>IF($A298=0,$U297,$U297+IF($G298=1,0,1))</f>
        <v/>
      </c>
      <c r="V298" s="38">
        <f>IF($A298=0,$V297,$V297+IF($H298=1,0,1))</f>
        <v/>
      </c>
      <c r="W298" s="38">
        <f>SUM($B298:$H298)</f>
        <v/>
      </c>
      <c r="X298" s="38">
        <f>IF(AND($A298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298=1),1,0)+IF(AND($G$1=7,$C298=1),1,0)+IF(AND($H$1=7,$D298=1),1,0)+IF(AND($I$1=7,$E298=1),1,0)+IF(AND($J$1=7,$F298=1),1,0)+IF(AND($K$1=7,$G298=1),1,0)+IF(AND($L$1=7,$H298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8" s="38">
        <f>IF($B298=1,IF($F$1&lt;7,10,IF(AND($F$1=7,$I297=0,$P297&gt;1),15,IF($I297&gt;=20,15,IF($I297&gt;=6,13,10)))),0)+IF($C298=1,IF($G$1&lt;7,10,IF(AND($G$1=7,$J297=0,$Q297&gt;1),15,IF($J297&gt;=20,15,IF($J297&gt;=6,13,10)))),0)+IF($D298=1,IF($H$1&lt;7,10,IF(AND($H$1=7,$K297=0,$R297&gt;1),15,IF($K297&gt;=20,15,IF($K297&gt;=6,13,10)))),0)+IF($E298=1,IF($I$1&lt;7,10,IF(AND($I$1=7,$L297=0,$S297&gt;1),15,IF($L297&gt;=20,15,IF($L297&gt;=6,13,10)))),0)+IF($F298=1,IF($J$1&lt;7,10,IF(AND($J$1=7,$M297=0,$T297&gt;1),15,IF($M297&gt;=20,15,IF($M297&gt;=6,13,10)))),0)+IF($G298=1,IF($K$1&lt;7,10,IF(AND($K$1=7,$N297=0,$U297&gt;1),15,IF($N297&gt;=20,15,IF($N297&gt;=6,13,10)))),0)+IF($H298=1,IF($L$1&lt;7,10,IF(AND($L$1=7,$O297=0,$V297&gt;1),15,IF($O297&gt;=20,15,IF($O297&gt;=6,13,10)))),0)</f>
        <v/>
      </c>
      <c r="Z298" s="38">
        <f>$Z297+$Y298</f>
        <v/>
      </c>
      <c r="AA298" s="38">
        <f>IF(AND($B298=1,AND($F$1=7,$I297=0,$P297&gt;1)),1,0)+IF(AND($C298=1,AND($G$1=7,$J297=0,$Q297&gt;1)),1,0)+IF(AND($D298=1,AND($H$1=7,$K297=0,$R297&gt;1)),1,0)+IF(AND($E298=1,AND($I$1=7,$L297=0,$S297&gt;1)),1,0)+IF(AND($F298=1,AND($J$1=7,$M297=0,$T297&gt;1)),1,0)+IF(AND($G298=1,AND($K$1=7,$N297=0,$U297&gt;1)),1,0)+IF(AND($H298=1,AND($L$1=7,$O297=0,$V297&gt;1)),1,0)</f>
        <v/>
      </c>
      <c r="AB298" s="38">
        <f>IF(IFERROR('Окт'!$I20,"")="",0,$AB297+1)</f>
        <v/>
      </c>
    </row>
    <row r="299" spans="1:28">
      <c r="A299" s="38">
        <f>IF($B$1&gt;=DATE(2026,10,16),1,0)</f>
        <v/>
      </c>
      <c r="B299" s="38">
        <f>IFERROR(IF('Окт'!$B21=TRUE,1,0),0)</f>
        <v/>
      </c>
      <c r="C299" s="38">
        <f>IFERROR(IF('Окт'!$C21=TRUE,1,0),0)</f>
        <v/>
      </c>
      <c r="D299" s="38">
        <f>IFERROR(IF('Окт'!$D21=TRUE,1,0),0)</f>
        <v/>
      </c>
      <c r="E299" s="38">
        <f>IFERROR(IF('Окт'!$E21=TRUE,1,0),0)</f>
        <v/>
      </c>
      <c r="F299" s="38">
        <f>IFERROR(IF('Окт'!$F21=TRUE,1,0),0)</f>
        <v/>
      </c>
      <c r="G299" s="38">
        <f>IFERROR(IF('Окт'!$G21=TRUE,1,0),0)</f>
        <v/>
      </c>
      <c r="H299" s="38">
        <f>IFERROR(IF('Окт'!$H21=TRUE,1,0),0)</f>
        <v/>
      </c>
      <c r="I299" s="38">
        <f>IF($A299=0,$I298,IF($B299=1,$I298+1,IF($P299&lt;=1,$I298,0)))</f>
        <v/>
      </c>
      <c r="J299" s="38">
        <f>IF($A299=0,$J298,IF($C299=1,$J298+1,IF($Q299&lt;=1,$J298,0)))</f>
        <v/>
      </c>
      <c r="K299" s="38">
        <f>IF($A299=0,$K298,IF($D299=1,$K298+1,IF($R299&lt;=1,$K298,0)))</f>
        <v/>
      </c>
      <c r="L299" s="38">
        <f>IF($A299=0,$L298,IF($E299=1,$L298+1,IF($S299&lt;=1,$L298,0)))</f>
        <v/>
      </c>
      <c r="M299" s="38">
        <f>IF($A299=0,$M298,IF($F299=1,$M298+1,IF($T299&lt;=1,$M298,0)))</f>
        <v/>
      </c>
      <c r="N299" s="38">
        <f>IF($A299=0,$N298,IF($G299=1,$N298+1,IF($U299&lt;=1,$N298,0)))</f>
        <v/>
      </c>
      <c r="O299" s="38">
        <f>IF($A299=0,$O298,IF($H299=1,$O298+1,IF($V299&lt;=1,$O298,0)))</f>
        <v/>
      </c>
      <c r="P299" s="38">
        <f>IF($A299=0,$P298,$P298+IF($B299=1,0,1))</f>
        <v/>
      </c>
      <c r="Q299" s="38">
        <f>IF($A299=0,$Q298,$Q298+IF($C299=1,0,1))</f>
        <v/>
      </c>
      <c r="R299" s="38">
        <f>IF($A299=0,$R298,$R298+IF($D299=1,0,1))</f>
        <v/>
      </c>
      <c r="S299" s="38">
        <f>IF($A299=0,$S298,$S298+IF($E299=1,0,1))</f>
        <v/>
      </c>
      <c r="T299" s="38">
        <f>IF($A299=0,$T298,$T298+IF($F299=1,0,1))</f>
        <v/>
      </c>
      <c r="U299" s="38">
        <f>IF($A299=0,$U298,$U298+IF($G299=1,0,1))</f>
        <v/>
      </c>
      <c r="V299" s="38">
        <f>IF($A299=0,$V298,$V298+IF($H299=1,0,1))</f>
        <v/>
      </c>
      <c r="W299" s="38">
        <f>SUM($B299:$H299)</f>
        <v/>
      </c>
      <c r="X299" s="38">
        <f>IF(AND($A299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299=1),1,0)+IF(AND($G$1=7,$C299=1),1,0)+IF(AND($H$1=7,$D299=1),1,0)+IF(AND($I$1=7,$E299=1),1,0)+IF(AND($J$1=7,$F299=1),1,0)+IF(AND($K$1=7,$G299=1),1,0)+IF(AND($L$1=7,$H299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9" s="38">
        <f>IF($B299=1,IF($F$1&lt;7,10,IF(AND($F$1=7,$I298=0,$P298&gt;1),15,IF($I298&gt;=20,15,IF($I298&gt;=6,13,10)))),0)+IF($C299=1,IF($G$1&lt;7,10,IF(AND($G$1=7,$J298=0,$Q298&gt;1),15,IF($J298&gt;=20,15,IF($J298&gt;=6,13,10)))),0)+IF($D299=1,IF($H$1&lt;7,10,IF(AND($H$1=7,$K298=0,$R298&gt;1),15,IF($K298&gt;=20,15,IF($K298&gt;=6,13,10)))),0)+IF($E299=1,IF($I$1&lt;7,10,IF(AND($I$1=7,$L298=0,$S298&gt;1),15,IF($L298&gt;=20,15,IF($L298&gt;=6,13,10)))),0)+IF($F299=1,IF($J$1&lt;7,10,IF(AND($J$1=7,$M298=0,$T298&gt;1),15,IF($M298&gt;=20,15,IF($M298&gt;=6,13,10)))),0)+IF($G299=1,IF($K$1&lt;7,10,IF(AND($K$1=7,$N298=0,$U298&gt;1),15,IF($N298&gt;=20,15,IF($N298&gt;=6,13,10)))),0)+IF($H299=1,IF($L$1&lt;7,10,IF(AND($L$1=7,$O298=0,$V298&gt;1),15,IF($O298&gt;=20,15,IF($O298&gt;=6,13,10)))),0)</f>
        <v/>
      </c>
      <c r="Z299" s="38">
        <f>$Z298+$Y299</f>
        <v/>
      </c>
      <c r="AA299" s="38">
        <f>IF(AND($B299=1,AND($F$1=7,$I298=0,$P298&gt;1)),1,0)+IF(AND($C299=1,AND($G$1=7,$J298=0,$Q298&gt;1)),1,0)+IF(AND($D299=1,AND($H$1=7,$K298=0,$R298&gt;1)),1,0)+IF(AND($E299=1,AND($I$1=7,$L298=0,$S298&gt;1)),1,0)+IF(AND($F299=1,AND($J$1=7,$M298=0,$T298&gt;1)),1,0)+IF(AND($G299=1,AND($K$1=7,$N298=0,$U298&gt;1)),1,0)+IF(AND($H299=1,AND($L$1=7,$O298=0,$V298&gt;1)),1,0)</f>
        <v/>
      </c>
      <c r="AB299" s="38">
        <f>IF(IFERROR('Окт'!$I21,"")="",0,$AB298+1)</f>
        <v/>
      </c>
    </row>
    <row r="300" spans="1:28">
      <c r="A300" s="38">
        <f>IF($B$1&gt;=DATE(2026,10,17),1,0)</f>
        <v/>
      </c>
      <c r="B300" s="38">
        <f>IFERROR(IF('Окт'!$B22=TRUE,1,0),0)</f>
        <v/>
      </c>
      <c r="C300" s="38">
        <f>IFERROR(IF('Окт'!$C22=TRUE,1,0),0)</f>
        <v/>
      </c>
      <c r="D300" s="38">
        <f>IFERROR(IF('Окт'!$D22=TRUE,1,0),0)</f>
        <v/>
      </c>
      <c r="E300" s="38">
        <f>IFERROR(IF('Окт'!$E22=TRUE,1,0),0)</f>
        <v/>
      </c>
      <c r="F300" s="38">
        <f>IFERROR(IF('Окт'!$F22=TRUE,1,0),0)</f>
        <v/>
      </c>
      <c r="G300" s="38">
        <f>IFERROR(IF('Окт'!$G22=TRUE,1,0),0)</f>
        <v/>
      </c>
      <c r="H300" s="38">
        <f>IFERROR(IF('Окт'!$H22=TRUE,1,0),0)</f>
        <v/>
      </c>
      <c r="I300" s="38">
        <f>IF($A300=0,$I299,IF($B300=1,$I299+1,IF($P300&lt;=1,$I299,0)))</f>
        <v/>
      </c>
      <c r="J300" s="38">
        <f>IF($A300=0,$J299,IF($C300=1,$J299+1,IF($Q300&lt;=1,$J299,0)))</f>
        <v/>
      </c>
      <c r="K300" s="38">
        <f>IF($A300=0,$K299,IF($D300=1,$K299+1,IF($R300&lt;=1,$K299,0)))</f>
        <v/>
      </c>
      <c r="L300" s="38">
        <f>IF($A300=0,$L299,IF($E300=1,$L299+1,IF($S300&lt;=1,$L299,0)))</f>
        <v/>
      </c>
      <c r="M300" s="38">
        <f>IF($A300=0,$M299,IF($F300=1,$M299+1,IF($T300&lt;=1,$M299,0)))</f>
        <v/>
      </c>
      <c r="N300" s="38">
        <f>IF($A300=0,$N299,IF($G300=1,$N299+1,IF($U300&lt;=1,$N299,0)))</f>
        <v/>
      </c>
      <c r="O300" s="38">
        <f>IF($A300=0,$O299,IF($H300=1,$O299+1,IF($V300&lt;=1,$O299,0)))</f>
        <v/>
      </c>
      <c r="P300" s="38">
        <f>IF($A300=0,$P299,$P299+IF($B300=1,0,1))</f>
        <v/>
      </c>
      <c r="Q300" s="38">
        <f>IF($A300=0,$Q299,$Q299+IF($C300=1,0,1))</f>
        <v/>
      </c>
      <c r="R300" s="38">
        <f>IF($A300=0,$R299,$R299+IF($D300=1,0,1))</f>
        <v/>
      </c>
      <c r="S300" s="38">
        <f>IF($A300=0,$S299,$S299+IF($E300=1,0,1))</f>
        <v/>
      </c>
      <c r="T300" s="38">
        <f>IF($A300=0,$T299,$T299+IF($F300=1,0,1))</f>
        <v/>
      </c>
      <c r="U300" s="38">
        <f>IF($A300=0,$U299,$U299+IF($G300=1,0,1))</f>
        <v/>
      </c>
      <c r="V300" s="38">
        <f>IF($A300=0,$V299,$V299+IF($H300=1,0,1))</f>
        <v/>
      </c>
      <c r="W300" s="38">
        <f>SUM($B300:$H300)</f>
        <v/>
      </c>
      <c r="X300" s="38">
        <f>IF(AND($A300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300=1),1,0)+IF(AND($G$1=7,$C300=1),1,0)+IF(AND($H$1=7,$D300=1),1,0)+IF(AND($I$1=7,$E300=1),1,0)+IF(AND($J$1=7,$F300=1),1,0)+IF(AND($K$1=7,$G300=1),1,0)+IF(AND($L$1=7,$H300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0" s="38">
        <f>IF($B300=1,IF($F$1&lt;7,10,IF(AND($F$1=7,$I299=0,$P299&gt;1),15,IF($I299&gt;=20,15,IF($I299&gt;=6,13,10)))),0)+IF($C300=1,IF($G$1&lt;7,10,IF(AND($G$1=7,$J299=0,$Q299&gt;1),15,IF($J299&gt;=20,15,IF($J299&gt;=6,13,10)))),0)+IF($D300=1,IF($H$1&lt;7,10,IF(AND($H$1=7,$K299=0,$R299&gt;1),15,IF($K299&gt;=20,15,IF($K299&gt;=6,13,10)))),0)+IF($E300=1,IF($I$1&lt;7,10,IF(AND($I$1=7,$L299=0,$S299&gt;1),15,IF($L299&gt;=20,15,IF($L299&gt;=6,13,10)))),0)+IF($F300=1,IF($J$1&lt;7,10,IF(AND($J$1=7,$M299=0,$T299&gt;1),15,IF($M299&gt;=20,15,IF($M299&gt;=6,13,10)))),0)+IF($G300=1,IF($K$1&lt;7,10,IF(AND($K$1=7,$N299=0,$U299&gt;1),15,IF($N299&gt;=20,15,IF($N299&gt;=6,13,10)))),0)+IF($H300=1,IF($L$1&lt;7,10,IF(AND($L$1=7,$O299=0,$V299&gt;1),15,IF($O299&gt;=20,15,IF($O299&gt;=6,13,10)))),0)</f>
        <v/>
      </c>
      <c r="Z300" s="38">
        <f>$Z299+$Y300</f>
        <v/>
      </c>
      <c r="AA300" s="38">
        <f>IF(AND($B300=1,AND($F$1=7,$I299=0,$P299&gt;1)),1,0)+IF(AND($C300=1,AND($G$1=7,$J299=0,$Q299&gt;1)),1,0)+IF(AND($D300=1,AND($H$1=7,$K299=0,$R299&gt;1)),1,0)+IF(AND($E300=1,AND($I$1=7,$L299=0,$S299&gt;1)),1,0)+IF(AND($F300=1,AND($J$1=7,$M299=0,$T299&gt;1)),1,0)+IF(AND($G300=1,AND($K$1=7,$N299=0,$U299&gt;1)),1,0)+IF(AND($H300=1,AND($L$1=7,$O299=0,$V299&gt;1)),1,0)</f>
        <v/>
      </c>
      <c r="AB300" s="38">
        <f>IF(IFERROR('Окт'!$I22,"")="",0,$AB299+1)</f>
        <v/>
      </c>
    </row>
    <row r="301" spans="1:28">
      <c r="A301" s="38">
        <f>IF($B$1&gt;=DATE(2026,10,18),1,0)</f>
        <v/>
      </c>
      <c r="B301" s="38">
        <f>IFERROR(IF('Окт'!$B23=TRUE,1,0),0)</f>
        <v/>
      </c>
      <c r="C301" s="38">
        <f>IFERROR(IF('Окт'!$C23=TRUE,1,0),0)</f>
        <v/>
      </c>
      <c r="D301" s="38">
        <f>IFERROR(IF('Окт'!$D23=TRUE,1,0),0)</f>
        <v/>
      </c>
      <c r="E301" s="38">
        <f>IFERROR(IF('Окт'!$E23=TRUE,1,0),0)</f>
        <v/>
      </c>
      <c r="F301" s="38">
        <f>IFERROR(IF('Окт'!$F23=TRUE,1,0),0)</f>
        <v/>
      </c>
      <c r="G301" s="38">
        <f>IFERROR(IF('Окт'!$G23=TRUE,1,0),0)</f>
        <v/>
      </c>
      <c r="H301" s="38">
        <f>IFERROR(IF('Окт'!$H23=TRUE,1,0),0)</f>
        <v/>
      </c>
      <c r="I301" s="38">
        <f>IF($A301=0,$I300,IF($B301=1,$I300+1,IF($P301&lt;=1,$I300,0)))</f>
        <v/>
      </c>
      <c r="J301" s="38">
        <f>IF($A301=0,$J300,IF($C301=1,$J300+1,IF($Q301&lt;=1,$J300,0)))</f>
        <v/>
      </c>
      <c r="K301" s="38">
        <f>IF($A301=0,$K300,IF($D301=1,$K300+1,IF($R301&lt;=1,$K300,0)))</f>
        <v/>
      </c>
      <c r="L301" s="38">
        <f>IF($A301=0,$L300,IF($E301=1,$L300+1,IF($S301&lt;=1,$L300,0)))</f>
        <v/>
      </c>
      <c r="M301" s="38">
        <f>IF($A301=0,$M300,IF($F301=1,$M300+1,IF($T301&lt;=1,$M300,0)))</f>
        <v/>
      </c>
      <c r="N301" s="38">
        <f>IF($A301=0,$N300,IF($G301=1,$N300+1,IF($U301&lt;=1,$N300,0)))</f>
        <v/>
      </c>
      <c r="O301" s="38">
        <f>IF($A301=0,$O300,IF($H301=1,$O300+1,IF($V301&lt;=1,$O300,0)))</f>
        <v/>
      </c>
      <c r="P301" s="38">
        <f>IF($A301=0,$P300,$P300+IF($B301=1,0,1))</f>
        <v/>
      </c>
      <c r="Q301" s="38">
        <f>IF($A301=0,$Q300,$Q300+IF($C301=1,0,1))</f>
        <v/>
      </c>
      <c r="R301" s="38">
        <f>IF($A301=0,$R300,$R300+IF($D301=1,0,1))</f>
        <v/>
      </c>
      <c r="S301" s="38">
        <f>IF($A301=0,$S300,$S300+IF($E301=1,0,1))</f>
        <v/>
      </c>
      <c r="T301" s="38">
        <f>IF($A301=0,$T300,$T300+IF($F301=1,0,1))</f>
        <v/>
      </c>
      <c r="U301" s="38">
        <f>IF($A301=0,$U300,$U300+IF($G301=1,0,1))</f>
        <v/>
      </c>
      <c r="V301" s="38">
        <f>IF($A301=0,$V300,$V300+IF($H301=1,0,1))</f>
        <v/>
      </c>
      <c r="W301" s="38">
        <f>SUM($B301:$H301)</f>
        <v/>
      </c>
      <c r="X301" s="38">
        <f>IF(AND($A301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301=1),1,0)+IF(AND($G$1=7,$C301=1),1,0)+IF(AND($H$1=7,$D301=1),1,0)+IF(AND($I$1=7,$E301=1),1,0)+IF(AND($J$1=7,$F301=1),1,0)+IF(AND($K$1=7,$G301=1),1,0)+IF(AND($L$1=7,$H301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1" s="38">
        <f>IF($B301=1,IF($F$1&lt;7,10,IF(AND($F$1=7,$I300=0,$P300&gt;1),15,IF($I300&gt;=20,15,IF($I300&gt;=6,13,10)))),0)+IF($C301=1,IF($G$1&lt;7,10,IF(AND($G$1=7,$J300=0,$Q300&gt;1),15,IF($J300&gt;=20,15,IF($J300&gt;=6,13,10)))),0)+IF($D301=1,IF($H$1&lt;7,10,IF(AND($H$1=7,$K300=0,$R300&gt;1),15,IF($K300&gt;=20,15,IF($K300&gt;=6,13,10)))),0)+IF($E301=1,IF($I$1&lt;7,10,IF(AND($I$1=7,$L300=0,$S300&gt;1),15,IF($L300&gt;=20,15,IF($L300&gt;=6,13,10)))),0)+IF($F301=1,IF($J$1&lt;7,10,IF(AND($J$1=7,$M300=0,$T300&gt;1),15,IF($M300&gt;=20,15,IF($M300&gt;=6,13,10)))),0)+IF($G301=1,IF($K$1&lt;7,10,IF(AND($K$1=7,$N300=0,$U300&gt;1),15,IF($N300&gt;=20,15,IF($N300&gt;=6,13,10)))),0)+IF($H301=1,IF($L$1&lt;7,10,IF(AND($L$1=7,$O300=0,$V300&gt;1),15,IF($O300&gt;=20,15,IF($O300&gt;=6,13,10)))),0)</f>
        <v/>
      </c>
      <c r="Z301" s="38">
        <f>$Z300+$Y301</f>
        <v/>
      </c>
      <c r="AA301" s="38">
        <f>IF(AND($B301=1,AND($F$1=7,$I300=0,$P300&gt;1)),1,0)+IF(AND($C301=1,AND($G$1=7,$J300=0,$Q300&gt;1)),1,0)+IF(AND($D301=1,AND($H$1=7,$K300=0,$R300&gt;1)),1,0)+IF(AND($E301=1,AND($I$1=7,$L300=0,$S300&gt;1)),1,0)+IF(AND($F301=1,AND($J$1=7,$M300=0,$T300&gt;1)),1,0)+IF(AND($G301=1,AND($K$1=7,$N300=0,$U300&gt;1)),1,0)+IF(AND($H301=1,AND($L$1=7,$O300=0,$V300&gt;1)),1,0)</f>
        <v/>
      </c>
      <c r="AB301" s="38">
        <f>IF(IFERROR('Окт'!$I23,"")="",0,$AB300+1)</f>
        <v/>
      </c>
    </row>
    <row r="302" spans="1:28">
      <c r="A302" s="38">
        <f>IF($B$1&gt;=DATE(2026,10,19),1,0)</f>
        <v/>
      </c>
      <c r="B302" s="38">
        <f>IFERROR(IF('Окт'!$B24=TRUE,1,0),0)</f>
        <v/>
      </c>
      <c r="C302" s="38">
        <f>IFERROR(IF('Окт'!$C24=TRUE,1,0),0)</f>
        <v/>
      </c>
      <c r="D302" s="38">
        <f>IFERROR(IF('Окт'!$D24=TRUE,1,0),0)</f>
        <v/>
      </c>
      <c r="E302" s="38">
        <f>IFERROR(IF('Окт'!$E24=TRUE,1,0),0)</f>
        <v/>
      </c>
      <c r="F302" s="38">
        <f>IFERROR(IF('Окт'!$F24=TRUE,1,0),0)</f>
        <v/>
      </c>
      <c r="G302" s="38">
        <f>IFERROR(IF('Окт'!$G24=TRUE,1,0),0)</f>
        <v/>
      </c>
      <c r="H302" s="38">
        <f>IFERROR(IF('Окт'!$H24=TRUE,1,0),0)</f>
        <v/>
      </c>
      <c r="I302" s="38">
        <f>IF($A302=0,$I301,IF($B302=1,$I301+1,IF($P302&lt;=1,$I301,0)))</f>
        <v/>
      </c>
      <c r="J302" s="38">
        <f>IF($A302=0,$J301,IF($C302=1,$J301+1,IF($Q302&lt;=1,$J301,0)))</f>
        <v/>
      </c>
      <c r="K302" s="38">
        <f>IF($A302=0,$K301,IF($D302=1,$K301+1,IF($R302&lt;=1,$K301,0)))</f>
        <v/>
      </c>
      <c r="L302" s="38">
        <f>IF($A302=0,$L301,IF($E302=1,$L301+1,IF($S302&lt;=1,$L301,0)))</f>
        <v/>
      </c>
      <c r="M302" s="38">
        <f>IF($A302=0,$M301,IF($F302=1,$M301+1,IF($T302&lt;=1,$M301,0)))</f>
        <v/>
      </c>
      <c r="N302" s="38">
        <f>IF($A302=0,$N301,IF($G302=1,$N301+1,IF($U302&lt;=1,$N301,0)))</f>
        <v/>
      </c>
      <c r="O302" s="38">
        <f>IF($A302=0,$O301,IF($H302=1,$O301+1,IF($V302&lt;=1,$O301,0)))</f>
        <v/>
      </c>
      <c r="P302" s="38">
        <f>IF($A302=0,$P301,$P301+IF($B302=1,0,1))</f>
        <v/>
      </c>
      <c r="Q302" s="38">
        <f>IF($A302=0,$Q301,$Q301+IF($C302=1,0,1))</f>
        <v/>
      </c>
      <c r="R302" s="38">
        <f>IF($A302=0,$R301,$R301+IF($D302=1,0,1))</f>
        <v/>
      </c>
      <c r="S302" s="38">
        <f>IF($A302=0,$S301,$S301+IF($E302=1,0,1))</f>
        <v/>
      </c>
      <c r="T302" s="38">
        <f>IF($A302=0,$T301,$T301+IF($F302=1,0,1))</f>
        <v/>
      </c>
      <c r="U302" s="38">
        <f>IF($A302=0,$U301,$U301+IF($G302=1,0,1))</f>
        <v/>
      </c>
      <c r="V302" s="38">
        <f>IF($A302=0,$V301,$V301+IF($H302=1,0,1))</f>
        <v/>
      </c>
      <c r="W302" s="38">
        <f>SUM($B302:$H302)</f>
        <v/>
      </c>
      <c r="X302" s="38">
        <f>IF(AND($A302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302=1),1,0)+IF(AND($G$1=7,$C302=1),1,0)+IF(AND($H$1=7,$D302=1),1,0)+IF(AND($I$1=7,$E302=1),1,0)+IF(AND($J$1=7,$F302=1),1,0)+IF(AND($K$1=7,$G302=1),1,0)+IF(AND($L$1=7,$H302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2" s="38">
        <f>IF($B302=1,IF($F$1&lt;7,10,IF(AND($F$1=7,$I301=0,$P301&gt;1),15,IF($I301&gt;=20,15,IF($I301&gt;=6,13,10)))),0)+IF($C302=1,IF($G$1&lt;7,10,IF(AND($G$1=7,$J301=0,$Q301&gt;1),15,IF($J301&gt;=20,15,IF($J301&gt;=6,13,10)))),0)+IF($D302=1,IF($H$1&lt;7,10,IF(AND($H$1=7,$K301=0,$R301&gt;1),15,IF($K301&gt;=20,15,IF($K301&gt;=6,13,10)))),0)+IF($E302=1,IF($I$1&lt;7,10,IF(AND($I$1=7,$L301=0,$S301&gt;1),15,IF($L301&gt;=20,15,IF($L301&gt;=6,13,10)))),0)+IF($F302=1,IF($J$1&lt;7,10,IF(AND($J$1=7,$M301=0,$T301&gt;1),15,IF($M301&gt;=20,15,IF($M301&gt;=6,13,10)))),0)+IF($G302=1,IF($K$1&lt;7,10,IF(AND($K$1=7,$N301=0,$U301&gt;1),15,IF($N301&gt;=20,15,IF($N301&gt;=6,13,10)))),0)+IF($H302=1,IF($L$1&lt;7,10,IF(AND($L$1=7,$O301=0,$V301&gt;1),15,IF($O301&gt;=20,15,IF($O301&gt;=6,13,10)))),0)</f>
        <v/>
      </c>
      <c r="Z302" s="38">
        <f>$Z301+$Y302</f>
        <v/>
      </c>
      <c r="AA302" s="38">
        <f>IF(AND($B302=1,AND($F$1=7,$I301=0,$P301&gt;1)),1,0)+IF(AND($C302=1,AND($G$1=7,$J301=0,$Q301&gt;1)),1,0)+IF(AND($D302=1,AND($H$1=7,$K301=0,$R301&gt;1)),1,0)+IF(AND($E302=1,AND($I$1=7,$L301=0,$S301&gt;1)),1,0)+IF(AND($F302=1,AND($J$1=7,$M301=0,$T301&gt;1)),1,0)+IF(AND($G302=1,AND($K$1=7,$N301=0,$U301&gt;1)),1,0)+IF(AND($H302=1,AND($L$1=7,$O301=0,$V301&gt;1)),1,0)</f>
        <v/>
      </c>
      <c r="AB302" s="38">
        <f>IF(IFERROR('Окт'!$I24,"")="",0,$AB301+1)</f>
        <v/>
      </c>
    </row>
    <row r="303" spans="1:28">
      <c r="A303" s="38">
        <f>IF($B$1&gt;=DATE(2026,10,20),1,0)</f>
        <v/>
      </c>
      <c r="B303" s="38">
        <f>IFERROR(IF('Окт'!$B25=TRUE,1,0),0)</f>
        <v/>
      </c>
      <c r="C303" s="38">
        <f>IFERROR(IF('Окт'!$C25=TRUE,1,0),0)</f>
        <v/>
      </c>
      <c r="D303" s="38">
        <f>IFERROR(IF('Окт'!$D25=TRUE,1,0),0)</f>
        <v/>
      </c>
      <c r="E303" s="38">
        <f>IFERROR(IF('Окт'!$E25=TRUE,1,0),0)</f>
        <v/>
      </c>
      <c r="F303" s="38">
        <f>IFERROR(IF('Окт'!$F25=TRUE,1,0),0)</f>
        <v/>
      </c>
      <c r="G303" s="38">
        <f>IFERROR(IF('Окт'!$G25=TRUE,1,0),0)</f>
        <v/>
      </c>
      <c r="H303" s="38">
        <f>IFERROR(IF('Окт'!$H25=TRUE,1,0),0)</f>
        <v/>
      </c>
      <c r="I303" s="38">
        <f>IF($A303=0,$I302,IF($B303=1,$I302+1,IF($P303&lt;=1,$I302,0)))</f>
        <v/>
      </c>
      <c r="J303" s="38">
        <f>IF($A303=0,$J302,IF($C303=1,$J302+1,IF($Q303&lt;=1,$J302,0)))</f>
        <v/>
      </c>
      <c r="K303" s="38">
        <f>IF($A303=0,$K302,IF($D303=1,$K302+1,IF($R303&lt;=1,$K302,0)))</f>
        <v/>
      </c>
      <c r="L303" s="38">
        <f>IF($A303=0,$L302,IF($E303=1,$L302+1,IF($S303&lt;=1,$L302,0)))</f>
        <v/>
      </c>
      <c r="M303" s="38">
        <f>IF($A303=0,$M302,IF($F303=1,$M302+1,IF($T303&lt;=1,$M302,0)))</f>
        <v/>
      </c>
      <c r="N303" s="38">
        <f>IF($A303=0,$N302,IF($G303=1,$N302+1,IF($U303&lt;=1,$N302,0)))</f>
        <v/>
      </c>
      <c r="O303" s="38">
        <f>IF($A303=0,$O302,IF($H303=1,$O302+1,IF($V303&lt;=1,$O302,0)))</f>
        <v/>
      </c>
      <c r="P303" s="38">
        <f>IF($A303=0,$P302,$P302+IF($B303=1,0,1))</f>
        <v/>
      </c>
      <c r="Q303" s="38">
        <f>IF($A303=0,$Q302,$Q302+IF($C303=1,0,1))</f>
        <v/>
      </c>
      <c r="R303" s="38">
        <f>IF($A303=0,$R302,$R302+IF($D303=1,0,1))</f>
        <v/>
      </c>
      <c r="S303" s="38">
        <f>IF($A303=0,$S302,$S302+IF($E303=1,0,1))</f>
        <v/>
      </c>
      <c r="T303" s="38">
        <f>IF($A303=0,$T302,$T302+IF($F303=1,0,1))</f>
        <v/>
      </c>
      <c r="U303" s="38">
        <f>IF($A303=0,$U302,$U302+IF($G303=1,0,1))</f>
        <v/>
      </c>
      <c r="V303" s="38">
        <f>IF($A303=0,$V302,$V302+IF($H303=1,0,1))</f>
        <v/>
      </c>
      <c r="W303" s="38">
        <f>SUM($B303:$H303)</f>
        <v/>
      </c>
      <c r="X303" s="38">
        <f>IF(AND($A303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303=1),1,0)+IF(AND($G$1=7,$C303=1),1,0)+IF(AND($H$1=7,$D303=1),1,0)+IF(AND($I$1=7,$E303=1),1,0)+IF(AND($J$1=7,$F303=1),1,0)+IF(AND($K$1=7,$G303=1),1,0)+IF(AND($L$1=7,$H303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3" s="38">
        <f>IF($B303=1,IF($F$1&lt;7,10,IF(AND($F$1=7,$I302=0,$P302&gt;1),15,IF($I302&gt;=20,15,IF($I302&gt;=6,13,10)))),0)+IF($C303=1,IF($G$1&lt;7,10,IF(AND($G$1=7,$J302=0,$Q302&gt;1),15,IF($J302&gt;=20,15,IF($J302&gt;=6,13,10)))),0)+IF($D303=1,IF($H$1&lt;7,10,IF(AND($H$1=7,$K302=0,$R302&gt;1),15,IF($K302&gt;=20,15,IF($K302&gt;=6,13,10)))),0)+IF($E303=1,IF($I$1&lt;7,10,IF(AND($I$1=7,$L302=0,$S302&gt;1),15,IF($L302&gt;=20,15,IF($L302&gt;=6,13,10)))),0)+IF($F303=1,IF($J$1&lt;7,10,IF(AND($J$1=7,$M302=0,$T302&gt;1),15,IF($M302&gt;=20,15,IF($M302&gt;=6,13,10)))),0)+IF($G303=1,IF($K$1&lt;7,10,IF(AND($K$1=7,$N302=0,$U302&gt;1),15,IF($N302&gt;=20,15,IF($N302&gt;=6,13,10)))),0)+IF($H303=1,IF($L$1&lt;7,10,IF(AND($L$1=7,$O302=0,$V302&gt;1),15,IF($O302&gt;=20,15,IF($O302&gt;=6,13,10)))),0)</f>
        <v/>
      </c>
      <c r="Z303" s="38">
        <f>$Z302+$Y303</f>
        <v/>
      </c>
      <c r="AA303" s="38">
        <f>IF(AND($B303=1,AND($F$1=7,$I302=0,$P302&gt;1)),1,0)+IF(AND($C303=1,AND($G$1=7,$J302=0,$Q302&gt;1)),1,0)+IF(AND($D303=1,AND($H$1=7,$K302=0,$R302&gt;1)),1,0)+IF(AND($E303=1,AND($I$1=7,$L302=0,$S302&gt;1)),1,0)+IF(AND($F303=1,AND($J$1=7,$M302=0,$T302&gt;1)),1,0)+IF(AND($G303=1,AND($K$1=7,$N302=0,$U302&gt;1)),1,0)+IF(AND($H303=1,AND($L$1=7,$O302=0,$V302&gt;1)),1,0)</f>
        <v/>
      </c>
      <c r="AB303" s="38">
        <f>IF(IFERROR('Окт'!$I25,"")="",0,$AB302+1)</f>
        <v/>
      </c>
    </row>
    <row r="304" spans="1:28">
      <c r="A304" s="38">
        <f>IF($B$1&gt;=DATE(2026,10,21),1,0)</f>
        <v/>
      </c>
      <c r="B304" s="38">
        <f>IFERROR(IF('Окт'!$B26=TRUE,1,0),0)</f>
        <v/>
      </c>
      <c r="C304" s="38">
        <f>IFERROR(IF('Окт'!$C26=TRUE,1,0),0)</f>
        <v/>
      </c>
      <c r="D304" s="38">
        <f>IFERROR(IF('Окт'!$D26=TRUE,1,0),0)</f>
        <v/>
      </c>
      <c r="E304" s="38">
        <f>IFERROR(IF('Окт'!$E26=TRUE,1,0),0)</f>
        <v/>
      </c>
      <c r="F304" s="38">
        <f>IFERROR(IF('Окт'!$F26=TRUE,1,0),0)</f>
        <v/>
      </c>
      <c r="G304" s="38">
        <f>IFERROR(IF('Окт'!$G26=TRUE,1,0),0)</f>
        <v/>
      </c>
      <c r="H304" s="38">
        <f>IFERROR(IF('Окт'!$H26=TRUE,1,0),0)</f>
        <v/>
      </c>
      <c r="I304" s="38">
        <f>IF($A304=0,$I303,IF($B304=1,$I303+1,IF($P304&lt;=1,$I303,0)))</f>
        <v/>
      </c>
      <c r="J304" s="38">
        <f>IF($A304=0,$J303,IF($C304=1,$J303+1,IF($Q304&lt;=1,$J303,0)))</f>
        <v/>
      </c>
      <c r="K304" s="38">
        <f>IF($A304=0,$K303,IF($D304=1,$K303+1,IF($R304&lt;=1,$K303,0)))</f>
        <v/>
      </c>
      <c r="L304" s="38">
        <f>IF($A304=0,$L303,IF($E304=1,$L303+1,IF($S304&lt;=1,$L303,0)))</f>
        <v/>
      </c>
      <c r="M304" s="38">
        <f>IF($A304=0,$M303,IF($F304=1,$M303+1,IF($T304&lt;=1,$M303,0)))</f>
        <v/>
      </c>
      <c r="N304" s="38">
        <f>IF($A304=0,$N303,IF($G304=1,$N303+1,IF($U304&lt;=1,$N303,0)))</f>
        <v/>
      </c>
      <c r="O304" s="38">
        <f>IF($A304=0,$O303,IF($H304=1,$O303+1,IF($V304&lt;=1,$O303,0)))</f>
        <v/>
      </c>
      <c r="P304" s="38">
        <f>IF($A304=0,$P303,$P303+IF($B304=1,0,1))</f>
        <v/>
      </c>
      <c r="Q304" s="38">
        <f>IF($A304=0,$Q303,$Q303+IF($C304=1,0,1))</f>
        <v/>
      </c>
      <c r="R304" s="38">
        <f>IF($A304=0,$R303,$R303+IF($D304=1,0,1))</f>
        <v/>
      </c>
      <c r="S304" s="38">
        <f>IF($A304=0,$S303,$S303+IF($E304=1,0,1))</f>
        <v/>
      </c>
      <c r="T304" s="38">
        <f>IF($A304=0,$T303,$T303+IF($F304=1,0,1))</f>
        <v/>
      </c>
      <c r="U304" s="38">
        <f>IF($A304=0,$U303,$U303+IF($G304=1,0,1))</f>
        <v/>
      </c>
      <c r="V304" s="38">
        <f>IF($A304=0,$V303,$V303+IF($H304=1,0,1))</f>
        <v/>
      </c>
      <c r="W304" s="38">
        <f>SUM($B304:$H304)</f>
        <v/>
      </c>
      <c r="X304" s="38">
        <f>IF(AND($A304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304=1),1,0)+IF(AND($G$1=7,$C304=1),1,0)+IF(AND($H$1=7,$D304=1),1,0)+IF(AND($I$1=7,$E304=1),1,0)+IF(AND($J$1=7,$F304=1),1,0)+IF(AND($K$1=7,$G304=1),1,0)+IF(AND($L$1=7,$H304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4" s="38">
        <f>IF($B304=1,IF($F$1&lt;7,10,IF(AND($F$1=7,$I303=0,$P303&gt;1),15,IF($I303&gt;=20,15,IF($I303&gt;=6,13,10)))),0)+IF($C304=1,IF($G$1&lt;7,10,IF(AND($G$1=7,$J303=0,$Q303&gt;1),15,IF($J303&gt;=20,15,IF($J303&gt;=6,13,10)))),0)+IF($D304=1,IF($H$1&lt;7,10,IF(AND($H$1=7,$K303=0,$R303&gt;1),15,IF($K303&gt;=20,15,IF($K303&gt;=6,13,10)))),0)+IF($E304=1,IF($I$1&lt;7,10,IF(AND($I$1=7,$L303=0,$S303&gt;1),15,IF($L303&gt;=20,15,IF($L303&gt;=6,13,10)))),0)+IF($F304=1,IF($J$1&lt;7,10,IF(AND($J$1=7,$M303=0,$T303&gt;1),15,IF($M303&gt;=20,15,IF($M303&gt;=6,13,10)))),0)+IF($G304=1,IF($K$1&lt;7,10,IF(AND($K$1=7,$N303=0,$U303&gt;1),15,IF($N303&gt;=20,15,IF($N303&gt;=6,13,10)))),0)+IF($H304=1,IF($L$1&lt;7,10,IF(AND($L$1=7,$O303=0,$V303&gt;1),15,IF($O303&gt;=20,15,IF($O303&gt;=6,13,10)))),0)</f>
        <v/>
      </c>
      <c r="Z304" s="38">
        <f>$Z303+$Y304</f>
        <v/>
      </c>
      <c r="AA304" s="38">
        <f>IF(AND($B304=1,AND($F$1=7,$I303=0,$P303&gt;1)),1,0)+IF(AND($C304=1,AND($G$1=7,$J303=0,$Q303&gt;1)),1,0)+IF(AND($D304=1,AND($H$1=7,$K303=0,$R303&gt;1)),1,0)+IF(AND($E304=1,AND($I$1=7,$L303=0,$S303&gt;1)),1,0)+IF(AND($F304=1,AND($J$1=7,$M303=0,$T303&gt;1)),1,0)+IF(AND($G304=1,AND($K$1=7,$N303=0,$U303&gt;1)),1,0)+IF(AND($H304=1,AND($L$1=7,$O303=0,$V303&gt;1)),1,0)</f>
        <v/>
      </c>
      <c r="AB304" s="38">
        <f>IF(IFERROR('Окт'!$I26,"")="",0,$AB303+1)</f>
        <v/>
      </c>
    </row>
    <row r="305" spans="1:28">
      <c r="A305" s="38">
        <f>IF($B$1&gt;=DATE(2026,10,22),1,0)</f>
        <v/>
      </c>
      <c r="B305" s="38">
        <f>IFERROR(IF('Окт'!$B27=TRUE,1,0),0)</f>
        <v/>
      </c>
      <c r="C305" s="38">
        <f>IFERROR(IF('Окт'!$C27=TRUE,1,0),0)</f>
        <v/>
      </c>
      <c r="D305" s="38">
        <f>IFERROR(IF('Окт'!$D27=TRUE,1,0),0)</f>
        <v/>
      </c>
      <c r="E305" s="38">
        <f>IFERROR(IF('Окт'!$E27=TRUE,1,0),0)</f>
        <v/>
      </c>
      <c r="F305" s="38">
        <f>IFERROR(IF('Окт'!$F27=TRUE,1,0),0)</f>
        <v/>
      </c>
      <c r="G305" s="38">
        <f>IFERROR(IF('Окт'!$G27=TRUE,1,0),0)</f>
        <v/>
      </c>
      <c r="H305" s="38">
        <f>IFERROR(IF('Окт'!$H27=TRUE,1,0),0)</f>
        <v/>
      </c>
      <c r="I305" s="38">
        <f>IF($A305=0,$I304,IF($B305=1,$I304+1,IF($P305&lt;=1,$I304,0)))</f>
        <v/>
      </c>
      <c r="J305" s="38">
        <f>IF($A305=0,$J304,IF($C305=1,$J304+1,IF($Q305&lt;=1,$J304,0)))</f>
        <v/>
      </c>
      <c r="K305" s="38">
        <f>IF($A305=0,$K304,IF($D305=1,$K304+1,IF($R305&lt;=1,$K304,0)))</f>
        <v/>
      </c>
      <c r="L305" s="38">
        <f>IF($A305=0,$L304,IF($E305=1,$L304+1,IF($S305&lt;=1,$L304,0)))</f>
        <v/>
      </c>
      <c r="M305" s="38">
        <f>IF($A305=0,$M304,IF($F305=1,$M304+1,IF($T305&lt;=1,$M304,0)))</f>
        <v/>
      </c>
      <c r="N305" s="38">
        <f>IF($A305=0,$N304,IF($G305=1,$N304+1,IF($U305&lt;=1,$N304,0)))</f>
        <v/>
      </c>
      <c r="O305" s="38">
        <f>IF($A305=0,$O304,IF($H305=1,$O304+1,IF($V305&lt;=1,$O304,0)))</f>
        <v/>
      </c>
      <c r="P305" s="38">
        <f>IF($A305=0,$P304,$P304+IF($B305=1,0,1))</f>
        <v/>
      </c>
      <c r="Q305" s="38">
        <f>IF($A305=0,$Q304,$Q304+IF($C305=1,0,1))</f>
        <v/>
      </c>
      <c r="R305" s="38">
        <f>IF($A305=0,$R304,$R304+IF($D305=1,0,1))</f>
        <v/>
      </c>
      <c r="S305" s="38">
        <f>IF($A305=0,$S304,$S304+IF($E305=1,0,1))</f>
        <v/>
      </c>
      <c r="T305" s="38">
        <f>IF($A305=0,$T304,$T304+IF($F305=1,0,1))</f>
        <v/>
      </c>
      <c r="U305" s="38">
        <f>IF($A305=0,$U304,$U304+IF($G305=1,0,1))</f>
        <v/>
      </c>
      <c r="V305" s="38">
        <f>IF($A305=0,$V304,$V304+IF($H305=1,0,1))</f>
        <v/>
      </c>
      <c r="W305" s="38">
        <f>SUM($B305:$H305)</f>
        <v/>
      </c>
      <c r="X305" s="38">
        <f>IF(AND($A305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305=1),1,0)+IF(AND($G$1=7,$C305=1),1,0)+IF(AND($H$1=7,$D305=1),1,0)+IF(AND($I$1=7,$E305=1),1,0)+IF(AND($J$1=7,$F305=1),1,0)+IF(AND($K$1=7,$G305=1),1,0)+IF(AND($L$1=7,$H305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5" s="38">
        <f>IF($B305=1,IF($F$1&lt;7,10,IF(AND($F$1=7,$I304=0,$P304&gt;1),15,IF($I304&gt;=20,15,IF($I304&gt;=6,13,10)))),0)+IF($C305=1,IF($G$1&lt;7,10,IF(AND($G$1=7,$J304=0,$Q304&gt;1),15,IF($J304&gt;=20,15,IF($J304&gt;=6,13,10)))),0)+IF($D305=1,IF($H$1&lt;7,10,IF(AND($H$1=7,$K304=0,$R304&gt;1),15,IF($K304&gt;=20,15,IF($K304&gt;=6,13,10)))),0)+IF($E305=1,IF($I$1&lt;7,10,IF(AND($I$1=7,$L304=0,$S304&gt;1),15,IF($L304&gt;=20,15,IF($L304&gt;=6,13,10)))),0)+IF($F305=1,IF($J$1&lt;7,10,IF(AND($J$1=7,$M304=0,$T304&gt;1),15,IF($M304&gt;=20,15,IF($M304&gt;=6,13,10)))),0)+IF($G305=1,IF($K$1&lt;7,10,IF(AND($K$1=7,$N304=0,$U304&gt;1),15,IF($N304&gt;=20,15,IF($N304&gt;=6,13,10)))),0)+IF($H305=1,IF($L$1&lt;7,10,IF(AND($L$1=7,$O304=0,$V304&gt;1),15,IF($O304&gt;=20,15,IF($O304&gt;=6,13,10)))),0)</f>
        <v/>
      </c>
      <c r="Z305" s="38">
        <f>$Z304+$Y305</f>
        <v/>
      </c>
      <c r="AA305" s="38">
        <f>IF(AND($B305=1,AND($F$1=7,$I304=0,$P304&gt;1)),1,0)+IF(AND($C305=1,AND($G$1=7,$J304=0,$Q304&gt;1)),1,0)+IF(AND($D305=1,AND($H$1=7,$K304=0,$R304&gt;1)),1,0)+IF(AND($E305=1,AND($I$1=7,$L304=0,$S304&gt;1)),1,0)+IF(AND($F305=1,AND($J$1=7,$M304=0,$T304&gt;1)),1,0)+IF(AND($G305=1,AND($K$1=7,$N304=0,$U304&gt;1)),1,0)+IF(AND($H305=1,AND($L$1=7,$O304=0,$V304&gt;1)),1,0)</f>
        <v/>
      </c>
      <c r="AB305" s="38">
        <f>IF(IFERROR('Окт'!$I27,"")="",0,$AB304+1)</f>
        <v/>
      </c>
    </row>
    <row r="306" spans="1:28">
      <c r="A306" s="38">
        <f>IF($B$1&gt;=DATE(2026,10,23),1,0)</f>
        <v/>
      </c>
      <c r="B306" s="38">
        <f>IFERROR(IF('Окт'!$B28=TRUE,1,0),0)</f>
        <v/>
      </c>
      <c r="C306" s="38">
        <f>IFERROR(IF('Окт'!$C28=TRUE,1,0),0)</f>
        <v/>
      </c>
      <c r="D306" s="38">
        <f>IFERROR(IF('Окт'!$D28=TRUE,1,0),0)</f>
        <v/>
      </c>
      <c r="E306" s="38">
        <f>IFERROR(IF('Окт'!$E28=TRUE,1,0),0)</f>
        <v/>
      </c>
      <c r="F306" s="38">
        <f>IFERROR(IF('Окт'!$F28=TRUE,1,0),0)</f>
        <v/>
      </c>
      <c r="G306" s="38">
        <f>IFERROR(IF('Окт'!$G28=TRUE,1,0),0)</f>
        <v/>
      </c>
      <c r="H306" s="38">
        <f>IFERROR(IF('Окт'!$H28=TRUE,1,0),0)</f>
        <v/>
      </c>
      <c r="I306" s="38">
        <f>IF($A306=0,$I305,IF($B306=1,$I305+1,IF($P306&lt;=1,$I305,0)))</f>
        <v/>
      </c>
      <c r="J306" s="38">
        <f>IF($A306=0,$J305,IF($C306=1,$J305+1,IF($Q306&lt;=1,$J305,0)))</f>
        <v/>
      </c>
      <c r="K306" s="38">
        <f>IF($A306=0,$K305,IF($D306=1,$K305+1,IF($R306&lt;=1,$K305,0)))</f>
        <v/>
      </c>
      <c r="L306" s="38">
        <f>IF($A306=0,$L305,IF($E306=1,$L305+1,IF($S306&lt;=1,$L305,0)))</f>
        <v/>
      </c>
      <c r="M306" s="38">
        <f>IF($A306=0,$M305,IF($F306=1,$M305+1,IF($T306&lt;=1,$M305,0)))</f>
        <v/>
      </c>
      <c r="N306" s="38">
        <f>IF($A306=0,$N305,IF($G306=1,$N305+1,IF($U306&lt;=1,$N305,0)))</f>
        <v/>
      </c>
      <c r="O306" s="38">
        <f>IF($A306=0,$O305,IF($H306=1,$O305+1,IF($V306&lt;=1,$O305,0)))</f>
        <v/>
      </c>
      <c r="P306" s="38">
        <f>IF($A306=0,$P305,$P305+IF($B306=1,0,1))</f>
        <v/>
      </c>
      <c r="Q306" s="38">
        <f>IF($A306=0,$Q305,$Q305+IF($C306=1,0,1))</f>
        <v/>
      </c>
      <c r="R306" s="38">
        <f>IF($A306=0,$R305,$R305+IF($D306=1,0,1))</f>
        <v/>
      </c>
      <c r="S306" s="38">
        <f>IF($A306=0,$S305,$S305+IF($E306=1,0,1))</f>
        <v/>
      </c>
      <c r="T306" s="38">
        <f>IF($A306=0,$T305,$T305+IF($F306=1,0,1))</f>
        <v/>
      </c>
      <c r="U306" s="38">
        <f>IF($A306=0,$U305,$U305+IF($G306=1,0,1))</f>
        <v/>
      </c>
      <c r="V306" s="38">
        <f>IF($A306=0,$V305,$V305+IF($H306=1,0,1))</f>
        <v/>
      </c>
      <c r="W306" s="38">
        <f>SUM($B306:$H306)</f>
        <v/>
      </c>
      <c r="X306" s="38">
        <f>IF(AND($A306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306=1),1,0)+IF(AND($G$1=7,$C306=1),1,0)+IF(AND($H$1=7,$D306=1),1,0)+IF(AND($I$1=7,$E306=1),1,0)+IF(AND($J$1=7,$F306=1),1,0)+IF(AND($K$1=7,$G306=1),1,0)+IF(AND($L$1=7,$H306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6" s="38">
        <f>IF($B306=1,IF($F$1&lt;7,10,IF(AND($F$1=7,$I305=0,$P305&gt;1),15,IF($I305&gt;=20,15,IF($I305&gt;=6,13,10)))),0)+IF($C306=1,IF($G$1&lt;7,10,IF(AND($G$1=7,$J305=0,$Q305&gt;1),15,IF($J305&gt;=20,15,IF($J305&gt;=6,13,10)))),0)+IF($D306=1,IF($H$1&lt;7,10,IF(AND($H$1=7,$K305=0,$R305&gt;1),15,IF($K305&gt;=20,15,IF($K305&gt;=6,13,10)))),0)+IF($E306=1,IF($I$1&lt;7,10,IF(AND($I$1=7,$L305=0,$S305&gt;1),15,IF($L305&gt;=20,15,IF($L305&gt;=6,13,10)))),0)+IF($F306=1,IF($J$1&lt;7,10,IF(AND($J$1=7,$M305=0,$T305&gt;1),15,IF($M305&gt;=20,15,IF($M305&gt;=6,13,10)))),0)+IF($G306=1,IF($K$1&lt;7,10,IF(AND($K$1=7,$N305=0,$U305&gt;1),15,IF($N305&gt;=20,15,IF($N305&gt;=6,13,10)))),0)+IF($H306=1,IF($L$1&lt;7,10,IF(AND($L$1=7,$O305=0,$V305&gt;1),15,IF($O305&gt;=20,15,IF($O305&gt;=6,13,10)))),0)</f>
        <v/>
      </c>
      <c r="Z306" s="38">
        <f>$Z305+$Y306</f>
        <v/>
      </c>
      <c r="AA306" s="38">
        <f>IF(AND($B306=1,AND($F$1=7,$I305=0,$P305&gt;1)),1,0)+IF(AND($C306=1,AND($G$1=7,$J305=0,$Q305&gt;1)),1,0)+IF(AND($D306=1,AND($H$1=7,$K305=0,$R305&gt;1)),1,0)+IF(AND($E306=1,AND($I$1=7,$L305=0,$S305&gt;1)),1,0)+IF(AND($F306=1,AND($J$1=7,$M305=0,$T305&gt;1)),1,0)+IF(AND($G306=1,AND($K$1=7,$N305=0,$U305&gt;1)),1,0)+IF(AND($H306=1,AND($L$1=7,$O305=0,$V305&gt;1)),1,0)</f>
        <v/>
      </c>
      <c r="AB306" s="38">
        <f>IF(IFERROR('Окт'!$I28,"")="",0,$AB305+1)</f>
        <v/>
      </c>
    </row>
    <row r="307" spans="1:28">
      <c r="A307" s="38">
        <f>IF($B$1&gt;=DATE(2026,10,24),1,0)</f>
        <v/>
      </c>
      <c r="B307" s="38">
        <f>IFERROR(IF('Окт'!$B29=TRUE,1,0),0)</f>
        <v/>
      </c>
      <c r="C307" s="38">
        <f>IFERROR(IF('Окт'!$C29=TRUE,1,0),0)</f>
        <v/>
      </c>
      <c r="D307" s="38">
        <f>IFERROR(IF('Окт'!$D29=TRUE,1,0),0)</f>
        <v/>
      </c>
      <c r="E307" s="38">
        <f>IFERROR(IF('Окт'!$E29=TRUE,1,0),0)</f>
        <v/>
      </c>
      <c r="F307" s="38">
        <f>IFERROR(IF('Окт'!$F29=TRUE,1,0),0)</f>
        <v/>
      </c>
      <c r="G307" s="38">
        <f>IFERROR(IF('Окт'!$G29=TRUE,1,0),0)</f>
        <v/>
      </c>
      <c r="H307" s="38">
        <f>IFERROR(IF('Окт'!$H29=TRUE,1,0),0)</f>
        <v/>
      </c>
      <c r="I307" s="38">
        <f>IF($A307=0,$I306,IF($B307=1,$I306+1,IF($P307&lt;=1,$I306,0)))</f>
        <v/>
      </c>
      <c r="J307" s="38">
        <f>IF($A307=0,$J306,IF($C307=1,$J306+1,IF($Q307&lt;=1,$J306,0)))</f>
        <v/>
      </c>
      <c r="K307" s="38">
        <f>IF($A307=0,$K306,IF($D307=1,$K306+1,IF($R307&lt;=1,$K306,0)))</f>
        <v/>
      </c>
      <c r="L307" s="38">
        <f>IF($A307=0,$L306,IF($E307=1,$L306+1,IF($S307&lt;=1,$L306,0)))</f>
        <v/>
      </c>
      <c r="M307" s="38">
        <f>IF($A307=0,$M306,IF($F307=1,$M306+1,IF($T307&lt;=1,$M306,0)))</f>
        <v/>
      </c>
      <c r="N307" s="38">
        <f>IF($A307=0,$N306,IF($G307=1,$N306+1,IF($U307&lt;=1,$N306,0)))</f>
        <v/>
      </c>
      <c r="O307" s="38">
        <f>IF($A307=0,$O306,IF($H307=1,$O306+1,IF($V307&lt;=1,$O306,0)))</f>
        <v/>
      </c>
      <c r="P307" s="38">
        <f>IF($A307=0,$P306,$P306+IF($B307=1,0,1))</f>
        <v/>
      </c>
      <c r="Q307" s="38">
        <f>IF($A307=0,$Q306,$Q306+IF($C307=1,0,1))</f>
        <v/>
      </c>
      <c r="R307" s="38">
        <f>IF($A307=0,$R306,$R306+IF($D307=1,0,1))</f>
        <v/>
      </c>
      <c r="S307" s="38">
        <f>IF($A307=0,$S306,$S306+IF($E307=1,0,1))</f>
        <v/>
      </c>
      <c r="T307" s="38">
        <f>IF($A307=0,$T306,$T306+IF($F307=1,0,1))</f>
        <v/>
      </c>
      <c r="U307" s="38">
        <f>IF($A307=0,$U306,$U306+IF($G307=1,0,1))</f>
        <v/>
      </c>
      <c r="V307" s="38">
        <f>IF($A307=0,$V306,$V306+IF($H307=1,0,1))</f>
        <v/>
      </c>
      <c r="W307" s="38">
        <f>SUM($B307:$H307)</f>
        <v/>
      </c>
      <c r="X307" s="38">
        <f>IF(AND($A307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307=1),1,0)+IF(AND($G$1=7,$C307=1),1,0)+IF(AND($H$1=7,$D307=1),1,0)+IF(AND($I$1=7,$E307=1),1,0)+IF(AND($J$1=7,$F307=1),1,0)+IF(AND($K$1=7,$G307=1),1,0)+IF(AND($L$1=7,$H307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7" s="38">
        <f>IF($B307=1,IF($F$1&lt;7,10,IF(AND($F$1=7,$I306=0,$P306&gt;1),15,IF($I306&gt;=20,15,IF($I306&gt;=6,13,10)))),0)+IF($C307=1,IF($G$1&lt;7,10,IF(AND($G$1=7,$J306=0,$Q306&gt;1),15,IF($J306&gt;=20,15,IF($J306&gt;=6,13,10)))),0)+IF($D307=1,IF($H$1&lt;7,10,IF(AND($H$1=7,$K306=0,$R306&gt;1),15,IF($K306&gt;=20,15,IF($K306&gt;=6,13,10)))),0)+IF($E307=1,IF($I$1&lt;7,10,IF(AND($I$1=7,$L306=0,$S306&gt;1),15,IF($L306&gt;=20,15,IF($L306&gt;=6,13,10)))),0)+IF($F307=1,IF($J$1&lt;7,10,IF(AND($J$1=7,$M306=0,$T306&gt;1),15,IF($M306&gt;=20,15,IF($M306&gt;=6,13,10)))),0)+IF($G307=1,IF($K$1&lt;7,10,IF(AND($K$1=7,$N306=0,$U306&gt;1),15,IF($N306&gt;=20,15,IF($N306&gt;=6,13,10)))),0)+IF($H307=1,IF($L$1&lt;7,10,IF(AND($L$1=7,$O306=0,$V306&gt;1),15,IF($O306&gt;=20,15,IF($O306&gt;=6,13,10)))),0)</f>
        <v/>
      </c>
      <c r="Z307" s="38">
        <f>$Z306+$Y307</f>
        <v/>
      </c>
      <c r="AA307" s="38">
        <f>IF(AND($B307=1,AND($F$1=7,$I306=0,$P306&gt;1)),1,0)+IF(AND($C307=1,AND($G$1=7,$J306=0,$Q306&gt;1)),1,0)+IF(AND($D307=1,AND($H$1=7,$K306=0,$R306&gt;1)),1,0)+IF(AND($E307=1,AND($I$1=7,$L306=0,$S306&gt;1)),1,0)+IF(AND($F307=1,AND($J$1=7,$M306=0,$T306&gt;1)),1,0)+IF(AND($G307=1,AND($K$1=7,$N306=0,$U306&gt;1)),1,0)+IF(AND($H307=1,AND($L$1=7,$O306=0,$V306&gt;1)),1,0)</f>
        <v/>
      </c>
      <c r="AB307" s="38">
        <f>IF(IFERROR('Окт'!$I29,"")="",0,$AB306+1)</f>
        <v/>
      </c>
    </row>
    <row r="308" spans="1:28">
      <c r="A308" s="38">
        <f>IF($B$1&gt;=DATE(2026,10,25),1,0)</f>
        <v/>
      </c>
      <c r="B308" s="38">
        <f>IFERROR(IF('Окт'!$B30=TRUE,1,0),0)</f>
        <v/>
      </c>
      <c r="C308" s="38">
        <f>IFERROR(IF('Окт'!$C30=TRUE,1,0),0)</f>
        <v/>
      </c>
      <c r="D308" s="38">
        <f>IFERROR(IF('Окт'!$D30=TRUE,1,0),0)</f>
        <v/>
      </c>
      <c r="E308" s="38">
        <f>IFERROR(IF('Окт'!$E30=TRUE,1,0),0)</f>
        <v/>
      </c>
      <c r="F308" s="38">
        <f>IFERROR(IF('Окт'!$F30=TRUE,1,0),0)</f>
        <v/>
      </c>
      <c r="G308" s="38">
        <f>IFERROR(IF('Окт'!$G30=TRUE,1,0),0)</f>
        <v/>
      </c>
      <c r="H308" s="38">
        <f>IFERROR(IF('Окт'!$H30=TRUE,1,0),0)</f>
        <v/>
      </c>
      <c r="I308" s="38">
        <f>IF($A308=0,$I307,IF($B308=1,$I307+1,IF($P308&lt;=1,$I307,0)))</f>
        <v/>
      </c>
      <c r="J308" s="38">
        <f>IF($A308=0,$J307,IF($C308=1,$J307+1,IF($Q308&lt;=1,$J307,0)))</f>
        <v/>
      </c>
      <c r="K308" s="38">
        <f>IF($A308=0,$K307,IF($D308=1,$K307+1,IF($R308&lt;=1,$K307,0)))</f>
        <v/>
      </c>
      <c r="L308" s="38">
        <f>IF($A308=0,$L307,IF($E308=1,$L307+1,IF($S308&lt;=1,$L307,0)))</f>
        <v/>
      </c>
      <c r="M308" s="38">
        <f>IF($A308=0,$M307,IF($F308=1,$M307+1,IF($T308&lt;=1,$M307,0)))</f>
        <v/>
      </c>
      <c r="N308" s="38">
        <f>IF($A308=0,$N307,IF($G308=1,$N307+1,IF($U308&lt;=1,$N307,0)))</f>
        <v/>
      </c>
      <c r="O308" s="38">
        <f>IF($A308=0,$O307,IF($H308=1,$O307+1,IF($V308&lt;=1,$O307,0)))</f>
        <v/>
      </c>
      <c r="P308" s="38">
        <f>IF($A308=0,$P307,$P307+IF($B308=1,0,1))</f>
        <v/>
      </c>
      <c r="Q308" s="38">
        <f>IF($A308=0,$Q307,$Q307+IF($C308=1,0,1))</f>
        <v/>
      </c>
      <c r="R308" s="38">
        <f>IF($A308=0,$R307,$R307+IF($D308=1,0,1))</f>
        <v/>
      </c>
      <c r="S308" s="38">
        <f>IF($A308=0,$S307,$S307+IF($E308=1,0,1))</f>
        <v/>
      </c>
      <c r="T308" s="38">
        <f>IF($A308=0,$T307,$T307+IF($F308=1,0,1))</f>
        <v/>
      </c>
      <c r="U308" s="38">
        <f>IF($A308=0,$U307,$U307+IF($G308=1,0,1))</f>
        <v/>
      </c>
      <c r="V308" s="38">
        <f>IF($A308=0,$V307,$V307+IF($H308=1,0,1))</f>
        <v/>
      </c>
      <c r="W308" s="38">
        <f>SUM($B308:$H308)</f>
        <v/>
      </c>
      <c r="X308" s="38">
        <f>IF(AND($A308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308=1),1,0)+IF(AND($G$1=7,$C308=1),1,0)+IF(AND($H$1=7,$D308=1),1,0)+IF(AND($I$1=7,$E308=1),1,0)+IF(AND($J$1=7,$F308=1),1,0)+IF(AND($K$1=7,$G308=1),1,0)+IF(AND($L$1=7,$H308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8" s="38">
        <f>IF($B308=1,IF($F$1&lt;7,10,IF(AND($F$1=7,$I307=0,$P307&gt;1),15,IF($I307&gt;=20,15,IF($I307&gt;=6,13,10)))),0)+IF($C308=1,IF($G$1&lt;7,10,IF(AND($G$1=7,$J307=0,$Q307&gt;1),15,IF($J307&gt;=20,15,IF($J307&gt;=6,13,10)))),0)+IF($D308=1,IF($H$1&lt;7,10,IF(AND($H$1=7,$K307=0,$R307&gt;1),15,IF($K307&gt;=20,15,IF($K307&gt;=6,13,10)))),0)+IF($E308=1,IF($I$1&lt;7,10,IF(AND($I$1=7,$L307=0,$S307&gt;1),15,IF($L307&gt;=20,15,IF($L307&gt;=6,13,10)))),0)+IF($F308=1,IF($J$1&lt;7,10,IF(AND($J$1=7,$M307=0,$T307&gt;1),15,IF($M307&gt;=20,15,IF($M307&gt;=6,13,10)))),0)+IF($G308=1,IF($K$1&lt;7,10,IF(AND($K$1=7,$N307=0,$U307&gt;1),15,IF($N307&gt;=20,15,IF($N307&gt;=6,13,10)))),0)+IF($H308=1,IF($L$1&lt;7,10,IF(AND($L$1=7,$O307=0,$V307&gt;1),15,IF($O307&gt;=20,15,IF($O307&gt;=6,13,10)))),0)</f>
        <v/>
      </c>
      <c r="Z308" s="38">
        <f>$Z307+$Y308</f>
        <v/>
      </c>
      <c r="AA308" s="38">
        <f>IF(AND($B308=1,AND($F$1=7,$I307=0,$P307&gt;1)),1,0)+IF(AND($C308=1,AND($G$1=7,$J307=0,$Q307&gt;1)),1,0)+IF(AND($D308=1,AND($H$1=7,$K307=0,$R307&gt;1)),1,0)+IF(AND($E308=1,AND($I$1=7,$L307=0,$S307&gt;1)),1,0)+IF(AND($F308=1,AND($J$1=7,$M307=0,$T307&gt;1)),1,0)+IF(AND($G308=1,AND($K$1=7,$N307=0,$U307&gt;1)),1,0)+IF(AND($H308=1,AND($L$1=7,$O307=0,$V307&gt;1)),1,0)</f>
        <v/>
      </c>
      <c r="AB308" s="38">
        <f>IF(IFERROR('Окт'!$I30,"")="",0,$AB307+1)</f>
        <v/>
      </c>
    </row>
    <row r="309" spans="1:28">
      <c r="A309" s="38">
        <f>IF($B$1&gt;=DATE(2026,10,26),1,0)</f>
        <v/>
      </c>
      <c r="B309" s="38">
        <f>IFERROR(IF('Окт'!$B31=TRUE,1,0),0)</f>
        <v/>
      </c>
      <c r="C309" s="38">
        <f>IFERROR(IF('Окт'!$C31=TRUE,1,0),0)</f>
        <v/>
      </c>
      <c r="D309" s="38">
        <f>IFERROR(IF('Окт'!$D31=TRUE,1,0),0)</f>
        <v/>
      </c>
      <c r="E309" s="38">
        <f>IFERROR(IF('Окт'!$E31=TRUE,1,0),0)</f>
        <v/>
      </c>
      <c r="F309" s="38">
        <f>IFERROR(IF('Окт'!$F31=TRUE,1,0),0)</f>
        <v/>
      </c>
      <c r="G309" s="38">
        <f>IFERROR(IF('Окт'!$G31=TRUE,1,0),0)</f>
        <v/>
      </c>
      <c r="H309" s="38">
        <f>IFERROR(IF('Окт'!$H31=TRUE,1,0),0)</f>
        <v/>
      </c>
      <c r="I309" s="38">
        <f>IF($A309=0,$I308,IF($B309=1,$I308+1,IF($P309&lt;=1,$I308,0)))</f>
        <v/>
      </c>
      <c r="J309" s="38">
        <f>IF($A309=0,$J308,IF($C309=1,$J308+1,IF($Q309&lt;=1,$J308,0)))</f>
        <v/>
      </c>
      <c r="K309" s="38">
        <f>IF($A309=0,$K308,IF($D309=1,$K308+1,IF($R309&lt;=1,$K308,0)))</f>
        <v/>
      </c>
      <c r="L309" s="38">
        <f>IF($A309=0,$L308,IF($E309=1,$L308+1,IF($S309&lt;=1,$L308,0)))</f>
        <v/>
      </c>
      <c r="M309" s="38">
        <f>IF($A309=0,$M308,IF($F309=1,$M308+1,IF($T309&lt;=1,$M308,0)))</f>
        <v/>
      </c>
      <c r="N309" s="38">
        <f>IF($A309=0,$N308,IF($G309=1,$N308+1,IF($U309&lt;=1,$N308,0)))</f>
        <v/>
      </c>
      <c r="O309" s="38">
        <f>IF($A309=0,$O308,IF($H309=1,$O308+1,IF($V309&lt;=1,$O308,0)))</f>
        <v/>
      </c>
      <c r="P309" s="38">
        <f>IF($A309=0,$P308,$P308+IF($B309=1,0,1))</f>
        <v/>
      </c>
      <c r="Q309" s="38">
        <f>IF($A309=0,$Q308,$Q308+IF($C309=1,0,1))</f>
        <v/>
      </c>
      <c r="R309" s="38">
        <f>IF($A309=0,$R308,$R308+IF($D309=1,0,1))</f>
        <v/>
      </c>
      <c r="S309" s="38">
        <f>IF($A309=0,$S308,$S308+IF($E309=1,0,1))</f>
        <v/>
      </c>
      <c r="T309" s="38">
        <f>IF($A309=0,$T308,$T308+IF($F309=1,0,1))</f>
        <v/>
      </c>
      <c r="U309" s="38">
        <f>IF($A309=0,$U308,$U308+IF($G309=1,0,1))</f>
        <v/>
      </c>
      <c r="V309" s="38">
        <f>IF($A309=0,$V308,$V308+IF($H309=1,0,1))</f>
        <v/>
      </c>
      <c r="W309" s="38">
        <f>SUM($B309:$H309)</f>
        <v/>
      </c>
      <c r="X309" s="38">
        <f>IF(AND($A309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309=1),1,0)+IF(AND($G$1=7,$C309=1),1,0)+IF(AND($H$1=7,$D309=1),1,0)+IF(AND($I$1=7,$E309=1),1,0)+IF(AND($J$1=7,$F309=1),1,0)+IF(AND($K$1=7,$G309=1),1,0)+IF(AND($L$1=7,$H309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9" s="38">
        <f>IF($B309=1,IF($F$1&lt;7,10,IF(AND($F$1=7,$I308=0,$P308&gt;1),15,IF($I308&gt;=20,15,IF($I308&gt;=6,13,10)))),0)+IF($C309=1,IF($G$1&lt;7,10,IF(AND($G$1=7,$J308=0,$Q308&gt;1),15,IF($J308&gt;=20,15,IF($J308&gt;=6,13,10)))),0)+IF($D309=1,IF($H$1&lt;7,10,IF(AND($H$1=7,$K308=0,$R308&gt;1),15,IF($K308&gt;=20,15,IF($K308&gt;=6,13,10)))),0)+IF($E309=1,IF($I$1&lt;7,10,IF(AND($I$1=7,$L308=0,$S308&gt;1),15,IF($L308&gt;=20,15,IF($L308&gt;=6,13,10)))),0)+IF($F309=1,IF($J$1&lt;7,10,IF(AND($J$1=7,$M308=0,$T308&gt;1),15,IF($M308&gt;=20,15,IF($M308&gt;=6,13,10)))),0)+IF($G309=1,IF($K$1&lt;7,10,IF(AND($K$1=7,$N308=0,$U308&gt;1),15,IF($N308&gt;=20,15,IF($N308&gt;=6,13,10)))),0)+IF($H309=1,IF($L$1&lt;7,10,IF(AND($L$1=7,$O308=0,$V308&gt;1),15,IF($O308&gt;=20,15,IF($O308&gt;=6,13,10)))),0)</f>
        <v/>
      </c>
      <c r="Z309" s="38">
        <f>$Z308+$Y309</f>
        <v/>
      </c>
      <c r="AA309" s="38">
        <f>IF(AND($B309=1,AND($F$1=7,$I308=0,$P308&gt;1)),1,0)+IF(AND($C309=1,AND($G$1=7,$J308=0,$Q308&gt;1)),1,0)+IF(AND($D309=1,AND($H$1=7,$K308=0,$R308&gt;1)),1,0)+IF(AND($E309=1,AND($I$1=7,$L308=0,$S308&gt;1)),1,0)+IF(AND($F309=1,AND($J$1=7,$M308=0,$T308&gt;1)),1,0)+IF(AND($G309=1,AND($K$1=7,$N308=0,$U308&gt;1)),1,0)+IF(AND($H309=1,AND($L$1=7,$O308=0,$V308&gt;1)),1,0)</f>
        <v/>
      </c>
      <c r="AB309" s="38">
        <f>IF(IFERROR('Окт'!$I31,"")="",0,$AB308+1)</f>
        <v/>
      </c>
    </row>
    <row r="310" spans="1:28">
      <c r="A310" s="38">
        <f>IF($B$1&gt;=DATE(2026,10,27),1,0)</f>
        <v/>
      </c>
      <c r="B310" s="38">
        <f>IFERROR(IF('Окт'!$B32=TRUE,1,0),0)</f>
        <v/>
      </c>
      <c r="C310" s="38">
        <f>IFERROR(IF('Окт'!$C32=TRUE,1,0),0)</f>
        <v/>
      </c>
      <c r="D310" s="38">
        <f>IFERROR(IF('Окт'!$D32=TRUE,1,0),0)</f>
        <v/>
      </c>
      <c r="E310" s="38">
        <f>IFERROR(IF('Окт'!$E32=TRUE,1,0),0)</f>
        <v/>
      </c>
      <c r="F310" s="38">
        <f>IFERROR(IF('Окт'!$F32=TRUE,1,0),0)</f>
        <v/>
      </c>
      <c r="G310" s="38">
        <f>IFERROR(IF('Окт'!$G32=TRUE,1,0),0)</f>
        <v/>
      </c>
      <c r="H310" s="38">
        <f>IFERROR(IF('Окт'!$H32=TRUE,1,0),0)</f>
        <v/>
      </c>
      <c r="I310" s="38">
        <f>IF($A310=0,$I309,IF($B310=1,$I309+1,IF($P310&lt;=1,$I309,0)))</f>
        <v/>
      </c>
      <c r="J310" s="38">
        <f>IF($A310=0,$J309,IF($C310=1,$J309+1,IF($Q310&lt;=1,$J309,0)))</f>
        <v/>
      </c>
      <c r="K310" s="38">
        <f>IF($A310=0,$K309,IF($D310=1,$K309+1,IF($R310&lt;=1,$K309,0)))</f>
        <v/>
      </c>
      <c r="L310" s="38">
        <f>IF($A310=0,$L309,IF($E310=1,$L309+1,IF($S310&lt;=1,$L309,0)))</f>
        <v/>
      </c>
      <c r="M310" s="38">
        <f>IF($A310=0,$M309,IF($F310=1,$M309+1,IF($T310&lt;=1,$M309,0)))</f>
        <v/>
      </c>
      <c r="N310" s="38">
        <f>IF($A310=0,$N309,IF($G310=1,$N309+1,IF($U310&lt;=1,$N309,0)))</f>
        <v/>
      </c>
      <c r="O310" s="38">
        <f>IF($A310=0,$O309,IF($H310=1,$O309+1,IF($V310&lt;=1,$O309,0)))</f>
        <v/>
      </c>
      <c r="P310" s="38">
        <f>IF($A310=0,$P309,$P309+IF($B310=1,0,1))</f>
        <v/>
      </c>
      <c r="Q310" s="38">
        <f>IF($A310=0,$Q309,$Q309+IF($C310=1,0,1))</f>
        <v/>
      </c>
      <c r="R310" s="38">
        <f>IF($A310=0,$R309,$R309+IF($D310=1,0,1))</f>
        <v/>
      </c>
      <c r="S310" s="38">
        <f>IF($A310=0,$S309,$S309+IF($E310=1,0,1))</f>
        <v/>
      </c>
      <c r="T310" s="38">
        <f>IF($A310=0,$T309,$T309+IF($F310=1,0,1))</f>
        <v/>
      </c>
      <c r="U310" s="38">
        <f>IF($A310=0,$U309,$U309+IF($G310=1,0,1))</f>
        <v/>
      </c>
      <c r="V310" s="38">
        <f>IF($A310=0,$V309,$V309+IF($H310=1,0,1))</f>
        <v/>
      </c>
      <c r="W310" s="38">
        <f>SUM($B310:$H310)</f>
        <v/>
      </c>
      <c r="X310" s="38">
        <f>IF(AND($A310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310=1),1,0)+IF(AND($G$1=7,$C310=1),1,0)+IF(AND($H$1=7,$D310=1),1,0)+IF(AND($I$1=7,$E310=1),1,0)+IF(AND($J$1=7,$F310=1),1,0)+IF(AND($K$1=7,$G310=1),1,0)+IF(AND($L$1=7,$H310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0" s="38">
        <f>IF($B310=1,IF($F$1&lt;7,10,IF(AND($F$1=7,$I309=0,$P309&gt;1),15,IF($I309&gt;=20,15,IF($I309&gt;=6,13,10)))),0)+IF($C310=1,IF($G$1&lt;7,10,IF(AND($G$1=7,$J309=0,$Q309&gt;1),15,IF($J309&gt;=20,15,IF($J309&gt;=6,13,10)))),0)+IF($D310=1,IF($H$1&lt;7,10,IF(AND($H$1=7,$K309=0,$R309&gt;1),15,IF($K309&gt;=20,15,IF($K309&gt;=6,13,10)))),0)+IF($E310=1,IF($I$1&lt;7,10,IF(AND($I$1=7,$L309=0,$S309&gt;1),15,IF($L309&gt;=20,15,IF($L309&gt;=6,13,10)))),0)+IF($F310=1,IF($J$1&lt;7,10,IF(AND($J$1=7,$M309=0,$T309&gt;1),15,IF($M309&gt;=20,15,IF($M309&gt;=6,13,10)))),0)+IF($G310=1,IF($K$1&lt;7,10,IF(AND($K$1=7,$N309=0,$U309&gt;1),15,IF($N309&gt;=20,15,IF($N309&gt;=6,13,10)))),0)+IF($H310=1,IF($L$1&lt;7,10,IF(AND($L$1=7,$O309=0,$V309&gt;1),15,IF($O309&gt;=20,15,IF($O309&gt;=6,13,10)))),0)</f>
        <v/>
      </c>
      <c r="Z310" s="38">
        <f>$Z309+$Y310</f>
        <v/>
      </c>
      <c r="AA310" s="38">
        <f>IF(AND($B310=1,AND($F$1=7,$I309=0,$P309&gt;1)),1,0)+IF(AND($C310=1,AND($G$1=7,$J309=0,$Q309&gt;1)),1,0)+IF(AND($D310=1,AND($H$1=7,$K309=0,$R309&gt;1)),1,0)+IF(AND($E310=1,AND($I$1=7,$L309=0,$S309&gt;1)),1,0)+IF(AND($F310=1,AND($J$1=7,$M309=0,$T309&gt;1)),1,0)+IF(AND($G310=1,AND($K$1=7,$N309=0,$U309&gt;1)),1,0)+IF(AND($H310=1,AND($L$1=7,$O309=0,$V309&gt;1)),1,0)</f>
        <v/>
      </c>
      <c r="AB310" s="38">
        <f>IF(IFERROR('Окт'!$I32,"")="",0,$AB309+1)</f>
        <v/>
      </c>
    </row>
    <row r="311" spans="1:28">
      <c r="A311" s="38">
        <f>IF($B$1&gt;=DATE(2026,10,28),1,0)</f>
        <v/>
      </c>
      <c r="B311" s="38">
        <f>IFERROR(IF('Окт'!$B33=TRUE,1,0),0)</f>
        <v/>
      </c>
      <c r="C311" s="38">
        <f>IFERROR(IF('Окт'!$C33=TRUE,1,0),0)</f>
        <v/>
      </c>
      <c r="D311" s="38">
        <f>IFERROR(IF('Окт'!$D33=TRUE,1,0),0)</f>
        <v/>
      </c>
      <c r="E311" s="38">
        <f>IFERROR(IF('Окт'!$E33=TRUE,1,0),0)</f>
        <v/>
      </c>
      <c r="F311" s="38">
        <f>IFERROR(IF('Окт'!$F33=TRUE,1,0),0)</f>
        <v/>
      </c>
      <c r="G311" s="38">
        <f>IFERROR(IF('Окт'!$G33=TRUE,1,0),0)</f>
        <v/>
      </c>
      <c r="H311" s="38">
        <f>IFERROR(IF('Окт'!$H33=TRUE,1,0),0)</f>
        <v/>
      </c>
      <c r="I311" s="38">
        <f>IF($A311=0,$I310,IF($B311=1,$I310+1,IF($P311&lt;=1,$I310,0)))</f>
        <v/>
      </c>
      <c r="J311" s="38">
        <f>IF($A311=0,$J310,IF($C311=1,$J310+1,IF($Q311&lt;=1,$J310,0)))</f>
        <v/>
      </c>
      <c r="K311" s="38">
        <f>IF($A311=0,$K310,IF($D311=1,$K310+1,IF($R311&lt;=1,$K310,0)))</f>
        <v/>
      </c>
      <c r="L311" s="38">
        <f>IF($A311=0,$L310,IF($E311=1,$L310+1,IF($S311&lt;=1,$L310,0)))</f>
        <v/>
      </c>
      <c r="M311" s="38">
        <f>IF($A311=0,$M310,IF($F311=1,$M310+1,IF($T311&lt;=1,$M310,0)))</f>
        <v/>
      </c>
      <c r="N311" s="38">
        <f>IF($A311=0,$N310,IF($G311=1,$N310+1,IF($U311&lt;=1,$N310,0)))</f>
        <v/>
      </c>
      <c r="O311" s="38">
        <f>IF($A311=0,$O310,IF($H311=1,$O310+1,IF($V311&lt;=1,$O310,0)))</f>
        <v/>
      </c>
      <c r="P311" s="38">
        <f>IF($A311=0,$P310,$P310+IF($B311=1,0,1))</f>
        <v/>
      </c>
      <c r="Q311" s="38">
        <f>IF($A311=0,$Q310,$Q310+IF($C311=1,0,1))</f>
        <v/>
      </c>
      <c r="R311" s="38">
        <f>IF($A311=0,$R310,$R310+IF($D311=1,0,1))</f>
        <v/>
      </c>
      <c r="S311" s="38">
        <f>IF($A311=0,$S310,$S310+IF($E311=1,0,1))</f>
        <v/>
      </c>
      <c r="T311" s="38">
        <f>IF($A311=0,$T310,$T310+IF($F311=1,0,1))</f>
        <v/>
      </c>
      <c r="U311" s="38">
        <f>IF($A311=0,$U310,$U310+IF($G311=1,0,1))</f>
        <v/>
      </c>
      <c r="V311" s="38">
        <f>IF($A311=0,$V310,$V310+IF($H311=1,0,1))</f>
        <v/>
      </c>
      <c r="W311" s="38">
        <f>SUM($B311:$H311)</f>
        <v/>
      </c>
      <c r="X311" s="38">
        <f>IF(AND($A311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311=1),1,0)+IF(AND($G$1=7,$C311=1),1,0)+IF(AND($H$1=7,$D311=1),1,0)+IF(AND($I$1=7,$E311=1),1,0)+IF(AND($J$1=7,$F311=1),1,0)+IF(AND($K$1=7,$G311=1),1,0)+IF(AND($L$1=7,$H311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1" s="38">
        <f>IF($B311=1,IF($F$1&lt;7,10,IF(AND($F$1=7,$I310=0,$P310&gt;1),15,IF($I310&gt;=20,15,IF($I310&gt;=6,13,10)))),0)+IF($C311=1,IF($G$1&lt;7,10,IF(AND($G$1=7,$J310=0,$Q310&gt;1),15,IF($J310&gt;=20,15,IF($J310&gt;=6,13,10)))),0)+IF($D311=1,IF($H$1&lt;7,10,IF(AND($H$1=7,$K310=0,$R310&gt;1),15,IF($K310&gt;=20,15,IF($K310&gt;=6,13,10)))),0)+IF($E311=1,IF($I$1&lt;7,10,IF(AND($I$1=7,$L310=0,$S310&gt;1),15,IF($L310&gt;=20,15,IF($L310&gt;=6,13,10)))),0)+IF($F311=1,IF($J$1&lt;7,10,IF(AND($J$1=7,$M310=0,$T310&gt;1),15,IF($M310&gt;=20,15,IF($M310&gt;=6,13,10)))),0)+IF($G311=1,IF($K$1&lt;7,10,IF(AND($K$1=7,$N310=0,$U310&gt;1),15,IF($N310&gt;=20,15,IF($N310&gt;=6,13,10)))),0)+IF($H311=1,IF($L$1&lt;7,10,IF(AND($L$1=7,$O310=0,$V310&gt;1),15,IF($O310&gt;=20,15,IF($O310&gt;=6,13,10)))),0)</f>
        <v/>
      </c>
      <c r="Z311" s="38">
        <f>$Z310+$Y311</f>
        <v/>
      </c>
      <c r="AA311" s="38">
        <f>IF(AND($B311=1,AND($F$1=7,$I310=0,$P310&gt;1)),1,0)+IF(AND($C311=1,AND($G$1=7,$J310=0,$Q310&gt;1)),1,0)+IF(AND($D311=1,AND($H$1=7,$K310=0,$R310&gt;1)),1,0)+IF(AND($E311=1,AND($I$1=7,$L310=0,$S310&gt;1)),1,0)+IF(AND($F311=1,AND($J$1=7,$M310=0,$T310&gt;1)),1,0)+IF(AND($G311=1,AND($K$1=7,$N310=0,$U310&gt;1)),1,0)+IF(AND($H311=1,AND($L$1=7,$O310=0,$V310&gt;1)),1,0)</f>
        <v/>
      </c>
      <c r="AB311" s="38">
        <f>IF(IFERROR('Окт'!$I33,"")="",0,$AB310+1)</f>
        <v/>
      </c>
    </row>
    <row r="312" spans="1:28">
      <c r="A312" s="38">
        <f>IF($B$1&gt;=DATE(2026,10,29),1,0)</f>
        <v/>
      </c>
      <c r="B312" s="38">
        <f>IFERROR(IF('Окт'!$B34=TRUE,1,0),0)</f>
        <v/>
      </c>
      <c r="C312" s="38">
        <f>IFERROR(IF('Окт'!$C34=TRUE,1,0),0)</f>
        <v/>
      </c>
      <c r="D312" s="38">
        <f>IFERROR(IF('Окт'!$D34=TRUE,1,0),0)</f>
        <v/>
      </c>
      <c r="E312" s="38">
        <f>IFERROR(IF('Окт'!$E34=TRUE,1,0),0)</f>
        <v/>
      </c>
      <c r="F312" s="38">
        <f>IFERROR(IF('Окт'!$F34=TRUE,1,0),0)</f>
        <v/>
      </c>
      <c r="G312" s="38">
        <f>IFERROR(IF('Окт'!$G34=TRUE,1,0),0)</f>
        <v/>
      </c>
      <c r="H312" s="38">
        <f>IFERROR(IF('Окт'!$H34=TRUE,1,0),0)</f>
        <v/>
      </c>
      <c r="I312" s="38">
        <f>IF($A312=0,$I311,IF($B312=1,$I311+1,IF($P312&lt;=1,$I311,0)))</f>
        <v/>
      </c>
      <c r="J312" s="38">
        <f>IF($A312=0,$J311,IF($C312=1,$J311+1,IF($Q312&lt;=1,$J311,0)))</f>
        <v/>
      </c>
      <c r="K312" s="38">
        <f>IF($A312=0,$K311,IF($D312=1,$K311+1,IF($R312&lt;=1,$K311,0)))</f>
        <v/>
      </c>
      <c r="L312" s="38">
        <f>IF($A312=0,$L311,IF($E312=1,$L311+1,IF($S312&lt;=1,$L311,0)))</f>
        <v/>
      </c>
      <c r="M312" s="38">
        <f>IF($A312=0,$M311,IF($F312=1,$M311+1,IF($T312&lt;=1,$M311,0)))</f>
        <v/>
      </c>
      <c r="N312" s="38">
        <f>IF($A312=0,$N311,IF($G312=1,$N311+1,IF($U312&lt;=1,$N311,0)))</f>
        <v/>
      </c>
      <c r="O312" s="38">
        <f>IF($A312=0,$O311,IF($H312=1,$O311+1,IF($V312&lt;=1,$O311,0)))</f>
        <v/>
      </c>
      <c r="P312" s="38">
        <f>IF($A312=0,$P311,$P311+IF($B312=1,0,1))</f>
        <v/>
      </c>
      <c r="Q312" s="38">
        <f>IF($A312=0,$Q311,$Q311+IF($C312=1,0,1))</f>
        <v/>
      </c>
      <c r="R312" s="38">
        <f>IF($A312=0,$R311,$R311+IF($D312=1,0,1))</f>
        <v/>
      </c>
      <c r="S312" s="38">
        <f>IF($A312=0,$S311,$S311+IF($E312=1,0,1))</f>
        <v/>
      </c>
      <c r="T312" s="38">
        <f>IF($A312=0,$T311,$T311+IF($F312=1,0,1))</f>
        <v/>
      </c>
      <c r="U312" s="38">
        <f>IF($A312=0,$U311,$U311+IF($G312=1,0,1))</f>
        <v/>
      </c>
      <c r="V312" s="38">
        <f>IF($A312=0,$V311,$V311+IF($H312=1,0,1))</f>
        <v/>
      </c>
      <c r="W312" s="38">
        <f>SUM($B312:$H312)</f>
        <v/>
      </c>
      <c r="X312" s="38">
        <f>IF(AND($A312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312=1),1,0)+IF(AND($G$1=7,$C312=1),1,0)+IF(AND($H$1=7,$D312=1),1,0)+IF(AND($I$1=7,$E312=1),1,0)+IF(AND($J$1=7,$F312=1),1,0)+IF(AND($K$1=7,$G312=1),1,0)+IF(AND($L$1=7,$H312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2" s="38">
        <f>IF($B312=1,IF($F$1&lt;7,10,IF(AND($F$1=7,$I311=0,$P311&gt;1),15,IF($I311&gt;=20,15,IF($I311&gt;=6,13,10)))),0)+IF($C312=1,IF($G$1&lt;7,10,IF(AND($G$1=7,$J311=0,$Q311&gt;1),15,IF($J311&gt;=20,15,IF($J311&gt;=6,13,10)))),0)+IF($D312=1,IF($H$1&lt;7,10,IF(AND($H$1=7,$K311=0,$R311&gt;1),15,IF($K311&gt;=20,15,IF($K311&gt;=6,13,10)))),0)+IF($E312=1,IF($I$1&lt;7,10,IF(AND($I$1=7,$L311=0,$S311&gt;1),15,IF($L311&gt;=20,15,IF($L311&gt;=6,13,10)))),0)+IF($F312=1,IF($J$1&lt;7,10,IF(AND($J$1=7,$M311=0,$T311&gt;1),15,IF($M311&gt;=20,15,IF($M311&gt;=6,13,10)))),0)+IF($G312=1,IF($K$1&lt;7,10,IF(AND($K$1=7,$N311=0,$U311&gt;1),15,IF($N311&gt;=20,15,IF($N311&gt;=6,13,10)))),0)+IF($H312=1,IF($L$1&lt;7,10,IF(AND($L$1=7,$O311=0,$V311&gt;1),15,IF($O311&gt;=20,15,IF($O311&gt;=6,13,10)))),0)</f>
        <v/>
      </c>
      <c r="Z312" s="38">
        <f>$Z311+$Y312</f>
        <v/>
      </c>
      <c r="AA312" s="38">
        <f>IF(AND($B312=1,AND($F$1=7,$I311=0,$P311&gt;1)),1,0)+IF(AND($C312=1,AND($G$1=7,$J311=0,$Q311&gt;1)),1,0)+IF(AND($D312=1,AND($H$1=7,$K311=0,$R311&gt;1)),1,0)+IF(AND($E312=1,AND($I$1=7,$L311=0,$S311&gt;1)),1,0)+IF(AND($F312=1,AND($J$1=7,$M311=0,$T311&gt;1)),1,0)+IF(AND($G312=1,AND($K$1=7,$N311=0,$U311&gt;1)),1,0)+IF(AND($H312=1,AND($L$1=7,$O311=0,$V311&gt;1)),1,0)</f>
        <v/>
      </c>
      <c r="AB312" s="38">
        <f>IF(IFERROR('Окт'!$I34,"")="",0,$AB311+1)</f>
        <v/>
      </c>
    </row>
    <row r="313" spans="1:28">
      <c r="A313" s="38">
        <f>IF($B$1&gt;=DATE(2026,10,30),1,0)</f>
        <v/>
      </c>
      <c r="B313" s="38">
        <f>IFERROR(IF('Окт'!$B35=TRUE,1,0),0)</f>
        <v/>
      </c>
      <c r="C313" s="38">
        <f>IFERROR(IF('Окт'!$C35=TRUE,1,0),0)</f>
        <v/>
      </c>
      <c r="D313" s="38">
        <f>IFERROR(IF('Окт'!$D35=TRUE,1,0),0)</f>
        <v/>
      </c>
      <c r="E313" s="38">
        <f>IFERROR(IF('Окт'!$E35=TRUE,1,0),0)</f>
        <v/>
      </c>
      <c r="F313" s="38">
        <f>IFERROR(IF('Окт'!$F35=TRUE,1,0),0)</f>
        <v/>
      </c>
      <c r="G313" s="38">
        <f>IFERROR(IF('Окт'!$G35=TRUE,1,0),0)</f>
        <v/>
      </c>
      <c r="H313" s="38">
        <f>IFERROR(IF('Окт'!$H35=TRUE,1,0),0)</f>
        <v/>
      </c>
      <c r="I313" s="38">
        <f>IF($A313=0,$I312,IF($B313=1,$I312+1,IF($P313&lt;=1,$I312,0)))</f>
        <v/>
      </c>
      <c r="J313" s="38">
        <f>IF($A313=0,$J312,IF($C313=1,$J312+1,IF($Q313&lt;=1,$J312,0)))</f>
        <v/>
      </c>
      <c r="K313" s="38">
        <f>IF($A313=0,$K312,IF($D313=1,$K312+1,IF($R313&lt;=1,$K312,0)))</f>
        <v/>
      </c>
      <c r="L313" s="38">
        <f>IF($A313=0,$L312,IF($E313=1,$L312+1,IF($S313&lt;=1,$L312,0)))</f>
        <v/>
      </c>
      <c r="M313" s="38">
        <f>IF($A313=0,$M312,IF($F313=1,$M312+1,IF($T313&lt;=1,$M312,0)))</f>
        <v/>
      </c>
      <c r="N313" s="38">
        <f>IF($A313=0,$N312,IF($G313=1,$N312+1,IF($U313&lt;=1,$N312,0)))</f>
        <v/>
      </c>
      <c r="O313" s="38">
        <f>IF($A313=0,$O312,IF($H313=1,$O312+1,IF($V313&lt;=1,$O312,0)))</f>
        <v/>
      </c>
      <c r="P313" s="38">
        <f>IF($A313=0,$P312,$P312+IF($B313=1,0,1))</f>
        <v/>
      </c>
      <c r="Q313" s="38">
        <f>IF($A313=0,$Q312,$Q312+IF($C313=1,0,1))</f>
        <v/>
      </c>
      <c r="R313" s="38">
        <f>IF($A313=0,$R312,$R312+IF($D313=1,0,1))</f>
        <v/>
      </c>
      <c r="S313" s="38">
        <f>IF($A313=0,$S312,$S312+IF($E313=1,0,1))</f>
        <v/>
      </c>
      <c r="T313" s="38">
        <f>IF($A313=0,$T312,$T312+IF($F313=1,0,1))</f>
        <v/>
      </c>
      <c r="U313" s="38">
        <f>IF($A313=0,$U312,$U312+IF($G313=1,0,1))</f>
        <v/>
      </c>
      <c r="V313" s="38">
        <f>IF($A313=0,$V312,$V312+IF($H313=1,0,1))</f>
        <v/>
      </c>
      <c r="W313" s="38">
        <f>SUM($B313:$H313)</f>
        <v/>
      </c>
      <c r="X313" s="38">
        <f>IF(AND($A313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313=1),1,0)+IF(AND($G$1=7,$C313=1),1,0)+IF(AND($H$1=7,$D313=1),1,0)+IF(AND($I$1=7,$E313=1),1,0)+IF(AND($J$1=7,$F313=1),1,0)+IF(AND($K$1=7,$G313=1),1,0)+IF(AND($L$1=7,$H313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3" s="38">
        <f>IF($B313=1,IF($F$1&lt;7,10,IF(AND($F$1=7,$I312=0,$P312&gt;1),15,IF($I312&gt;=20,15,IF($I312&gt;=6,13,10)))),0)+IF($C313=1,IF($G$1&lt;7,10,IF(AND($G$1=7,$J312=0,$Q312&gt;1),15,IF($J312&gt;=20,15,IF($J312&gt;=6,13,10)))),0)+IF($D313=1,IF($H$1&lt;7,10,IF(AND($H$1=7,$K312=0,$R312&gt;1),15,IF($K312&gt;=20,15,IF($K312&gt;=6,13,10)))),0)+IF($E313=1,IF($I$1&lt;7,10,IF(AND($I$1=7,$L312=0,$S312&gt;1),15,IF($L312&gt;=20,15,IF($L312&gt;=6,13,10)))),0)+IF($F313=1,IF($J$1&lt;7,10,IF(AND($J$1=7,$M312=0,$T312&gt;1),15,IF($M312&gt;=20,15,IF($M312&gt;=6,13,10)))),0)+IF($G313=1,IF($K$1&lt;7,10,IF(AND($K$1=7,$N312=0,$U312&gt;1),15,IF($N312&gt;=20,15,IF($N312&gt;=6,13,10)))),0)+IF($H313=1,IF($L$1&lt;7,10,IF(AND($L$1=7,$O312=0,$V312&gt;1),15,IF($O312&gt;=20,15,IF($O312&gt;=6,13,10)))),0)</f>
        <v/>
      </c>
      <c r="Z313" s="38">
        <f>$Z312+$Y313</f>
        <v/>
      </c>
      <c r="AA313" s="38">
        <f>IF(AND($B313=1,AND($F$1=7,$I312=0,$P312&gt;1)),1,0)+IF(AND($C313=1,AND($G$1=7,$J312=0,$Q312&gt;1)),1,0)+IF(AND($D313=1,AND($H$1=7,$K312=0,$R312&gt;1)),1,0)+IF(AND($E313=1,AND($I$1=7,$L312=0,$S312&gt;1)),1,0)+IF(AND($F313=1,AND($J$1=7,$M312=0,$T312&gt;1)),1,0)+IF(AND($G313=1,AND($K$1=7,$N312=0,$U312&gt;1)),1,0)+IF(AND($H313=1,AND($L$1=7,$O312=0,$V312&gt;1)),1,0)</f>
        <v/>
      </c>
      <c r="AB313" s="38">
        <f>IF(IFERROR('Окт'!$I35,"")="",0,$AB312+1)</f>
        <v/>
      </c>
    </row>
    <row r="314" spans="1:28">
      <c r="A314" s="38">
        <f>IF($B$1&gt;=DATE(2026,10,31),1,0)</f>
        <v/>
      </c>
      <c r="B314" s="38">
        <f>IFERROR(IF('Окт'!$B36=TRUE,1,0),0)</f>
        <v/>
      </c>
      <c r="C314" s="38">
        <f>IFERROR(IF('Окт'!$C36=TRUE,1,0),0)</f>
        <v/>
      </c>
      <c r="D314" s="38">
        <f>IFERROR(IF('Окт'!$D36=TRUE,1,0),0)</f>
        <v/>
      </c>
      <c r="E314" s="38">
        <f>IFERROR(IF('Окт'!$E36=TRUE,1,0),0)</f>
        <v/>
      </c>
      <c r="F314" s="38">
        <f>IFERROR(IF('Окт'!$F36=TRUE,1,0),0)</f>
        <v/>
      </c>
      <c r="G314" s="38">
        <f>IFERROR(IF('Окт'!$G36=TRUE,1,0),0)</f>
        <v/>
      </c>
      <c r="H314" s="38">
        <f>IFERROR(IF('Окт'!$H36=TRUE,1,0),0)</f>
        <v/>
      </c>
      <c r="I314" s="38">
        <f>IF($A314=0,$I313,IF($B314=1,$I313+1,IF($P314&lt;=1,$I313,0)))</f>
        <v/>
      </c>
      <c r="J314" s="38">
        <f>IF($A314=0,$J313,IF($C314=1,$J313+1,IF($Q314&lt;=1,$J313,0)))</f>
        <v/>
      </c>
      <c r="K314" s="38">
        <f>IF($A314=0,$K313,IF($D314=1,$K313+1,IF($R314&lt;=1,$K313,0)))</f>
        <v/>
      </c>
      <c r="L314" s="38">
        <f>IF($A314=0,$L313,IF($E314=1,$L313+1,IF($S314&lt;=1,$L313,0)))</f>
        <v/>
      </c>
      <c r="M314" s="38">
        <f>IF($A314=0,$M313,IF($F314=1,$M313+1,IF($T314&lt;=1,$M313,0)))</f>
        <v/>
      </c>
      <c r="N314" s="38">
        <f>IF($A314=0,$N313,IF($G314=1,$N313+1,IF($U314&lt;=1,$N313,0)))</f>
        <v/>
      </c>
      <c r="O314" s="38">
        <f>IF($A314=0,$O313,IF($H314=1,$O313+1,IF($V314&lt;=1,$O313,0)))</f>
        <v/>
      </c>
      <c r="P314" s="38">
        <f>IF($A314=0,$P313,$P313+IF($B314=1,0,1))</f>
        <v/>
      </c>
      <c r="Q314" s="38">
        <f>IF($A314=0,$Q313,$Q313+IF($C314=1,0,1))</f>
        <v/>
      </c>
      <c r="R314" s="38">
        <f>IF($A314=0,$R313,$R313+IF($D314=1,0,1))</f>
        <v/>
      </c>
      <c r="S314" s="38">
        <f>IF($A314=0,$S313,$S313+IF($E314=1,0,1))</f>
        <v/>
      </c>
      <c r="T314" s="38">
        <f>IF($A314=0,$T313,$T313+IF($F314=1,0,1))</f>
        <v/>
      </c>
      <c r="U314" s="38">
        <f>IF($A314=0,$U313,$U313+IF($G314=1,0,1))</f>
        <v/>
      </c>
      <c r="V314" s="38">
        <f>IF($A314=0,$V313,$V313+IF($H314=1,0,1))</f>
        <v/>
      </c>
      <c r="W314" s="38">
        <f>SUM($B314:$H314)</f>
        <v/>
      </c>
      <c r="X314" s="38">
        <f>IF(AND($A314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314=1),1,0)+IF(AND($G$1=7,$C314=1),1,0)+IF(AND($H$1=7,$D314=1),1,0)+IF(AND($I$1=7,$E314=1),1,0)+IF(AND($J$1=7,$F314=1),1,0)+IF(AND($K$1=7,$G314=1),1,0)+IF(AND($L$1=7,$H314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4" s="38">
        <f>IF($B314=1,IF($F$1&lt;7,10,IF(AND($F$1=7,$I313=0,$P313&gt;1),15,IF($I313&gt;=20,15,IF($I313&gt;=6,13,10)))),0)+IF($C314=1,IF($G$1&lt;7,10,IF(AND($G$1=7,$J313=0,$Q313&gt;1),15,IF($J313&gt;=20,15,IF($J313&gt;=6,13,10)))),0)+IF($D314=1,IF($H$1&lt;7,10,IF(AND($H$1=7,$K313=0,$R313&gt;1),15,IF($K313&gt;=20,15,IF($K313&gt;=6,13,10)))),0)+IF($E314=1,IF($I$1&lt;7,10,IF(AND($I$1=7,$L313=0,$S313&gt;1),15,IF($L313&gt;=20,15,IF($L313&gt;=6,13,10)))),0)+IF($F314=1,IF($J$1&lt;7,10,IF(AND($J$1=7,$M313=0,$T313&gt;1),15,IF($M313&gt;=20,15,IF($M313&gt;=6,13,10)))),0)+IF($G314=1,IF($K$1&lt;7,10,IF(AND($K$1=7,$N313=0,$U313&gt;1),15,IF($N313&gt;=20,15,IF($N313&gt;=6,13,10)))),0)+IF($H314=1,IF($L$1&lt;7,10,IF(AND($L$1=7,$O313=0,$V313&gt;1),15,IF($O313&gt;=20,15,IF($O313&gt;=6,13,10)))),0)</f>
        <v/>
      </c>
      <c r="Z314" s="38">
        <f>$Z313+$Y314</f>
        <v/>
      </c>
      <c r="AA314" s="38">
        <f>IF(AND($B314=1,AND($F$1=7,$I313=0,$P313&gt;1)),1,0)+IF(AND($C314=1,AND($G$1=7,$J313=0,$Q313&gt;1)),1,0)+IF(AND($D314=1,AND($H$1=7,$K313=0,$R313&gt;1)),1,0)+IF(AND($E314=1,AND($I$1=7,$L313=0,$S313&gt;1)),1,0)+IF(AND($F314=1,AND($J$1=7,$M313=0,$T313&gt;1)),1,0)+IF(AND($G314=1,AND($K$1=7,$N313=0,$U313&gt;1)),1,0)+IF(AND($H314=1,AND($L$1=7,$O313=0,$V313&gt;1)),1,0)</f>
        <v/>
      </c>
      <c r="AB314" s="38">
        <f>IF(IFERROR('Окт'!$I36,"")="",0,$AB313+1)</f>
        <v/>
      </c>
    </row>
    <row r="315" spans="1:28">
      <c r="A315" s="38">
        <f>IF($B$1&gt;=DATE(2026,11,1),1,0)</f>
        <v/>
      </c>
      <c r="B315" s="38">
        <f>IFERROR(IF('Ноя'!$B6=TRUE,1,0),0)</f>
        <v/>
      </c>
      <c r="C315" s="38">
        <f>IFERROR(IF('Ноя'!$C6=TRUE,1,0),0)</f>
        <v/>
      </c>
      <c r="D315" s="38">
        <f>IFERROR(IF('Ноя'!$D6=TRUE,1,0),0)</f>
        <v/>
      </c>
      <c r="E315" s="38">
        <f>IFERROR(IF('Ноя'!$E6=TRUE,1,0),0)</f>
        <v/>
      </c>
      <c r="F315" s="38">
        <f>IFERROR(IF('Ноя'!$F6=TRUE,1,0),0)</f>
        <v/>
      </c>
      <c r="G315" s="38">
        <f>IFERROR(IF('Ноя'!$G6=TRUE,1,0),0)</f>
        <v/>
      </c>
      <c r="H315" s="38">
        <f>IFERROR(IF('Ноя'!$H6=TRUE,1,0),0)</f>
        <v/>
      </c>
      <c r="I315" s="38">
        <f>IF($A315=0,$I314,IF($B315=1,$I314+1,IF($P315&lt;=1,$I314,0)))</f>
        <v/>
      </c>
      <c r="J315" s="38">
        <f>IF($A315=0,$J314,IF($C315=1,$J314+1,IF($Q315&lt;=1,$J314,0)))</f>
        <v/>
      </c>
      <c r="K315" s="38">
        <f>IF($A315=0,$K314,IF($D315=1,$K314+1,IF($R315&lt;=1,$K314,0)))</f>
        <v/>
      </c>
      <c r="L315" s="38">
        <f>IF($A315=0,$L314,IF($E315=1,$L314+1,IF($S315&lt;=1,$L314,0)))</f>
        <v/>
      </c>
      <c r="M315" s="38">
        <f>IF($A315=0,$M314,IF($F315=1,$M314+1,IF($T315&lt;=1,$M314,0)))</f>
        <v/>
      </c>
      <c r="N315" s="38">
        <f>IF($A315=0,$N314,IF($G315=1,$N314+1,IF($U315&lt;=1,$N314,0)))</f>
        <v/>
      </c>
      <c r="O315" s="38">
        <f>IF($A315=0,$O314,IF($H315=1,$O314+1,IF($V315&lt;=1,$O314,0)))</f>
        <v/>
      </c>
      <c r="P315" s="38">
        <f>IF($A315=0,0,0+IF($B315=1,0,1))</f>
        <v/>
      </c>
      <c r="Q315" s="38">
        <f>IF($A315=0,0,0+IF($C315=1,0,1))</f>
        <v/>
      </c>
      <c r="R315" s="38">
        <f>IF($A315=0,0,0+IF($D315=1,0,1))</f>
        <v/>
      </c>
      <c r="S315" s="38">
        <f>IF($A315=0,0,0+IF($E315=1,0,1))</f>
        <v/>
      </c>
      <c r="T315" s="38">
        <f>IF($A315=0,0,0+IF($F315=1,0,1))</f>
        <v/>
      </c>
      <c r="U315" s="38">
        <f>IF($A315=0,0,0+IF($G315=1,0,1))</f>
        <v/>
      </c>
      <c r="V315" s="38">
        <f>IF($A315=0,0,0+IF($H315=1,0,1))</f>
        <v/>
      </c>
      <c r="W315" s="38">
        <f>SUM($B315:$H315)</f>
        <v/>
      </c>
      <c r="X315" s="38">
        <f>IF(AND($A315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315=1),1,0)+IF(AND($G$1=7,$C315=1),1,0)+IF(AND($H$1=7,$D315=1),1,0)+IF(AND($I$1=7,$E315=1),1,0)+IF(AND($J$1=7,$F315=1),1,0)+IF(AND($K$1=7,$G315=1),1,0)+IF(AND($L$1=7,$H315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5" s="38">
        <f>IF($B315=1,IF($F$1&lt;7,10,IF(AND($F$1=7,$I314=0,0&gt;1),15,IF($I314&gt;=20,15,IF($I314&gt;=6,13,10)))),0)+IF($C315=1,IF($G$1&lt;7,10,IF(AND($G$1=7,$J314=0,0&gt;1),15,IF($J314&gt;=20,15,IF($J314&gt;=6,13,10)))),0)+IF($D315=1,IF($H$1&lt;7,10,IF(AND($H$1=7,$K314=0,0&gt;1),15,IF($K314&gt;=20,15,IF($K314&gt;=6,13,10)))),0)+IF($E315=1,IF($I$1&lt;7,10,IF(AND($I$1=7,$L314=0,0&gt;1),15,IF($L314&gt;=20,15,IF($L314&gt;=6,13,10)))),0)+IF($F315=1,IF($J$1&lt;7,10,IF(AND($J$1=7,$M314=0,0&gt;1),15,IF($M314&gt;=20,15,IF($M314&gt;=6,13,10)))),0)+IF($G315=1,IF($K$1&lt;7,10,IF(AND($K$1=7,$N314=0,0&gt;1),15,IF($N314&gt;=20,15,IF($N314&gt;=6,13,10)))),0)+IF($H315=1,IF($L$1&lt;7,10,IF(AND($L$1=7,$O314=0,0&gt;1),15,IF($O314&gt;=20,15,IF($O314&gt;=6,13,10)))),0)</f>
        <v/>
      </c>
      <c r="Z315" s="38">
        <f>$Z314+$Y315</f>
        <v/>
      </c>
      <c r="AA315" s="38">
        <f>IF(AND($B315=1,AND($F$1=7,$I314=0,0&gt;1)),1,0)+IF(AND($C315=1,AND($G$1=7,$J314=0,0&gt;1)),1,0)+IF(AND($D315=1,AND($H$1=7,$K314=0,0&gt;1)),1,0)+IF(AND($E315=1,AND($I$1=7,$L314=0,0&gt;1)),1,0)+IF(AND($F315=1,AND($J$1=7,$M314=0,0&gt;1)),1,0)+IF(AND($G315=1,AND($K$1=7,$N314=0,0&gt;1)),1,0)+IF(AND($H315=1,AND($L$1=7,$O314=0,0&gt;1)),1,0)</f>
        <v/>
      </c>
      <c r="AB315" s="38">
        <f>IF(IFERROR('Ноя'!$I6,"")="",0,$AB314+1)</f>
        <v/>
      </c>
    </row>
    <row r="316" spans="1:28">
      <c r="A316" s="38">
        <f>IF($B$1&gt;=DATE(2026,11,2),1,0)</f>
        <v/>
      </c>
      <c r="B316" s="38">
        <f>IFERROR(IF('Ноя'!$B7=TRUE,1,0),0)</f>
        <v/>
      </c>
      <c r="C316" s="38">
        <f>IFERROR(IF('Ноя'!$C7=TRUE,1,0),0)</f>
        <v/>
      </c>
      <c r="D316" s="38">
        <f>IFERROR(IF('Ноя'!$D7=TRUE,1,0),0)</f>
        <v/>
      </c>
      <c r="E316" s="38">
        <f>IFERROR(IF('Ноя'!$E7=TRUE,1,0),0)</f>
        <v/>
      </c>
      <c r="F316" s="38">
        <f>IFERROR(IF('Ноя'!$F7=TRUE,1,0),0)</f>
        <v/>
      </c>
      <c r="G316" s="38">
        <f>IFERROR(IF('Ноя'!$G7=TRUE,1,0),0)</f>
        <v/>
      </c>
      <c r="H316" s="38">
        <f>IFERROR(IF('Ноя'!$H7=TRUE,1,0),0)</f>
        <v/>
      </c>
      <c r="I316" s="38">
        <f>IF($A316=0,$I315,IF($B316=1,$I315+1,IF($P316&lt;=1,$I315,0)))</f>
        <v/>
      </c>
      <c r="J316" s="38">
        <f>IF($A316=0,$J315,IF($C316=1,$J315+1,IF($Q316&lt;=1,$J315,0)))</f>
        <v/>
      </c>
      <c r="K316" s="38">
        <f>IF($A316=0,$K315,IF($D316=1,$K315+1,IF($R316&lt;=1,$K315,0)))</f>
        <v/>
      </c>
      <c r="L316" s="38">
        <f>IF($A316=0,$L315,IF($E316=1,$L315+1,IF($S316&lt;=1,$L315,0)))</f>
        <v/>
      </c>
      <c r="M316" s="38">
        <f>IF($A316=0,$M315,IF($F316=1,$M315+1,IF($T316&lt;=1,$M315,0)))</f>
        <v/>
      </c>
      <c r="N316" s="38">
        <f>IF($A316=0,$N315,IF($G316=1,$N315+1,IF($U316&lt;=1,$N315,0)))</f>
        <v/>
      </c>
      <c r="O316" s="38">
        <f>IF($A316=0,$O315,IF($H316=1,$O315+1,IF($V316&lt;=1,$O315,0)))</f>
        <v/>
      </c>
      <c r="P316" s="38">
        <f>IF($A316=0,$P315,$P315+IF($B316=1,0,1))</f>
        <v/>
      </c>
      <c r="Q316" s="38">
        <f>IF($A316=0,$Q315,$Q315+IF($C316=1,0,1))</f>
        <v/>
      </c>
      <c r="R316" s="38">
        <f>IF($A316=0,$R315,$R315+IF($D316=1,0,1))</f>
        <v/>
      </c>
      <c r="S316" s="38">
        <f>IF($A316=0,$S315,$S315+IF($E316=1,0,1))</f>
        <v/>
      </c>
      <c r="T316" s="38">
        <f>IF($A316=0,$T315,$T315+IF($F316=1,0,1))</f>
        <v/>
      </c>
      <c r="U316" s="38">
        <f>IF($A316=0,$U315,$U315+IF($G316=1,0,1))</f>
        <v/>
      </c>
      <c r="V316" s="38">
        <f>IF($A316=0,$V315,$V315+IF($H316=1,0,1))</f>
        <v/>
      </c>
      <c r="W316" s="38">
        <f>SUM($B316:$H316)</f>
        <v/>
      </c>
      <c r="X316" s="38">
        <f>IF(AND($A316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316=1),1,0)+IF(AND($G$1=7,$C316=1),1,0)+IF(AND($H$1=7,$D316=1),1,0)+IF(AND($I$1=7,$E316=1),1,0)+IF(AND($J$1=7,$F316=1),1,0)+IF(AND($K$1=7,$G316=1),1,0)+IF(AND($L$1=7,$H316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6" s="38">
        <f>IF($B316=1,IF($F$1&lt;7,10,IF(AND($F$1=7,$I315=0,$P315&gt;1),15,IF($I315&gt;=20,15,IF($I315&gt;=6,13,10)))),0)+IF($C316=1,IF($G$1&lt;7,10,IF(AND($G$1=7,$J315=0,$Q315&gt;1),15,IF($J315&gt;=20,15,IF($J315&gt;=6,13,10)))),0)+IF($D316=1,IF($H$1&lt;7,10,IF(AND($H$1=7,$K315=0,$R315&gt;1),15,IF($K315&gt;=20,15,IF($K315&gt;=6,13,10)))),0)+IF($E316=1,IF($I$1&lt;7,10,IF(AND($I$1=7,$L315=0,$S315&gt;1),15,IF($L315&gt;=20,15,IF($L315&gt;=6,13,10)))),0)+IF($F316=1,IF($J$1&lt;7,10,IF(AND($J$1=7,$M315=0,$T315&gt;1),15,IF($M315&gt;=20,15,IF($M315&gt;=6,13,10)))),0)+IF($G316=1,IF($K$1&lt;7,10,IF(AND($K$1=7,$N315=0,$U315&gt;1),15,IF($N315&gt;=20,15,IF($N315&gt;=6,13,10)))),0)+IF($H316=1,IF($L$1&lt;7,10,IF(AND($L$1=7,$O315=0,$V315&gt;1),15,IF($O315&gt;=20,15,IF($O315&gt;=6,13,10)))),0)</f>
        <v/>
      </c>
      <c r="Z316" s="38">
        <f>$Z315+$Y316</f>
        <v/>
      </c>
      <c r="AA316" s="38">
        <f>IF(AND($B316=1,AND($F$1=7,$I315=0,$P315&gt;1)),1,0)+IF(AND($C316=1,AND($G$1=7,$J315=0,$Q315&gt;1)),1,0)+IF(AND($D316=1,AND($H$1=7,$K315=0,$R315&gt;1)),1,0)+IF(AND($E316=1,AND($I$1=7,$L315=0,$S315&gt;1)),1,0)+IF(AND($F316=1,AND($J$1=7,$M315=0,$T315&gt;1)),1,0)+IF(AND($G316=1,AND($K$1=7,$N315=0,$U315&gt;1)),1,0)+IF(AND($H316=1,AND($L$1=7,$O315=0,$V315&gt;1)),1,0)</f>
        <v/>
      </c>
      <c r="AB316" s="38">
        <f>IF(IFERROR('Ноя'!$I7,"")="",0,$AB315+1)</f>
        <v/>
      </c>
    </row>
    <row r="317" spans="1:28">
      <c r="A317" s="38">
        <f>IF($B$1&gt;=DATE(2026,11,3),1,0)</f>
        <v/>
      </c>
      <c r="B317" s="38">
        <f>IFERROR(IF('Ноя'!$B8=TRUE,1,0),0)</f>
        <v/>
      </c>
      <c r="C317" s="38">
        <f>IFERROR(IF('Ноя'!$C8=TRUE,1,0),0)</f>
        <v/>
      </c>
      <c r="D317" s="38">
        <f>IFERROR(IF('Ноя'!$D8=TRUE,1,0),0)</f>
        <v/>
      </c>
      <c r="E317" s="38">
        <f>IFERROR(IF('Ноя'!$E8=TRUE,1,0),0)</f>
        <v/>
      </c>
      <c r="F317" s="38">
        <f>IFERROR(IF('Ноя'!$F8=TRUE,1,0),0)</f>
        <v/>
      </c>
      <c r="G317" s="38">
        <f>IFERROR(IF('Ноя'!$G8=TRUE,1,0),0)</f>
        <v/>
      </c>
      <c r="H317" s="38">
        <f>IFERROR(IF('Ноя'!$H8=TRUE,1,0),0)</f>
        <v/>
      </c>
      <c r="I317" s="38">
        <f>IF($A317=0,$I316,IF($B317=1,$I316+1,IF($P317&lt;=1,$I316,0)))</f>
        <v/>
      </c>
      <c r="J317" s="38">
        <f>IF($A317=0,$J316,IF($C317=1,$J316+1,IF($Q317&lt;=1,$J316,0)))</f>
        <v/>
      </c>
      <c r="K317" s="38">
        <f>IF($A317=0,$K316,IF($D317=1,$K316+1,IF($R317&lt;=1,$K316,0)))</f>
        <v/>
      </c>
      <c r="L317" s="38">
        <f>IF($A317=0,$L316,IF($E317=1,$L316+1,IF($S317&lt;=1,$L316,0)))</f>
        <v/>
      </c>
      <c r="M317" s="38">
        <f>IF($A317=0,$M316,IF($F317=1,$M316+1,IF($T317&lt;=1,$M316,0)))</f>
        <v/>
      </c>
      <c r="N317" s="38">
        <f>IF($A317=0,$N316,IF($G317=1,$N316+1,IF($U317&lt;=1,$N316,0)))</f>
        <v/>
      </c>
      <c r="O317" s="38">
        <f>IF($A317=0,$O316,IF($H317=1,$O316+1,IF($V317&lt;=1,$O316,0)))</f>
        <v/>
      </c>
      <c r="P317" s="38">
        <f>IF($A317=0,$P316,$P316+IF($B317=1,0,1))</f>
        <v/>
      </c>
      <c r="Q317" s="38">
        <f>IF($A317=0,$Q316,$Q316+IF($C317=1,0,1))</f>
        <v/>
      </c>
      <c r="R317" s="38">
        <f>IF($A317=0,$R316,$R316+IF($D317=1,0,1))</f>
        <v/>
      </c>
      <c r="S317" s="38">
        <f>IF($A317=0,$S316,$S316+IF($E317=1,0,1))</f>
        <v/>
      </c>
      <c r="T317" s="38">
        <f>IF($A317=0,$T316,$T316+IF($F317=1,0,1))</f>
        <v/>
      </c>
      <c r="U317" s="38">
        <f>IF($A317=0,$U316,$U316+IF($G317=1,0,1))</f>
        <v/>
      </c>
      <c r="V317" s="38">
        <f>IF($A317=0,$V316,$V316+IF($H317=1,0,1))</f>
        <v/>
      </c>
      <c r="W317" s="38">
        <f>SUM($B317:$H317)</f>
        <v/>
      </c>
      <c r="X317" s="38">
        <f>IF(AND($A317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317=1),1,0)+IF(AND($G$1=7,$C317=1),1,0)+IF(AND($H$1=7,$D317=1),1,0)+IF(AND($I$1=7,$E317=1),1,0)+IF(AND($J$1=7,$F317=1),1,0)+IF(AND($K$1=7,$G317=1),1,0)+IF(AND($L$1=7,$H317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7" s="38">
        <f>IF($B317=1,IF($F$1&lt;7,10,IF(AND($F$1=7,$I316=0,$P316&gt;1),15,IF($I316&gt;=20,15,IF($I316&gt;=6,13,10)))),0)+IF($C317=1,IF($G$1&lt;7,10,IF(AND($G$1=7,$J316=0,$Q316&gt;1),15,IF($J316&gt;=20,15,IF($J316&gt;=6,13,10)))),0)+IF($D317=1,IF($H$1&lt;7,10,IF(AND($H$1=7,$K316=0,$R316&gt;1),15,IF($K316&gt;=20,15,IF($K316&gt;=6,13,10)))),0)+IF($E317=1,IF($I$1&lt;7,10,IF(AND($I$1=7,$L316=0,$S316&gt;1),15,IF($L316&gt;=20,15,IF($L316&gt;=6,13,10)))),0)+IF($F317=1,IF($J$1&lt;7,10,IF(AND($J$1=7,$M316=0,$T316&gt;1),15,IF($M316&gt;=20,15,IF($M316&gt;=6,13,10)))),0)+IF($G317=1,IF($K$1&lt;7,10,IF(AND($K$1=7,$N316=0,$U316&gt;1),15,IF($N316&gt;=20,15,IF($N316&gt;=6,13,10)))),0)+IF($H317=1,IF($L$1&lt;7,10,IF(AND($L$1=7,$O316=0,$V316&gt;1),15,IF($O316&gt;=20,15,IF($O316&gt;=6,13,10)))),0)</f>
        <v/>
      </c>
      <c r="Z317" s="38">
        <f>$Z316+$Y317</f>
        <v/>
      </c>
      <c r="AA317" s="38">
        <f>IF(AND($B317=1,AND($F$1=7,$I316=0,$P316&gt;1)),1,0)+IF(AND($C317=1,AND($G$1=7,$J316=0,$Q316&gt;1)),1,0)+IF(AND($D317=1,AND($H$1=7,$K316=0,$R316&gt;1)),1,0)+IF(AND($E317=1,AND($I$1=7,$L316=0,$S316&gt;1)),1,0)+IF(AND($F317=1,AND($J$1=7,$M316=0,$T316&gt;1)),1,0)+IF(AND($G317=1,AND($K$1=7,$N316=0,$U316&gt;1)),1,0)+IF(AND($H317=1,AND($L$1=7,$O316=0,$V316&gt;1)),1,0)</f>
        <v/>
      </c>
      <c r="AB317" s="38">
        <f>IF(IFERROR('Ноя'!$I8,"")="",0,$AB316+1)</f>
        <v/>
      </c>
    </row>
    <row r="318" spans="1:28">
      <c r="A318" s="38">
        <f>IF($B$1&gt;=DATE(2026,11,4),1,0)</f>
        <v/>
      </c>
      <c r="B318" s="38">
        <f>IFERROR(IF('Ноя'!$B9=TRUE,1,0),0)</f>
        <v/>
      </c>
      <c r="C318" s="38">
        <f>IFERROR(IF('Ноя'!$C9=TRUE,1,0),0)</f>
        <v/>
      </c>
      <c r="D318" s="38">
        <f>IFERROR(IF('Ноя'!$D9=TRUE,1,0),0)</f>
        <v/>
      </c>
      <c r="E318" s="38">
        <f>IFERROR(IF('Ноя'!$E9=TRUE,1,0),0)</f>
        <v/>
      </c>
      <c r="F318" s="38">
        <f>IFERROR(IF('Ноя'!$F9=TRUE,1,0),0)</f>
        <v/>
      </c>
      <c r="G318" s="38">
        <f>IFERROR(IF('Ноя'!$G9=TRUE,1,0),0)</f>
        <v/>
      </c>
      <c r="H318" s="38">
        <f>IFERROR(IF('Ноя'!$H9=TRUE,1,0),0)</f>
        <v/>
      </c>
      <c r="I318" s="38">
        <f>IF($A318=0,$I317,IF($B318=1,$I317+1,IF($P318&lt;=1,$I317,0)))</f>
        <v/>
      </c>
      <c r="J318" s="38">
        <f>IF($A318=0,$J317,IF($C318=1,$J317+1,IF($Q318&lt;=1,$J317,0)))</f>
        <v/>
      </c>
      <c r="K318" s="38">
        <f>IF($A318=0,$K317,IF($D318=1,$K317+1,IF($R318&lt;=1,$K317,0)))</f>
        <v/>
      </c>
      <c r="L318" s="38">
        <f>IF($A318=0,$L317,IF($E318=1,$L317+1,IF($S318&lt;=1,$L317,0)))</f>
        <v/>
      </c>
      <c r="M318" s="38">
        <f>IF($A318=0,$M317,IF($F318=1,$M317+1,IF($T318&lt;=1,$M317,0)))</f>
        <v/>
      </c>
      <c r="N318" s="38">
        <f>IF($A318=0,$N317,IF($G318=1,$N317+1,IF($U318&lt;=1,$N317,0)))</f>
        <v/>
      </c>
      <c r="O318" s="38">
        <f>IF($A318=0,$O317,IF($H318=1,$O317+1,IF($V318&lt;=1,$O317,0)))</f>
        <v/>
      </c>
      <c r="P318" s="38">
        <f>IF($A318=0,$P317,$P317+IF($B318=1,0,1))</f>
        <v/>
      </c>
      <c r="Q318" s="38">
        <f>IF($A318=0,$Q317,$Q317+IF($C318=1,0,1))</f>
        <v/>
      </c>
      <c r="R318" s="38">
        <f>IF($A318=0,$R317,$R317+IF($D318=1,0,1))</f>
        <v/>
      </c>
      <c r="S318" s="38">
        <f>IF($A318=0,$S317,$S317+IF($E318=1,0,1))</f>
        <v/>
      </c>
      <c r="T318" s="38">
        <f>IF($A318=0,$T317,$T317+IF($F318=1,0,1))</f>
        <v/>
      </c>
      <c r="U318" s="38">
        <f>IF($A318=0,$U317,$U317+IF($G318=1,0,1))</f>
        <v/>
      </c>
      <c r="V318" s="38">
        <f>IF($A318=0,$V317,$V317+IF($H318=1,0,1))</f>
        <v/>
      </c>
      <c r="W318" s="38">
        <f>SUM($B318:$H318)</f>
        <v/>
      </c>
      <c r="X318" s="38">
        <f>IF(AND($A318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318=1),1,0)+IF(AND($G$1=7,$C318=1),1,0)+IF(AND($H$1=7,$D318=1),1,0)+IF(AND($I$1=7,$E318=1),1,0)+IF(AND($J$1=7,$F318=1),1,0)+IF(AND($K$1=7,$G318=1),1,0)+IF(AND($L$1=7,$H318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8" s="38">
        <f>IF($B318=1,IF($F$1&lt;7,10,IF(AND($F$1=7,$I317=0,$P317&gt;1),15,IF($I317&gt;=20,15,IF($I317&gt;=6,13,10)))),0)+IF($C318=1,IF($G$1&lt;7,10,IF(AND($G$1=7,$J317=0,$Q317&gt;1),15,IF($J317&gt;=20,15,IF($J317&gt;=6,13,10)))),0)+IF($D318=1,IF($H$1&lt;7,10,IF(AND($H$1=7,$K317=0,$R317&gt;1),15,IF($K317&gt;=20,15,IF($K317&gt;=6,13,10)))),0)+IF($E318=1,IF($I$1&lt;7,10,IF(AND($I$1=7,$L317=0,$S317&gt;1),15,IF($L317&gt;=20,15,IF($L317&gt;=6,13,10)))),0)+IF($F318=1,IF($J$1&lt;7,10,IF(AND($J$1=7,$M317=0,$T317&gt;1),15,IF($M317&gt;=20,15,IF($M317&gt;=6,13,10)))),0)+IF($G318=1,IF($K$1&lt;7,10,IF(AND($K$1=7,$N317=0,$U317&gt;1),15,IF($N317&gt;=20,15,IF($N317&gt;=6,13,10)))),0)+IF($H318=1,IF($L$1&lt;7,10,IF(AND($L$1=7,$O317=0,$V317&gt;1),15,IF($O317&gt;=20,15,IF($O317&gt;=6,13,10)))),0)</f>
        <v/>
      </c>
      <c r="Z318" s="38">
        <f>$Z317+$Y318</f>
        <v/>
      </c>
      <c r="AA318" s="38">
        <f>IF(AND($B318=1,AND($F$1=7,$I317=0,$P317&gt;1)),1,0)+IF(AND($C318=1,AND($G$1=7,$J317=0,$Q317&gt;1)),1,0)+IF(AND($D318=1,AND($H$1=7,$K317=0,$R317&gt;1)),1,0)+IF(AND($E318=1,AND($I$1=7,$L317=0,$S317&gt;1)),1,0)+IF(AND($F318=1,AND($J$1=7,$M317=0,$T317&gt;1)),1,0)+IF(AND($G318=1,AND($K$1=7,$N317=0,$U317&gt;1)),1,0)+IF(AND($H318=1,AND($L$1=7,$O317=0,$V317&gt;1)),1,0)</f>
        <v/>
      </c>
      <c r="AB318" s="38">
        <f>IF(IFERROR('Ноя'!$I9,"")="",0,$AB317+1)</f>
        <v/>
      </c>
    </row>
    <row r="319" spans="1:28">
      <c r="A319" s="38">
        <f>IF($B$1&gt;=DATE(2026,11,5),1,0)</f>
        <v/>
      </c>
      <c r="B319" s="38">
        <f>IFERROR(IF('Ноя'!$B10=TRUE,1,0),0)</f>
        <v/>
      </c>
      <c r="C319" s="38">
        <f>IFERROR(IF('Ноя'!$C10=TRUE,1,0),0)</f>
        <v/>
      </c>
      <c r="D319" s="38">
        <f>IFERROR(IF('Ноя'!$D10=TRUE,1,0),0)</f>
        <v/>
      </c>
      <c r="E319" s="38">
        <f>IFERROR(IF('Ноя'!$E10=TRUE,1,0),0)</f>
        <v/>
      </c>
      <c r="F319" s="38">
        <f>IFERROR(IF('Ноя'!$F10=TRUE,1,0),0)</f>
        <v/>
      </c>
      <c r="G319" s="38">
        <f>IFERROR(IF('Ноя'!$G10=TRUE,1,0),0)</f>
        <v/>
      </c>
      <c r="H319" s="38">
        <f>IFERROR(IF('Ноя'!$H10=TRUE,1,0),0)</f>
        <v/>
      </c>
      <c r="I319" s="38">
        <f>IF($A319=0,$I318,IF($B319=1,$I318+1,IF($P319&lt;=1,$I318,0)))</f>
        <v/>
      </c>
      <c r="J319" s="38">
        <f>IF($A319=0,$J318,IF($C319=1,$J318+1,IF($Q319&lt;=1,$J318,0)))</f>
        <v/>
      </c>
      <c r="K319" s="38">
        <f>IF($A319=0,$K318,IF($D319=1,$K318+1,IF($R319&lt;=1,$K318,0)))</f>
        <v/>
      </c>
      <c r="L319" s="38">
        <f>IF($A319=0,$L318,IF($E319=1,$L318+1,IF($S319&lt;=1,$L318,0)))</f>
        <v/>
      </c>
      <c r="M319" s="38">
        <f>IF($A319=0,$M318,IF($F319=1,$M318+1,IF($T319&lt;=1,$M318,0)))</f>
        <v/>
      </c>
      <c r="N319" s="38">
        <f>IF($A319=0,$N318,IF($G319=1,$N318+1,IF($U319&lt;=1,$N318,0)))</f>
        <v/>
      </c>
      <c r="O319" s="38">
        <f>IF($A319=0,$O318,IF($H319=1,$O318+1,IF($V319&lt;=1,$O318,0)))</f>
        <v/>
      </c>
      <c r="P319" s="38">
        <f>IF($A319=0,$P318,$P318+IF($B319=1,0,1))</f>
        <v/>
      </c>
      <c r="Q319" s="38">
        <f>IF($A319=0,$Q318,$Q318+IF($C319=1,0,1))</f>
        <v/>
      </c>
      <c r="R319" s="38">
        <f>IF($A319=0,$R318,$R318+IF($D319=1,0,1))</f>
        <v/>
      </c>
      <c r="S319" s="38">
        <f>IF($A319=0,$S318,$S318+IF($E319=1,0,1))</f>
        <v/>
      </c>
      <c r="T319" s="38">
        <f>IF($A319=0,$T318,$T318+IF($F319=1,0,1))</f>
        <v/>
      </c>
      <c r="U319" s="38">
        <f>IF($A319=0,$U318,$U318+IF($G319=1,0,1))</f>
        <v/>
      </c>
      <c r="V319" s="38">
        <f>IF($A319=0,$V318,$V318+IF($H319=1,0,1))</f>
        <v/>
      </c>
      <c r="W319" s="38">
        <f>SUM($B319:$H319)</f>
        <v/>
      </c>
      <c r="X319" s="38">
        <f>IF(AND($A319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319=1),1,0)+IF(AND($G$1=7,$C319=1),1,0)+IF(AND($H$1=7,$D319=1),1,0)+IF(AND($I$1=7,$E319=1),1,0)+IF(AND($J$1=7,$F319=1),1,0)+IF(AND($K$1=7,$G319=1),1,0)+IF(AND($L$1=7,$H319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9" s="38">
        <f>IF($B319=1,IF($F$1&lt;7,10,IF(AND($F$1=7,$I318=0,$P318&gt;1),15,IF($I318&gt;=20,15,IF($I318&gt;=6,13,10)))),0)+IF($C319=1,IF($G$1&lt;7,10,IF(AND($G$1=7,$J318=0,$Q318&gt;1),15,IF($J318&gt;=20,15,IF($J318&gt;=6,13,10)))),0)+IF($D319=1,IF($H$1&lt;7,10,IF(AND($H$1=7,$K318=0,$R318&gt;1),15,IF($K318&gt;=20,15,IF($K318&gt;=6,13,10)))),0)+IF($E319=1,IF($I$1&lt;7,10,IF(AND($I$1=7,$L318=0,$S318&gt;1),15,IF($L318&gt;=20,15,IF($L318&gt;=6,13,10)))),0)+IF($F319=1,IF($J$1&lt;7,10,IF(AND($J$1=7,$M318=0,$T318&gt;1),15,IF($M318&gt;=20,15,IF($M318&gt;=6,13,10)))),0)+IF($G319=1,IF($K$1&lt;7,10,IF(AND($K$1=7,$N318=0,$U318&gt;1),15,IF($N318&gt;=20,15,IF($N318&gt;=6,13,10)))),0)+IF($H319=1,IF($L$1&lt;7,10,IF(AND($L$1=7,$O318=0,$V318&gt;1),15,IF($O318&gt;=20,15,IF($O318&gt;=6,13,10)))),0)</f>
        <v/>
      </c>
      <c r="Z319" s="38">
        <f>$Z318+$Y319</f>
        <v/>
      </c>
      <c r="AA319" s="38">
        <f>IF(AND($B319=1,AND($F$1=7,$I318=0,$P318&gt;1)),1,0)+IF(AND($C319=1,AND($G$1=7,$J318=0,$Q318&gt;1)),1,0)+IF(AND($D319=1,AND($H$1=7,$K318=0,$R318&gt;1)),1,0)+IF(AND($E319=1,AND($I$1=7,$L318=0,$S318&gt;1)),1,0)+IF(AND($F319=1,AND($J$1=7,$M318=0,$T318&gt;1)),1,0)+IF(AND($G319=1,AND($K$1=7,$N318=0,$U318&gt;1)),1,0)+IF(AND($H319=1,AND($L$1=7,$O318=0,$V318&gt;1)),1,0)</f>
        <v/>
      </c>
      <c r="AB319" s="38">
        <f>IF(IFERROR('Ноя'!$I10,"")="",0,$AB318+1)</f>
        <v/>
      </c>
    </row>
    <row r="320" spans="1:28">
      <c r="A320" s="38">
        <f>IF($B$1&gt;=DATE(2026,11,6),1,0)</f>
        <v/>
      </c>
      <c r="B320" s="38">
        <f>IFERROR(IF('Ноя'!$B11=TRUE,1,0),0)</f>
        <v/>
      </c>
      <c r="C320" s="38">
        <f>IFERROR(IF('Ноя'!$C11=TRUE,1,0),0)</f>
        <v/>
      </c>
      <c r="D320" s="38">
        <f>IFERROR(IF('Ноя'!$D11=TRUE,1,0),0)</f>
        <v/>
      </c>
      <c r="E320" s="38">
        <f>IFERROR(IF('Ноя'!$E11=TRUE,1,0),0)</f>
        <v/>
      </c>
      <c r="F320" s="38">
        <f>IFERROR(IF('Ноя'!$F11=TRUE,1,0),0)</f>
        <v/>
      </c>
      <c r="G320" s="38">
        <f>IFERROR(IF('Ноя'!$G11=TRUE,1,0),0)</f>
        <v/>
      </c>
      <c r="H320" s="38">
        <f>IFERROR(IF('Ноя'!$H11=TRUE,1,0),0)</f>
        <v/>
      </c>
      <c r="I320" s="38">
        <f>IF($A320=0,$I319,IF($B320=1,$I319+1,IF($P320&lt;=1,$I319,0)))</f>
        <v/>
      </c>
      <c r="J320" s="38">
        <f>IF($A320=0,$J319,IF($C320=1,$J319+1,IF($Q320&lt;=1,$J319,0)))</f>
        <v/>
      </c>
      <c r="K320" s="38">
        <f>IF($A320=0,$K319,IF($D320=1,$K319+1,IF($R320&lt;=1,$K319,0)))</f>
        <v/>
      </c>
      <c r="L320" s="38">
        <f>IF($A320=0,$L319,IF($E320=1,$L319+1,IF($S320&lt;=1,$L319,0)))</f>
        <v/>
      </c>
      <c r="M320" s="38">
        <f>IF($A320=0,$M319,IF($F320=1,$M319+1,IF($T320&lt;=1,$M319,0)))</f>
        <v/>
      </c>
      <c r="N320" s="38">
        <f>IF($A320=0,$N319,IF($G320=1,$N319+1,IF($U320&lt;=1,$N319,0)))</f>
        <v/>
      </c>
      <c r="O320" s="38">
        <f>IF($A320=0,$O319,IF($H320=1,$O319+1,IF($V320&lt;=1,$O319,0)))</f>
        <v/>
      </c>
      <c r="P320" s="38">
        <f>IF($A320=0,$P319,$P319+IF($B320=1,0,1))</f>
        <v/>
      </c>
      <c r="Q320" s="38">
        <f>IF($A320=0,$Q319,$Q319+IF($C320=1,0,1))</f>
        <v/>
      </c>
      <c r="R320" s="38">
        <f>IF($A320=0,$R319,$R319+IF($D320=1,0,1))</f>
        <v/>
      </c>
      <c r="S320" s="38">
        <f>IF($A320=0,$S319,$S319+IF($E320=1,0,1))</f>
        <v/>
      </c>
      <c r="T320" s="38">
        <f>IF($A320=0,$T319,$T319+IF($F320=1,0,1))</f>
        <v/>
      </c>
      <c r="U320" s="38">
        <f>IF($A320=0,$U319,$U319+IF($G320=1,0,1))</f>
        <v/>
      </c>
      <c r="V320" s="38">
        <f>IF($A320=0,$V319,$V319+IF($H320=1,0,1))</f>
        <v/>
      </c>
      <c r="W320" s="38">
        <f>SUM($B320:$H320)</f>
        <v/>
      </c>
      <c r="X320" s="38">
        <f>IF(AND($A320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320=1),1,0)+IF(AND($G$1=7,$C320=1),1,0)+IF(AND($H$1=7,$D320=1),1,0)+IF(AND($I$1=7,$E320=1),1,0)+IF(AND($J$1=7,$F320=1),1,0)+IF(AND($K$1=7,$G320=1),1,0)+IF(AND($L$1=7,$H320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0" s="38">
        <f>IF($B320=1,IF($F$1&lt;7,10,IF(AND($F$1=7,$I319=0,$P319&gt;1),15,IF($I319&gt;=20,15,IF($I319&gt;=6,13,10)))),0)+IF($C320=1,IF($G$1&lt;7,10,IF(AND($G$1=7,$J319=0,$Q319&gt;1),15,IF($J319&gt;=20,15,IF($J319&gt;=6,13,10)))),0)+IF($D320=1,IF($H$1&lt;7,10,IF(AND($H$1=7,$K319=0,$R319&gt;1),15,IF($K319&gt;=20,15,IF($K319&gt;=6,13,10)))),0)+IF($E320=1,IF($I$1&lt;7,10,IF(AND($I$1=7,$L319=0,$S319&gt;1),15,IF($L319&gt;=20,15,IF($L319&gt;=6,13,10)))),0)+IF($F320=1,IF($J$1&lt;7,10,IF(AND($J$1=7,$M319=0,$T319&gt;1),15,IF($M319&gt;=20,15,IF($M319&gt;=6,13,10)))),0)+IF($G320=1,IF($K$1&lt;7,10,IF(AND($K$1=7,$N319=0,$U319&gt;1),15,IF($N319&gt;=20,15,IF($N319&gt;=6,13,10)))),0)+IF($H320=1,IF($L$1&lt;7,10,IF(AND($L$1=7,$O319=0,$V319&gt;1),15,IF($O319&gt;=20,15,IF($O319&gt;=6,13,10)))),0)</f>
        <v/>
      </c>
      <c r="Z320" s="38">
        <f>$Z319+$Y320</f>
        <v/>
      </c>
      <c r="AA320" s="38">
        <f>IF(AND($B320=1,AND($F$1=7,$I319=0,$P319&gt;1)),1,0)+IF(AND($C320=1,AND($G$1=7,$J319=0,$Q319&gt;1)),1,0)+IF(AND($D320=1,AND($H$1=7,$K319=0,$R319&gt;1)),1,0)+IF(AND($E320=1,AND($I$1=7,$L319=0,$S319&gt;1)),1,0)+IF(AND($F320=1,AND($J$1=7,$M319=0,$T319&gt;1)),1,0)+IF(AND($G320=1,AND($K$1=7,$N319=0,$U319&gt;1)),1,0)+IF(AND($H320=1,AND($L$1=7,$O319=0,$V319&gt;1)),1,0)</f>
        <v/>
      </c>
      <c r="AB320" s="38">
        <f>IF(IFERROR('Ноя'!$I11,"")="",0,$AB319+1)</f>
        <v/>
      </c>
    </row>
    <row r="321" spans="1:28">
      <c r="A321" s="38">
        <f>IF($B$1&gt;=DATE(2026,11,7),1,0)</f>
        <v/>
      </c>
      <c r="B321" s="38">
        <f>IFERROR(IF('Ноя'!$B12=TRUE,1,0),0)</f>
        <v/>
      </c>
      <c r="C321" s="38">
        <f>IFERROR(IF('Ноя'!$C12=TRUE,1,0),0)</f>
        <v/>
      </c>
      <c r="D321" s="38">
        <f>IFERROR(IF('Ноя'!$D12=TRUE,1,0),0)</f>
        <v/>
      </c>
      <c r="E321" s="38">
        <f>IFERROR(IF('Ноя'!$E12=TRUE,1,0),0)</f>
        <v/>
      </c>
      <c r="F321" s="38">
        <f>IFERROR(IF('Ноя'!$F12=TRUE,1,0),0)</f>
        <v/>
      </c>
      <c r="G321" s="38">
        <f>IFERROR(IF('Ноя'!$G12=TRUE,1,0),0)</f>
        <v/>
      </c>
      <c r="H321" s="38">
        <f>IFERROR(IF('Ноя'!$H12=TRUE,1,0),0)</f>
        <v/>
      </c>
      <c r="I321" s="38">
        <f>IF($A321=0,$I320,IF($B321=1,$I320+1,IF($P321&lt;=1,$I320,0)))</f>
        <v/>
      </c>
      <c r="J321" s="38">
        <f>IF($A321=0,$J320,IF($C321=1,$J320+1,IF($Q321&lt;=1,$J320,0)))</f>
        <v/>
      </c>
      <c r="K321" s="38">
        <f>IF($A321=0,$K320,IF($D321=1,$K320+1,IF($R321&lt;=1,$K320,0)))</f>
        <v/>
      </c>
      <c r="L321" s="38">
        <f>IF($A321=0,$L320,IF($E321=1,$L320+1,IF($S321&lt;=1,$L320,0)))</f>
        <v/>
      </c>
      <c r="M321" s="38">
        <f>IF($A321=0,$M320,IF($F321=1,$M320+1,IF($T321&lt;=1,$M320,0)))</f>
        <v/>
      </c>
      <c r="N321" s="38">
        <f>IF($A321=0,$N320,IF($G321=1,$N320+1,IF($U321&lt;=1,$N320,0)))</f>
        <v/>
      </c>
      <c r="O321" s="38">
        <f>IF($A321=0,$O320,IF($H321=1,$O320+1,IF($V321&lt;=1,$O320,0)))</f>
        <v/>
      </c>
      <c r="P321" s="38">
        <f>IF($A321=0,$P320,$P320+IF($B321=1,0,1))</f>
        <v/>
      </c>
      <c r="Q321" s="38">
        <f>IF($A321=0,$Q320,$Q320+IF($C321=1,0,1))</f>
        <v/>
      </c>
      <c r="R321" s="38">
        <f>IF($A321=0,$R320,$R320+IF($D321=1,0,1))</f>
        <v/>
      </c>
      <c r="S321" s="38">
        <f>IF($A321=0,$S320,$S320+IF($E321=1,0,1))</f>
        <v/>
      </c>
      <c r="T321" s="38">
        <f>IF($A321=0,$T320,$T320+IF($F321=1,0,1))</f>
        <v/>
      </c>
      <c r="U321" s="38">
        <f>IF($A321=0,$U320,$U320+IF($G321=1,0,1))</f>
        <v/>
      </c>
      <c r="V321" s="38">
        <f>IF($A321=0,$V320,$V320+IF($H321=1,0,1))</f>
        <v/>
      </c>
      <c r="W321" s="38">
        <f>SUM($B321:$H321)</f>
        <v/>
      </c>
      <c r="X321" s="38">
        <f>IF(AND($A321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321=1),1,0)+IF(AND($G$1=7,$C321=1),1,0)+IF(AND($H$1=7,$D321=1),1,0)+IF(AND($I$1=7,$E321=1),1,0)+IF(AND($J$1=7,$F321=1),1,0)+IF(AND($K$1=7,$G321=1),1,0)+IF(AND($L$1=7,$H321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1" s="38">
        <f>IF($B321=1,IF($F$1&lt;7,10,IF(AND($F$1=7,$I320=0,$P320&gt;1),15,IF($I320&gt;=20,15,IF($I320&gt;=6,13,10)))),0)+IF($C321=1,IF($G$1&lt;7,10,IF(AND($G$1=7,$J320=0,$Q320&gt;1),15,IF($J320&gt;=20,15,IF($J320&gt;=6,13,10)))),0)+IF($D321=1,IF($H$1&lt;7,10,IF(AND($H$1=7,$K320=0,$R320&gt;1),15,IF($K320&gt;=20,15,IF($K320&gt;=6,13,10)))),0)+IF($E321=1,IF($I$1&lt;7,10,IF(AND($I$1=7,$L320=0,$S320&gt;1),15,IF($L320&gt;=20,15,IF($L320&gt;=6,13,10)))),0)+IF($F321=1,IF($J$1&lt;7,10,IF(AND($J$1=7,$M320=0,$T320&gt;1),15,IF($M320&gt;=20,15,IF($M320&gt;=6,13,10)))),0)+IF($G321=1,IF($K$1&lt;7,10,IF(AND($K$1=7,$N320=0,$U320&gt;1),15,IF($N320&gt;=20,15,IF($N320&gt;=6,13,10)))),0)+IF($H321=1,IF($L$1&lt;7,10,IF(AND($L$1=7,$O320=0,$V320&gt;1),15,IF($O320&gt;=20,15,IF($O320&gt;=6,13,10)))),0)</f>
        <v/>
      </c>
      <c r="Z321" s="38">
        <f>$Z320+$Y321</f>
        <v/>
      </c>
      <c r="AA321" s="38">
        <f>IF(AND($B321=1,AND($F$1=7,$I320=0,$P320&gt;1)),1,0)+IF(AND($C321=1,AND($G$1=7,$J320=0,$Q320&gt;1)),1,0)+IF(AND($D321=1,AND($H$1=7,$K320=0,$R320&gt;1)),1,0)+IF(AND($E321=1,AND($I$1=7,$L320=0,$S320&gt;1)),1,0)+IF(AND($F321=1,AND($J$1=7,$M320=0,$T320&gt;1)),1,0)+IF(AND($G321=1,AND($K$1=7,$N320=0,$U320&gt;1)),1,0)+IF(AND($H321=1,AND($L$1=7,$O320=0,$V320&gt;1)),1,0)</f>
        <v/>
      </c>
      <c r="AB321" s="38">
        <f>IF(IFERROR('Ноя'!$I12,"")="",0,$AB320+1)</f>
        <v/>
      </c>
    </row>
    <row r="322" spans="1:28">
      <c r="A322" s="38">
        <f>IF($B$1&gt;=DATE(2026,11,8),1,0)</f>
        <v/>
      </c>
      <c r="B322" s="38">
        <f>IFERROR(IF('Ноя'!$B13=TRUE,1,0),0)</f>
        <v/>
      </c>
      <c r="C322" s="38">
        <f>IFERROR(IF('Ноя'!$C13=TRUE,1,0),0)</f>
        <v/>
      </c>
      <c r="D322" s="38">
        <f>IFERROR(IF('Ноя'!$D13=TRUE,1,0),0)</f>
        <v/>
      </c>
      <c r="E322" s="38">
        <f>IFERROR(IF('Ноя'!$E13=TRUE,1,0),0)</f>
        <v/>
      </c>
      <c r="F322" s="38">
        <f>IFERROR(IF('Ноя'!$F13=TRUE,1,0),0)</f>
        <v/>
      </c>
      <c r="G322" s="38">
        <f>IFERROR(IF('Ноя'!$G13=TRUE,1,0),0)</f>
        <v/>
      </c>
      <c r="H322" s="38">
        <f>IFERROR(IF('Ноя'!$H13=TRUE,1,0),0)</f>
        <v/>
      </c>
      <c r="I322" s="38">
        <f>IF($A322=0,$I321,IF($B322=1,$I321+1,IF($P322&lt;=1,$I321,0)))</f>
        <v/>
      </c>
      <c r="J322" s="38">
        <f>IF($A322=0,$J321,IF($C322=1,$J321+1,IF($Q322&lt;=1,$J321,0)))</f>
        <v/>
      </c>
      <c r="K322" s="38">
        <f>IF($A322=0,$K321,IF($D322=1,$K321+1,IF($R322&lt;=1,$K321,0)))</f>
        <v/>
      </c>
      <c r="L322" s="38">
        <f>IF($A322=0,$L321,IF($E322=1,$L321+1,IF($S322&lt;=1,$L321,0)))</f>
        <v/>
      </c>
      <c r="M322" s="38">
        <f>IF($A322=0,$M321,IF($F322=1,$M321+1,IF($T322&lt;=1,$M321,0)))</f>
        <v/>
      </c>
      <c r="N322" s="38">
        <f>IF($A322=0,$N321,IF($G322=1,$N321+1,IF($U322&lt;=1,$N321,0)))</f>
        <v/>
      </c>
      <c r="O322" s="38">
        <f>IF($A322=0,$O321,IF($H322=1,$O321+1,IF($V322&lt;=1,$O321,0)))</f>
        <v/>
      </c>
      <c r="P322" s="38">
        <f>IF($A322=0,$P321,$P321+IF($B322=1,0,1))</f>
        <v/>
      </c>
      <c r="Q322" s="38">
        <f>IF($A322=0,$Q321,$Q321+IF($C322=1,0,1))</f>
        <v/>
      </c>
      <c r="R322" s="38">
        <f>IF($A322=0,$R321,$R321+IF($D322=1,0,1))</f>
        <v/>
      </c>
      <c r="S322" s="38">
        <f>IF($A322=0,$S321,$S321+IF($E322=1,0,1))</f>
        <v/>
      </c>
      <c r="T322" s="38">
        <f>IF($A322=0,$T321,$T321+IF($F322=1,0,1))</f>
        <v/>
      </c>
      <c r="U322" s="38">
        <f>IF($A322=0,$U321,$U321+IF($G322=1,0,1))</f>
        <v/>
      </c>
      <c r="V322" s="38">
        <f>IF($A322=0,$V321,$V321+IF($H322=1,0,1))</f>
        <v/>
      </c>
      <c r="W322" s="38">
        <f>SUM($B322:$H322)</f>
        <v/>
      </c>
      <c r="X322" s="38">
        <f>IF(AND($A322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322=1),1,0)+IF(AND($G$1=7,$C322=1),1,0)+IF(AND($H$1=7,$D322=1),1,0)+IF(AND($I$1=7,$E322=1),1,0)+IF(AND($J$1=7,$F322=1),1,0)+IF(AND($K$1=7,$G322=1),1,0)+IF(AND($L$1=7,$H322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2" s="38">
        <f>IF($B322=1,IF($F$1&lt;7,10,IF(AND($F$1=7,$I321=0,$P321&gt;1),15,IF($I321&gt;=20,15,IF($I321&gt;=6,13,10)))),0)+IF($C322=1,IF($G$1&lt;7,10,IF(AND($G$1=7,$J321=0,$Q321&gt;1),15,IF($J321&gt;=20,15,IF($J321&gt;=6,13,10)))),0)+IF($D322=1,IF($H$1&lt;7,10,IF(AND($H$1=7,$K321=0,$R321&gt;1),15,IF($K321&gt;=20,15,IF($K321&gt;=6,13,10)))),0)+IF($E322=1,IF($I$1&lt;7,10,IF(AND($I$1=7,$L321=0,$S321&gt;1),15,IF($L321&gt;=20,15,IF($L321&gt;=6,13,10)))),0)+IF($F322=1,IF($J$1&lt;7,10,IF(AND($J$1=7,$M321=0,$T321&gt;1),15,IF($M321&gt;=20,15,IF($M321&gt;=6,13,10)))),0)+IF($G322=1,IF($K$1&lt;7,10,IF(AND($K$1=7,$N321=0,$U321&gt;1),15,IF($N321&gt;=20,15,IF($N321&gt;=6,13,10)))),0)+IF($H322=1,IF($L$1&lt;7,10,IF(AND($L$1=7,$O321=0,$V321&gt;1),15,IF($O321&gt;=20,15,IF($O321&gt;=6,13,10)))),0)</f>
        <v/>
      </c>
      <c r="Z322" s="38">
        <f>$Z321+$Y322</f>
        <v/>
      </c>
      <c r="AA322" s="38">
        <f>IF(AND($B322=1,AND($F$1=7,$I321=0,$P321&gt;1)),1,0)+IF(AND($C322=1,AND($G$1=7,$J321=0,$Q321&gt;1)),1,0)+IF(AND($D322=1,AND($H$1=7,$K321=0,$R321&gt;1)),1,0)+IF(AND($E322=1,AND($I$1=7,$L321=0,$S321&gt;1)),1,0)+IF(AND($F322=1,AND($J$1=7,$M321=0,$T321&gt;1)),1,0)+IF(AND($G322=1,AND($K$1=7,$N321=0,$U321&gt;1)),1,0)+IF(AND($H322=1,AND($L$1=7,$O321=0,$V321&gt;1)),1,0)</f>
        <v/>
      </c>
      <c r="AB322" s="38">
        <f>IF(IFERROR('Ноя'!$I13,"")="",0,$AB321+1)</f>
        <v/>
      </c>
    </row>
    <row r="323" spans="1:28">
      <c r="A323" s="38">
        <f>IF($B$1&gt;=DATE(2026,11,9),1,0)</f>
        <v/>
      </c>
      <c r="B323" s="38">
        <f>IFERROR(IF('Ноя'!$B14=TRUE,1,0),0)</f>
        <v/>
      </c>
      <c r="C323" s="38">
        <f>IFERROR(IF('Ноя'!$C14=TRUE,1,0),0)</f>
        <v/>
      </c>
      <c r="D323" s="38">
        <f>IFERROR(IF('Ноя'!$D14=TRUE,1,0),0)</f>
        <v/>
      </c>
      <c r="E323" s="38">
        <f>IFERROR(IF('Ноя'!$E14=TRUE,1,0),0)</f>
        <v/>
      </c>
      <c r="F323" s="38">
        <f>IFERROR(IF('Ноя'!$F14=TRUE,1,0),0)</f>
        <v/>
      </c>
      <c r="G323" s="38">
        <f>IFERROR(IF('Ноя'!$G14=TRUE,1,0),0)</f>
        <v/>
      </c>
      <c r="H323" s="38">
        <f>IFERROR(IF('Ноя'!$H14=TRUE,1,0),0)</f>
        <v/>
      </c>
      <c r="I323" s="38">
        <f>IF($A323=0,$I322,IF($B323=1,$I322+1,IF($P323&lt;=1,$I322,0)))</f>
        <v/>
      </c>
      <c r="J323" s="38">
        <f>IF($A323=0,$J322,IF($C323=1,$J322+1,IF($Q323&lt;=1,$J322,0)))</f>
        <v/>
      </c>
      <c r="K323" s="38">
        <f>IF($A323=0,$K322,IF($D323=1,$K322+1,IF($R323&lt;=1,$K322,0)))</f>
        <v/>
      </c>
      <c r="L323" s="38">
        <f>IF($A323=0,$L322,IF($E323=1,$L322+1,IF($S323&lt;=1,$L322,0)))</f>
        <v/>
      </c>
      <c r="M323" s="38">
        <f>IF($A323=0,$M322,IF($F323=1,$M322+1,IF($T323&lt;=1,$M322,0)))</f>
        <v/>
      </c>
      <c r="N323" s="38">
        <f>IF($A323=0,$N322,IF($G323=1,$N322+1,IF($U323&lt;=1,$N322,0)))</f>
        <v/>
      </c>
      <c r="O323" s="38">
        <f>IF($A323=0,$O322,IF($H323=1,$O322+1,IF($V323&lt;=1,$O322,0)))</f>
        <v/>
      </c>
      <c r="P323" s="38">
        <f>IF($A323=0,$P322,$P322+IF($B323=1,0,1))</f>
        <v/>
      </c>
      <c r="Q323" s="38">
        <f>IF($A323=0,$Q322,$Q322+IF($C323=1,0,1))</f>
        <v/>
      </c>
      <c r="R323" s="38">
        <f>IF($A323=0,$R322,$R322+IF($D323=1,0,1))</f>
        <v/>
      </c>
      <c r="S323" s="38">
        <f>IF($A323=0,$S322,$S322+IF($E323=1,0,1))</f>
        <v/>
      </c>
      <c r="T323" s="38">
        <f>IF($A323=0,$T322,$T322+IF($F323=1,0,1))</f>
        <v/>
      </c>
      <c r="U323" s="38">
        <f>IF($A323=0,$U322,$U322+IF($G323=1,0,1))</f>
        <v/>
      </c>
      <c r="V323" s="38">
        <f>IF($A323=0,$V322,$V322+IF($H323=1,0,1))</f>
        <v/>
      </c>
      <c r="W323" s="38">
        <f>SUM($B323:$H323)</f>
        <v/>
      </c>
      <c r="X323" s="38">
        <f>IF(AND($A323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323=1),1,0)+IF(AND($G$1=7,$C323=1),1,0)+IF(AND($H$1=7,$D323=1),1,0)+IF(AND($I$1=7,$E323=1),1,0)+IF(AND($J$1=7,$F323=1),1,0)+IF(AND($K$1=7,$G323=1),1,0)+IF(AND($L$1=7,$H323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3" s="38">
        <f>IF($B323=1,IF($F$1&lt;7,10,IF(AND($F$1=7,$I322=0,$P322&gt;1),15,IF($I322&gt;=20,15,IF($I322&gt;=6,13,10)))),0)+IF($C323=1,IF($G$1&lt;7,10,IF(AND($G$1=7,$J322=0,$Q322&gt;1),15,IF($J322&gt;=20,15,IF($J322&gt;=6,13,10)))),0)+IF($D323=1,IF($H$1&lt;7,10,IF(AND($H$1=7,$K322=0,$R322&gt;1),15,IF($K322&gt;=20,15,IF($K322&gt;=6,13,10)))),0)+IF($E323=1,IF($I$1&lt;7,10,IF(AND($I$1=7,$L322=0,$S322&gt;1),15,IF($L322&gt;=20,15,IF($L322&gt;=6,13,10)))),0)+IF($F323=1,IF($J$1&lt;7,10,IF(AND($J$1=7,$M322=0,$T322&gt;1),15,IF($M322&gt;=20,15,IF($M322&gt;=6,13,10)))),0)+IF($G323=1,IF($K$1&lt;7,10,IF(AND($K$1=7,$N322=0,$U322&gt;1),15,IF($N322&gt;=20,15,IF($N322&gt;=6,13,10)))),0)+IF($H323=1,IF($L$1&lt;7,10,IF(AND($L$1=7,$O322=0,$V322&gt;1),15,IF($O322&gt;=20,15,IF($O322&gt;=6,13,10)))),0)</f>
        <v/>
      </c>
      <c r="Z323" s="38">
        <f>$Z322+$Y323</f>
        <v/>
      </c>
      <c r="AA323" s="38">
        <f>IF(AND($B323=1,AND($F$1=7,$I322=0,$P322&gt;1)),1,0)+IF(AND($C323=1,AND($G$1=7,$J322=0,$Q322&gt;1)),1,0)+IF(AND($D323=1,AND($H$1=7,$K322=0,$R322&gt;1)),1,0)+IF(AND($E323=1,AND($I$1=7,$L322=0,$S322&gt;1)),1,0)+IF(AND($F323=1,AND($J$1=7,$M322=0,$T322&gt;1)),1,0)+IF(AND($G323=1,AND($K$1=7,$N322=0,$U322&gt;1)),1,0)+IF(AND($H323=1,AND($L$1=7,$O322=0,$V322&gt;1)),1,0)</f>
        <v/>
      </c>
      <c r="AB323" s="38">
        <f>IF(IFERROR('Ноя'!$I14,"")="",0,$AB322+1)</f>
        <v/>
      </c>
    </row>
    <row r="324" spans="1:28">
      <c r="A324" s="38">
        <f>IF($B$1&gt;=DATE(2026,11,10),1,0)</f>
        <v/>
      </c>
      <c r="B324" s="38">
        <f>IFERROR(IF('Ноя'!$B15=TRUE,1,0),0)</f>
        <v/>
      </c>
      <c r="C324" s="38">
        <f>IFERROR(IF('Ноя'!$C15=TRUE,1,0),0)</f>
        <v/>
      </c>
      <c r="D324" s="38">
        <f>IFERROR(IF('Ноя'!$D15=TRUE,1,0),0)</f>
        <v/>
      </c>
      <c r="E324" s="38">
        <f>IFERROR(IF('Ноя'!$E15=TRUE,1,0),0)</f>
        <v/>
      </c>
      <c r="F324" s="38">
        <f>IFERROR(IF('Ноя'!$F15=TRUE,1,0),0)</f>
        <v/>
      </c>
      <c r="G324" s="38">
        <f>IFERROR(IF('Ноя'!$G15=TRUE,1,0),0)</f>
        <v/>
      </c>
      <c r="H324" s="38">
        <f>IFERROR(IF('Ноя'!$H15=TRUE,1,0),0)</f>
        <v/>
      </c>
      <c r="I324" s="38">
        <f>IF($A324=0,$I323,IF($B324=1,$I323+1,IF($P324&lt;=1,$I323,0)))</f>
        <v/>
      </c>
      <c r="J324" s="38">
        <f>IF($A324=0,$J323,IF($C324=1,$J323+1,IF($Q324&lt;=1,$J323,0)))</f>
        <v/>
      </c>
      <c r="K324" s="38">
        <f>IF($A324=0,$K323,IF($D324=1,$K323+1,IF($R324&lt;=1,$K323,0)))</f>
        <v/>
      </c>
      <c r="L324" s="38">
        <f>IF($A324=0,$L323,IF($E324=1,$L323+1,IF($S324&lt;=1,$L323,0)))</f>
        <v/>
      </c>
      <c r="M324" s="38">
        <f>IF($A324=0,$M323,IF($F324=1,$M323+1,IF($T324&lt;=1,$M323,0)))</f>
        <v/>
      </c>
      <c r="N324" s="38">
        <f>IF($A324=0,$N323,IF($G324=1,$N323+1,IF($U324&lt;=1,$N323,0)))</f>
        <v/>
      </c>
      <c r="O324" s="38">
        <f>IF($A324=0,$O323,IF($H324=1,$O323+1,IF($V324&lt;=1,$O323,0)))</f>
        <v/>
      </c>
      <c r="P324" s="38">
        <f>IF($A324=0,$P323,$P323+IF($B324=1,0,1))</f>
        <v/>
      </c>
      <c r="Q324" s="38">
        <f>IF($A324=0,$Q323,$Q323+IF($C324=1,0,1))</f>
        <v/>
      </c>
      <c r="R324" s="38">
        <f>IF($A324=0,$R323,$R323+IF($D324=1,0,1))</f>
        <v/>
      </c>
      <c r="S324" s="38">
        <f>IF($A324=0,$S323,$S323+IF($E324=1,0,1))</f>
        <v/>
      </c>
      <c r="T324" s="38">
        <f>IF($A324=0,$T323,$T323+IF($F324=1,0,1))</f>
        <v/>
      </c>
      <c r="U324" s="38">
        <f>IF($A324=0,$U323,$U323+IF($G324=1,0,1))</f>
        <v/>
      </c>
      <c r="V324" s="38">
        <f>IF($A324=0,$V323,$V323+IF($H324=1,0,1))</f>
        <v/>
      </c>
      <c r="W324" s="38">
        <f>SUM($B324:$H324)</f>
        <v/>
      </c>
      <c r="X324" s="38">
        <f>IF(AND($A324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324=1),1,0)+IF(AND($G$1=7,$C324=1),1,0)+IF(AND($H$1=7,$D324=1),1,0)+IF(AND($I$1=7,$E324=1),1,0)+IF(AND($J$1=7,$F324=1),1,0)+IF(AND($K$1=7,$G324=1),1,0)+IF(AND($L$1=7,$H324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4" s="38">
        <f>IF($B324=1,IF($F$1&lt;7,10,IF(AND($F$1=7,$I323=0,$P323&gt;1),15,IF($I323&gt;=20,15,IF($I323&gt;=6,13,10)))),0)+IF($C324=1,IF($G$1&lt;7,10,IF(AND($G$1=7,$J323=0,$Q323&gt;1),15,IF($J323&gt;=20,15,IF($J323&gt;=6,13,10)))),0)+IF($D324=1,IF($H$1&lt;7,10,IF(AND($H$1=7,$K323=0,$R323&gt;1),15,IF($K323&gt;=20,15,IF($K323&gt;=6,13,10)))),0)+IF($E324=1,IF($I$1&lt;7,10,IF(AND($I$1=7,$L323=0,$S323&gt;1),15,IF($L323&gt;=20,15,IF($L323&gt;=6,13,10)))),0)+IF($F324=1,IF($J$1&lt;7,10,IF(AND($J$1=7,$M323=0,$T323&gt;1),15,IF($M323&gt;=20,15,IF($M323&gt;=6,13,10)))),0)+IF($G324=1,IF($K$1&lt;7,10,IF(AND($K$1=7,$N323=0,$U323&gt;1),15,IF($N323&gt;=20,15,IF($N323&gt;=6,13,10)))),0)+IF($H324=1,IF($L$1&lt;7,10,IF(AND($L$1=7,$O323=0,$V323&gt;1),15,IF($O323&gt;=20,15,IF($O323&gt;=6,13,10)))),0)</f>
        <v/>
      </c>
      <c r="Z324" s="38">
        <f>$Z323+$Y324</f>
        <v/>
      </c>
      <c r="AA324" s="38">
        <f>IF(AND($B324=1,AND($F$1=7,$I323=0,$P323&gt;1)),1,0)+IF(AND($C324=1,AND($G$1=7,$J323=0,$Q323&gt;1)),1,0)+IF(AND($D324=1,AND($H$1=7,$K323=0,$R323&gt;1)),1,0)+IF(AND($E324=1,AND($I$1=7,$L323=0,$S323&gt;1)),1,0)+IF(AND($F324=1,AND($J$1=7,$M323=0,$T323&gt;1)),1,0)+IF(AND($G324=1,AND($K$1=7,$N323=0,$U323&gt;1)),1,0)+IF(AND($H324=1,AND($L$1=7,$O323=0,$V323&gt;1)),1,0)</f>
        <v/>
      </c>
      <c r="AB324" s="38">
        <f>IF(IFERROR('Ноя'!$I15,"")="",0,$AB323+1)</f>
        <v/>
      </c>
    </row>
    <row r="325" spans="1:28">
      <c r="A325" s="38">
        <f>IF($B$1&gt;=DATE(2026,11,11),1,0)</f>
        <v/>
      </c>
      <c r="B325" s="38">
        <f>IFERROR(IF('Ноя'!$B16=TRUE,1,0),0)</f>
        <v/>
      </c>
      <c r="C325" s="38">
        <f>IFERROR(IF('Ноя'!$C16=TRUE,1,0),0)</f>
        <v/>
      </c>
      <c r="D325" s="38">
        <f>IFERROR(IF('Ноя'!$D16=TRUE,1,0),0)</f>
        <v/>
      </c>
      <c r="E325" s="38">
        <f>IFERROR(IF('Ноя'!$E16=TRUE,1,0),0)</f>
        <v/>
      </c>
      <c r="F325" s="38">
        <f>IFERROR(IF('Ноя'!$F16=TRUE,1,0),0)</f>
        <v/>
      </c>
      <c r="G325" s="38">
        <f>IFERROR(IF('Ноя'!$G16=TRUE,1,0),0)</f>
        <v/>
      </c>
      <c r="H325" s="38">
        <f>IFERROR(IF('Ноя'!$H16=TRUE,1,0),0)</f>
        <v/>
      </c>
      <c r="I325" s="38">
        <f>IF($A325=0,$I324,IF($B325=1,$I324+1,IF($P325&lt;=1,$I324,0)))</f>
        <v/>
      </c>
      <c r="J325" s="38">
        <f>IF($A325=0,$J324,IF($C325=1,$J324+1,IF($Q325&lt;=1,$J324,0)))</f>
        <v/>
      </c>
      <c r="K325" s="38">
        <f>IF($A325=0,$K324,IF($D325=1,$K324+1,IF($R325&lt;=1,$K324,0)))</f>
        <v/>
      </c>
      <c r="L325" s="38">
        <f>IF($A325=0,$L324,IF($E325=1,$L324+1,IF($S325&lt;=1,$L324,0)))</f>
        <v/>
      </c>
      <c r="M325" s="38">
        <f>IF($A325=0,$M324,IF($F325=1,$M324+1,IF($T325&lt;=1,$M324,0)))</f>
        <v/>
      </c>
      <c r="N325" s="38">
        <f>IF($A325=0,$N324,IF($G325=1,$N324+1,IF($U325&lt;=1,$N324,0)))</f>
        <v/>
      </c>
      <c r="O325" s="38">
        <f>IF($A325=0,$O324,IF($H325=1,$O324+1,IF($V325&lt;=1,$O324,0)))</f>
        <v/>
      </c>
      <c r="P325" s="38">
        <f>IF($A325=0,$P324,$P324+IF($B325=1,0,1))</f>
        <v/>
      </c>
      <c r="Q325" s="38">
        <f>IF($A325=0,$Q324,$Q324+IF($C325=1,0,1))</f>
        <v/>
      </c>
      <c r="R325" s="38">
        <f>IF($A325=0,$R324,$R324+IF($D325=1,0,1))</f>
        <v/>
      </c>
      <c r="S325" s="38">
        <f>IF($A325=0,$S324,$S324+IF($E325=1,0,1))</f>
        <v/>
      </c>
      <c r="T325" s="38">
        <f>IF($A325=0,$T324,$T324+IF($F325=1,0,1))</f>
        <v/>
      </c>
      <c r="U325" s="38">
        <f>IF($A325=0,$U324,$U324+IF($G325=1,0,1))</f>
        <v/>
      </c>
      <c r="V325" s="38">
        <f>IF($A325=0,$V324,$V324+IF($H325=1,0,1))</f>
        <v/>
      </c>
      <c r="W325" s="38">
        <f>SUM($B325:$H325)</f>
        <v/>
      </c>
      <c r="X325" s="38">
        <f>IF(AND($A325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325=1),1,0)+IF(AND($G$1=7,$C325=1),1,0)+IF(AND($H$1=7,$D325=1),1,0)+IF(AND($I$1=7,$E325=1),1,0)+IF(AND($J$1=7,$F325=1),1,0)+IF(AND($K$1=7,$G325=1),1,0)+IF(AND($L$1=7,$H325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5" s="38">
        <f>IF($B325=1,IF($F$1&lt;7,10,IF(AND($F$1=7,$I324=0,$P324&gt;1),15,IF($I324&gt;=20,15,IF($I324&gt;=6,13,10)))),0)+IF($C325=1,IF($G$1&lt;7,10,IF(AND($G$1=7,$J324=0,$Q324&gt;1),15,IF($J324&gt;=20,15,IF($J324&gt;=6,13,10)))),0)+IF($D325=1,IF($H$1&lt;7,10,IF(AND($H$1=7,$K324=0,$R324&gt;1),15,IF($K324&gt;=20,15,IF($K324&gt;=6,13,10)))),0)+IF($E325=1,IF($I$1&lt;7,10,IF(AND($I$1=7,$L324=0,$S324&gt;1),15,IF($L324&gt;=20,15,IF($L324&gt;=6,13,10)))),0)+IF($F325=1,IF($J$1&lt;7,10,IF(AND($J$1=7,$M324=0,$T324&gt;1),15,IF($M324&gt;=20,15,IF($M324&gt;=6,13,10)))),0)+IF($G325=1,IF($K$1&lt;7,10,IF(AND($K$1=7,$N324=0,$U324&gt;1),15,IF($N324&gt;=20,15,IF($N324&gt;=6,13,10)))),0)+IF($H325=1,IF($L$1&lt;7,10,IF(AND($L$1=7,$O324=0,$V324&gt;1),15,IF($O324&gt;=20,15,IF($O324&gt;=6,13,10)))),0)</f>
        <v/>
      </c>
      <c r="Z325" s="38">
        <f>$Z324+$Y325</f>
        <v/>
      </c>
      <c r="AA325" s="38">
        <f>IF(AND($B325=1,AND($F$1=7,$I324=0,$P324&gt;1)),1,0)+IF(AND($C325=1,AND($G$1=7,$J324=0,$Q324&gt;1)),1,0)+IF(AND($D325=1,AND($H$1=7,$K324=0,$R324&gt;1)),1,0)+IF(AND($E325=1,AND($I$1=7,$L324=0,$S324&gt;1)),1,0)+IF(AND($F325=1,AND($J$1=7,$M324=0,$T324&gt;1)),1,0)+IF(AND($G325=1,AND($K$1=7,$N324=0,$U324&gt;1)),1,0)+IF(AND($H325=1,AND($L$1=7,$O324=0,$V324&gt;1)),1,0)</f>
        <v/>
      </c>
      <c r="AB325" s="38">
        <f>IF(IFERROR('Ноя'!$I16,"")="",0,$AB324+1)</f>
        <v/>
      </c>
    </row>
    <row r="326" spans="1:28">
      <c r="A326" s="38">
        <f>IF($B$1&gt;=DATE(2026,11,12),1,0)</f>
        <v/>
      </c>
      <c r="B326" s="38">
        <f>IFERROR(IF('Ноя'!$B17=TRUE,1,0),0)</f>
        <v/>
      </c>
      <c r="C326" s="38">
        <f>IFERROR(IF('Ноя'!$C17=TRUE,1,0),0)</f>
        <v/>
      </c>
      <c r="D326" s="38">
        <f>IFERROR(IF('Ноя'!$D17=TRUE,1,0),0)</f>
        <v/>
      </c>
      <c r="E326" s="38">
        <f>IFERROR(IF('Ноя'!$E17=TRUE,1,0),0)</f>
        <v/>
      </c>
      <c r="F326" s="38">
        <f>IFERROR(IF('Ноя'!$F17=TRUE,1,0),0)</f>
        <v/>
      </c>
      <c r="G326" s="38">
        <f>IFERROR(IF('Ноя'!$G17=TRUE,1,0),0)</f>
        <v/>
      </c>
      <c r="H326" s="38">
        <f>IFERROR(IF('Ноя'!$H17=TRUE,1,0),0)</f>
        <v/>
      </c>
      <c r="I326" s="38">
        <f>IF($A326=0,$I325,IF($B326=1,$I325+1,IF($P326&lt;=1,$I325,0)))</f>
        <v/>
      </c>
      <c r="J326" s="38">
        <f>IF($A326=0,$J325,IF($C326=1,$J325+1,IF($Q326&lt;=1,$J325,0)))</f>
        <v/>
      </c>
      <c r="K326" s="38">
        <f>IF($A326=0,$K325,IF($D326=1,$K325+1,IF($R326&lt;=1,$K325,0)))</f>
        <v/>
      </c>
      <c r="L326" s="38">
        <f>IF($A326=0,$L325,IF($E326=1,$L325+1,IF($S326&lt;=1,$L325,0)))</f>
        <v/>
      </c>
      <c r="M326" s="38">
        <f>IF($A326=0,$M325,IF($F326=1,$M325+1,IF($T326&lt;=1,$M325,0)))</f>
        <v/>
      </c>
      <c r="N326" s="38">
        <f>IF($A326=0,$N325,IF($G326=1,$N325+1,IF($U326&lt;=1,$N325,0)))</f>
        <v/>
      </c>
      <c r="O326" s="38">
        <f>IF($A326=0,$O325,IF($H326=1,$O325+1,IF($V326&lt;=1,$O325,0)))</f>
        <v/>
      </c>
      <c r="P326" s="38">
        <f>IF($A326=0,$P325,$P325+IF($B326=1,0,1))</f>
        <v/>
      </c>
      <c r="Q326" s="38">
        <f>IF($A326=0,$Q325,$Q325+IF($C326=1,0,1))</f>
        <v/>
      </c>
      <c r="R326" s="38">
        <f>IF($A326=0,$R325,$R325+IF($D326=1,0,1))</f>
        <v/>
      </c>
      <c r="S326" s="38">
        <f>IF($A326=0,$S325,$S325+IF($E326=1,0,1))</f>
        <v/>
      </c>
      <c r="T326" s="38">
        <f>IF($A326=0,$T325,$T325+IF($F326=1,0,1))</f>
        <v/>
      </c>
      <c r="U326" s="38">
        <f>IF($A326=0,$U325,$U325+IF($G326=1,0,1))</f>
        <v/>
      </c>
      <c r="V326" s="38">
        <f>IF($A326=0,$V325,$V325+IF($H326=1,0,1))</f>
        <v/>
      </c>
      <c r="W326" s="38">
        <f>SUM($B326:$H326)</f>
        <v/>
      </c>
      <c r="X326" s="38">
        <f>IF(AND($A326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326=1),1,0)+IF(AND($G$1=7,$C326=1),1,0)+IF(AND($H$1=7,$D326=1),1,0)+IF(AND($I$1=7,$E326=1),1,0)+IF(AND($J$1=7,$F326=1),1,0)+IF(AND($K$1=7,$G326=1),1,0)+IF(AND($L$1=7,$H326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6" s="38">
        <f>IF($B326=1,IF($F$1&lt;7,10,IF(AND($F$1=7,$I325=0,$P325&gt;1),15,IF($I325&gt;=20,15,IF($I325&gt;=6,13,10)))),0)+IF($C326=1,IF($G$1&lt;7,10,IF(AND($G$1=7,$J325=0,$Q325&gt;1),15,IF($J325&gt;=20,15,IF($J325&gt;=6,13,10)))),0)+IF($D326=1,IF($H$1&lt;7,10,IF(AND($H$1=7,$K325=0,$R325&gt;1),15,IF($K325&gt;=20,15,IF($K325&gt;=6,13,10)))),0)+IF($E326=1,IF($I$1&lt;7,10,IF(AND($I$1=7,$L325=0,$S325&gt;1),15,IF($L325&gt;=20,15,IF($L325&gt;=6,13,10)))),0)+IF($F326=1,IF($J$1&lt;7,10,IF(AND($J$1=7,$M325=0,$T325&gt;1),15,IF($M325&gt;=20,15,IF($M325&gt;=6,13,10)))),0)+IF($G326=1,IF($K$1&lt;7,10,IF(AND($K$1=7,$N325=0,$U325&gt;1),15,IF($N325&gt;=20,15,IF($N325&gt;=6,13,10)))),0)+IF($H326=1,IF($L$1&lt;7,10,IF(AND($L$1=7,$O325=0,$V325&gt;1),15,IF($O325&gt;=20,15,IF($O325&gt;=6,13,10)))),0)</f>
        <v/>
      </c>
      <c r="Z326" s="38">
        <f>$Z325+$Y326</f>
        <v/>
      </c>
      <c r="AA326" s="38">
        <f>IF(AND($B326=1,AND($F$1=7,$I325=0,$P325&gt;1)),1,0)+IF(AND($C326=1,AND($G$1=7,$J325=0,$Q325&gt;1)),1,0)+IF(AND($D326=1,AND($H$1=7,$K325=0,$R325&gt;1)),1,0)+IF(AND($E326=1,AND($I$1=7,$L325=0,$S325&gt;1)),1,0)+IF(AND($F326=1,AND($J$1=7,$M325=0,$T325&gt;1)),1,0)+IF(AND($G326=1,AND($K$1=7,$N325=0,$U325&gt;1)),1,0)+IF(AND($H326=1,AND($L$1=7,$O325=0,$V325&gt;1)),1,0)</f>
        <v/>
      </c>
      <c r="AB326" s="38">
        <f>IF(IFERROR('Ноя'!$I17,"")="",0,$AB325+1)</f>
        <v/>
      </c>
    </row>
    <row r="327" spans="1:28">
      <c r="A327" s="38">
        <f>IF($B$1&gt;=DATE(2026,11,13),1,0)</f>
        <v/>
      </c>
      <c r="B327" s="38">
        <f>IFERROR(IF('Ноя'!$B18=TRUE,1,0),0)</f>
        <v/>
      </c>
      <c r="C327" s="38">
        <f>IFERROR(IF('Ноя'!$C18=TRUE,1,0),0)</f>
        <v/>
      </c>
      <c r="D327" s="38">
        <f>IFERROR(IF('Ноя'!$D18=TRUE,1,0),0)</f>
        <v/>
      </c>
      <c r="E327" s="38">
        <f>IFERROR(IF('Ноя'!$E18=TRUE,1,0),0)</f>
        <v/>
      </c>
      <c r="F327" s="38">
        <f>IFERROR(IF('Ноя'!$F18=TRUE,1,0),0)</f>
        <v/>
      </c>
      <c r="G327" s="38">
        <f>IFERROR(IF('Ноя'!$G18=TRUE,1,0),0)</f>
        <v/>
      </c>
      <c r="H327" s="38">
        <f>IFERROR(IF('Ноя'!$H18=TRUE,1,0),0)</f>
        <v/>
      </c>
      <c r="I327" s="38">
        <f>IF($A327=0,$I326,IF($B327=1,$I326+1,IF($P327&lt;=1,$I326,0)))</f>
        <v/>
      </c>
      <c r="J327" s="38">
        <f>IF($A327=0,$J326,IF($C327=1,$J326+1,IF($Q327&lt;=1,$J326,0)))</f>
        <v/>
      </c>
      <c r="K327" s="38">
        <f>IF($A327=0,$K326,IF($D327=1,$K326+1,IF($R327&lt;=1,$K326,0)))</f>
        <v/>
      </c>
      <c r="L327" s="38">
        <f>IF($A327=0,$L326,IF($E327=1,$L326+1,IF($S327&lt;=1,$L326,0)))</f>
        <v/>
      </c>
      <c r="M327" s="38">
        <f>IF($A327=0,$M326,IF($F327=1,$M326+1,IF($T327&lt;=1,$M326,0)))</f>
        <v/>
      </c>
      <c r="N327" s="38">
        <f>IF($A327=0,$N326,IF($G327=1,$N326+1,IF($U327&lt;=1,$N326,0)))</f>
        <v/>
      </c>
      <c r="O327" s="38">
        <f>IF($A327=0,$O326,IF($H327=1,$O326+1,IF($V327&lt;=1,$O326,0)))</f>
        <v/>
      </c>
      <c r="P327" s="38">
        <f>IF($A327=0,$P326,$P326+IF($B327=1,0,1))</f>
        <v/>
      </c>
      <c r="Q327" s="38">
        <f>IF($A327=0,$Q326,$Q326+IF($C327=1,0,1))</f>
        <v/>
      </c>
      <c r="R327" s="38">
        <f>IF($A327=0,$R326,$R326+IF($D327=1,0,1))</f>
        <v/>
      </c>
      <c r="S327" s="38">
        <f>IF($A327=0,$S326,$S326+IF($E327=1,0,1))</f>
        <v/>
      </c>
      <c r="T327" s="38">
        <f>IF($A327=0,$T326,$T326+IF($F327=1,0,1))</f>
        <v/>
      </c>
      <c r="U327" s="38">
        <f>IF($A327=0,$U326,$U326+IF($G327=1,0,1))</f>
        <v/>
      </c>
      <c r="V327" s="38">
        <f>IF($A327=0,$V326,$V326+IF($H327=1,0,1))</f>
        <v/>
      </c>
      <c r="W327" s="38">
        <f>SUM($B327:$H327)</f>
        <v/>
      </c>
      <c r="X327" s="38">
        <f>IF(AND($A327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327=1),1,0)+IF(AND($G$1=7,$C327=1),1,0)+IF(AND($H$1=7,$D327=1),1,0)+IF(AND($I$1=7,$E327=1),1,0)+IF(AND($J$1=7,$F327=1),1,0)+IF(AND($K$1=7,$G327=1),1,0)+IF(AND($L$1=7,$H327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7" s="38">
        <f>IF($B327=1,IF($F$1&lt;7,10,IF(AND($F$1=7,$I326=0,$P326&gt;1),15,IF($I326&gt;=20,15,IF($I326&gt;=6,13,10)))),0)+IF($C327=1,IF($G$1&lt;7,10,IF(AND($G$1=7,$J326=0,$Q326&gt;1),15,IF($J326&gt;=20,15,IF($J326&gt;=6,13,10)))),0)+IF($D327=1,IF($H$1&lt;7,10,IF(AND($H$1=7,$K326=0,$R326&gt;1),15,IF($K326&gt;=20,15,IF($K326&gt;=6,13,10)))),0)+IF($E327=1,IF($I$1&lt;7,10,IF(AND($I$1=7,$L326=0,$S326&gt;1),15,IF($L326&gt;=20,15,IF($L326&gt;=6,13,10)))),0)+IF($F327=1,IF($J$1&lt;7,10,IF(AND($J$1=7,$M326=0,$T326&gt;1),15,IF($M326&gt;=20,15,IF($M326&gt;=6,13,10)))),0)+IF($G327=1,IF($K$1&lt;7,10,IF(AND($K$1=7,$N326=0,$U326&gt;1),15,IF($N326&gt;=20,15,IF($N326&gt;=6,13,10)))),0)+IF($H327=1,IF($L$1&lt;7,10,IF(AND($L$1=7,$O326=0,$V326&gt;1),15,IF($O326&gt;=20,15,IF($O326&gt;=6,13,10)))),0)</f>
        <v/>
      </c>
      <c r="Z327" s="38">
        <f>$Z326+$Y327</f>
        <v/>
      </c>
      <c r="AA327" s="38">
        <f>IF(AND($B327=1,AND($F$1=7,$I326=0,$P326&gt;1)),1,0)+IF(AND($C327=1,AND($G$1=7,$J326=0,$Q326&gt;1)),1,0)+IF(AND($D327=1,AND($H$1=7,$K326=0,$R326&gt;1)),1,0)+IF(AND($E327=1,AND($I$1=7,$L326=0,$S326&gt;1)),1,0)+IF(AND($F327=1,AND($J$1=7,$M326=0,$T326&gt;1)),1,0)+IF(AND($G327=1,AND($K$1=7,$N326=0,$U326&gt;1)),1,0)+IF(AND($H327=1,AND($L$1=7,$O326=0,$V326&gt;1)),1,0)</f>
        <v/>
      </c>
      <c r="AB327" s="38">
        <f>IF(IFERROR('Ноя'!$I18,"")="",0,$AB326+1)</f>
        <v/>
      </c>
    </row>
    <row r="328" spans="1:28">
      <c r="A328" s="38">
        <f>IF($B$1&gt;=DATE(2026,11,14),1,0)</f>
        <v/>
      </c>
      <c r="B328" s="38">
        <f>IFERROR(IF('Ноя'!$B19=TRUE,1,0),0)</f>
        <v/>
      </c>
      <c r="C328" s="38">
        <f>IFERROR(IF('Ноя'!$C19=TRUE,1,0),0)</f>
        <v/>
      </c>
      <c r="D328" s="38">
        <f>IFERROR(IF('Ноя'!$D19=TRUE,1,0),0)</f>
        <v/>
      </c>
      <c r="E328" s="38">
        <f>IFERROR(IF('Ноя'!$E19=TRUE,1,0),0)</f>
        <v/>
      </c>
      <c r="F328" s="38">
        <f>IFERROR(IF('Ноя'!$F19=TRUE,1,0),0)</f>
        <v/>
      </c>
      <c r="G328" s="38">
        <f>IFERROR(IF('Ноя'!$G19=TRUE,1,0),0)</f>
        <v/>
      </c>
      <c r="H328" s="38">
        <f>IFERROR(IF('Ноя'!$H19=TRUE,1,0),0)</f>
        <v/>
      </c>
      <c r="I328" s="38">
        <f>IF($A328=0,$I327,IF($B328=1,$I327+1,IF($P328&lt;=1,$I327,0)))</f>
        <v/>
      </c>
      <c r="J328" s="38">
        <f>IF($A328=0,$J327,IF($C328=1,$J327+1,IF($Q328&lt;=1,$J327,0)))</f>
        <v/>
      </c>
      <c r="K328" s="38">
        <f>IF($A328=0,$K327,IF($D328=1,$K327+1,IF($R328&lt;=1,$K327,0)))</f>
        <v/>
      </c>
      <c r="L328" s="38">
        <f>IF($A328=0,$L327,IF($E328=1,$L327+1,IF($S328&lt;=1,$L327,0)))</f>
        <v/>
      </c>
      <c r="M328" s="38">
        <f>IF($A328=0,$M327,IF($F328=1,$M327+1,IF($T328&lt;=1,$M327,0)))</f>
        <v/>
      </c>
      <c r="N328" s="38">
        <f>IF($A328=0,$N327,IF($G328=1,$N327+1,IF($U328&lt;=1,$N327,0)))</f>
        <v/>
      </c>
      <c r="O328" s="38">
        <f>IF($A328=0,$O327,IF($H328=1,$O327+1,IF($V328&lt;=1,$O327,0)))</f>
        <v/>
      </c>
      <c r="P328" s="38">
        <f>IF($A328=0,$P327,$P327+IF($B328=1,0,1))</f>
        <v/>
      </c>
      <c r="Q328" s="38">
        <f>IF($A328=0,$Q327,$Q327+IF($C328=1,0,1))</f>
        <v/>
      </c>
      <c r="R328" s="38">
        <f>IF($A328=0,$R327,$R327+IF($D328=1,0,1))</f>
        <v/>
      </c>
      <c r="S328" s="38">
        <f>IF($A328=0,$S327,$S327+IF($E328=1,0,1))</f>
        <v/>
      </c>
      <c r="T328" s="38">
        <f>IF($A328=0,$T327,$T327+IF($F328=1,0,1))</f>
        <v/>
      </c>
      <c r="U328" s="38">
        <f>IF($A328=0,$U327,$U327+IF($G328=1,0,1))</f>
        <v/>
      </c>
      <c r="V328" s="38">
        <f>IF($A328=0,$V327,$V327+IF($H328=1,0,1))</f>
        <v/>
      </c>
      <c r="W328" s="38">
        <f>SUM($B328:$H328)</f>
        <v/>
      </c>
      <c r="X328" s="38">
        <f>IF(AND($A328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328=1),1,0)+IF(AND($G$1=7,$C328=1),1,0)+IF(AND($H$1=7,$D328=1),1,0)+IF(AND($I$1=7,$E328=1),1,0)+IF(AND($J$1=7,$F328=1),1,0)+IF(AND($K$1=7,$G328=1),1,0)+IF(AND($L$1=7,$H328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8" s="38">
        <f>IF($B328=1,IF($F$1&lt;7,10,IF(AND($F$1=7,$I327=0,$P327&gt;1),15,IF($I327&gt;=20,15,IF($I327&gt;=6,13,10)))),0)+IF($C328=1,IF($G$1&lt;7,10,IF(AND($G$1=7,$J327=0,$Q327&gt;1),15,IF($J327&gt;=20,15,IF($J327&gt;=6,13,10)))),0)+IF($D328=1,IF($H$1&lt;7,10,IF(AND($H$1=7,$K327=0,$R327&gt;1),15,IF($K327&gt;=20,15,IF($K327&gt;=6,13,10)))),0)+IF($E328=1,IF($I$1&lt;7,10,IF(AND($I$1=7,$L327=0,$S327&gt;1),15,IF($L327&gt;=20,15,IF($L327&gt;=6,13,10)))),0)+IF($F328=1,IF($J$1&lt;7,10,IF(AND($J$1=7,$M327=0,$T327&gt;1),15,IF($M327&gt;=20,15,IF($M327&gt;=6,13,10)))),0)+IF($G328=1,IF($K$1&lt;7,10,IF(AND($K$1=7,$N327=0,$U327&gt;1),15,IF($N327&gt;=20,15,IF($N327&gt;=6,13,10)))),0)+IF($H328=1,IF($L$1&lt;7,10,IF(AND($L$1=7,$O327=0,$V327&gt;1),15,IF($O327&gt;=20,15,IF($O327&gt;=6,13,10)))),0)</f>
        <v/>
      </c>
      <c r="Z328" s="38">
        <f>$Z327+$Y328</f>
        <v/>
      </c>
      <c r="AA328" s="38">
        <f>IF(AND($B328=1,AND($F$1=7,$I327=0,$P327&gt;1)),1,0)+IF(AND($C328=1,AND($G$1=7,$J327=0,$Q327&gt;1)),1,0)+IF(AND($D328=1,AND($H$1=7,$K327=0,$R327&gt;1)),1,0)+IF(AND($E328=1,AND($I$1=7,$L327=0,$S327&gt;1)),1,0)+IF(AND($F328=1,AND($J$1=7,$M327=0,$T327&gt;1)),1,0)+IF(AND($G328=1,AND($K$1=7,$N327=0,$U327&gt;1)),1,0)+IF(AND($H328=1,AND($L$1=7,$O327=0,$V327&gt;1)),1,0)</f>
        <v/>
      </c>
      <c r="AB328" s="38">
        <f>IF(IFERROR('Ноя'!$I19,"")="",0,$AB327+1)</f>
        <v/>
      </c>
    </row>
    <row r="329" spans="1:28">
      <c r="A329" s="38">
        <f>IF($B$1&gt;=DATE(2026,11,15),1,0)</f>
        <v/>
      </c>
      <c r="B329" s="38">
        <f>IFERROR(IF('Ноя'!$B20=TRUE,1,0),0)</f>
        <v/>
      </c>
      <c r="C329" s="38">
        <f>IFERROR(IF('Ноя'!$C20=TRUE,1,0),0)</f>
        <v/>
      </c>
      <c r="D329" s="38">
        <f>IFERROR(IF('Ноя'!$D20=TRUE,1,0),0)</f>
        <v/>
      </c>
      <c r="E329" s="38">
        <f>IFERROR(IF('Ноя'!$E20=TRUE,1,0),0)</f>
        <v/>
      </c>
      <c r="F329" s="38">
        <f>IFERROR(IF('Ноя'!$F20=TRUE,1,0),0)</f>
        <v/>
      </c>
      <c r="G329" s="38">
        <f>IFERROR(IF('Ноя'!$G20=TRUE,1,0),0)</f>
        <v/>
      </c>
      <c r="H329" s="38">
        <f>IFERROR(IF('Ноя'!$H20=TRUE,1,0),0)</f>
        <v/>
      </c>
      <c r="I329" s="38">
        <f>IF($A329=0,$I328,IF($B329=1,$I328+1,IF($P329&lt;=1,$I328,0)))</f>
        <v/>
      </c>
      <c r="J329" s="38">
        <f>IF($A329=0,$J328,IF($C329=1,$J328+1,IF($Q329&lt;=1,$J328,0)))</f>
        <v/>
      </c>
      <c r="K329" s="38">
        <f>IF($A329=0,$K328,IF($D329=1,$K328+1,IF($R329&lt;=1,$K328,0)))</f>
        <v/>
      </c>
      <c r="L329" s="38">
        <f>IF($A329=0,$L328,IF($E329=1,$L328+1,IF($S329&lt;=1,$L328,0)))</f>
        <v/>
      </c>
      <c r="M329" s="38">
        <f>IF($A329=0,$M328,IF($F329=1,$M328+1,IF($T329&lt;=1,$M328,0)))</f>
        <v/>
      </c>
      <c r="N329" s="38">
        <f>IF($A329=0,$N328,IF($G329=1,$N328+1,IF($U329&lt;=1,$N328,0)))</f>
        <v/>
      </c>
      <c r="O329" s="38">
        <f>IF($A329=0,$O328,IF($H329=1,$O328+1,IF($V329&lt;=1,$O328,0)))</f>
        <v/>
      </c>
      <c r="P329" s="38">
        <f>IF($A329=0,$P328,$P328+IF($B329=1,0,1))</f>
        <v/>
      </c>
      <c r="Q329" s="38">
        <f>IF($A329=0,$Q328,$Q328+IF($C329=1,0,1))</f>
        <v/>
      </c>
      <c r="R329" s="38">
        <f>IF($A329=0,$R328,$R328+IF($D329=1,0,1))</f>
        <v/>
      </c>
      <c r="S329" s="38">
        <f>IF($A329=0,$S328,$S328+IF($E329=1,0,1))</f>
        <v/>
      </c>
      <c r="T329" s="38">
        <f>IF($A329=0,$T328,$T328+IF($F329=1,0,1))</f>
        <v/>
      </c>
      <c r="U329" s="38">
        <f>IF($A329=0,$U328,$U328+IF($G329=1,0,1))</f>
        <v/>
      </c>
      <c r="V329" s="38">
        <f>IF($A329=0,$V328,$V328+IF($H329=1,0,1))</f>
        <v/>
      </c>
      <c r="W329" s="38">
        <f>SUM($B329:$H329)</f>
        <v/>
      </c>
      <c r="X329" s="38">
        <f>IF(AND($A329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329=1),1,0)+IF(AND($G$1=7,$C329=1),1,0)+IF(AND($H$1=7,$D329=1),1,0)+IF(AND($I$1=7,$E329=1),1,0)+IF(AND($J$1=7,$F329=1),1,0)+IF(AND($K$1=7,$G329=1),1,0)+IF(AND($L$1=7,$H329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9" s="38">
        <f>IF($B329=1,IF($F$1&lt;7,10,IF(AND($F$1=7,$I328=0,$P328&gt;1),15,IF($I328&gt;=20,15,IF($I328&gt;=6,13,10)))),0)+IF($C329=1,IF($G$1&lt;7,10,IF(AND($G$1=7,$J328=0,$Q328&gt;1),15,IF($J328&gt;=20,15,IF($J328&gt;=6,13,10)))),0)+IF($D329=1,IF($H$1&lt;7,10,IF(AND($H$1=7,$K328=0,$R328&gt;1),15,IF($K328&gt;=20,15,IF($K328&gt;=6,13,10)))),0)+IF($E329=1,IF($I$1&lt;7,10,IF(AND($I$1=7,$L328=0,$S328&gt;1),15,IF($L328&gt;=20,15,IF($L328&gt;=6,13,10)))),0)+IF($F329=1,IF($J$1&lt;7,10,IF(AND($J$1=7,$M328=0,$T328&gt;1),15,IF($M328&gt;=20,15,IF($M328&gt;=6,13,10)))),0)+IF($G329=1,IF($K$1&lt;7,10,IF(AND($K$1=7,$N328=0,$U328&gt;1),15,IF($N328&gt;=20,15,IF($N328&gt;=6,13,10)))),0)+IF($H329=1,IF($L$1&lt;7,10,IF(AND($L$1=7,$O328=0,$V328&gt;1),15,IF($O328&gt;=20,15,IF($O328&gt;=6,13,10)))),0)</f>
        <v/>
      </c>
      <c r="Z329" s="38">
        <f>$Z328+$Y329</f>
        <v/>
      </c>
      <c r="AA329" s="38">
        <f>IF(AND($B329=1,AND($F$1=7,$I328=0,$P328&gt;1)),1,0)+IF(AND($C329=1,AND($G$1=7,$J328=0,$Q328&gt;1)),1,0)+IF(AND($D329=1,AND($H$1=7,$K328=0,$R328&gt;1)),1,0)+IF(AND($E329=1,AND($I$1=7,$L328=0,$S328&gt;1)),1,0)+IF(AND($F329=1,AND($J$1=7,$M328=0,$T328&gt;1)),1,0)+IF(AND($G329=1,AND($K$1=7,$N328=0,$U328&gt;1)),1,0)+IF(AND($H329=1,AND($L$1=7,$O328=0,$V328&gt;1)),1,0)</f>
        <v/>
      </c>
      <c r="AB329" s="38">
        <f>IF(IFERROR('Ноя'!$I20,"")="",0,$AB328+1)</f>
        <v/>
      </c>
    </row>
    <row r="330" spans="1:28">
      <c r="A330" s="38">
        <f>IF($B$1&gt;=DATE(2026,11,16),1,0)</f>
        <v/>
      </c>
      <c r="B330" s="38">
        <f>IFERROR(IF('Ноя'!$B21=TRUE,1,0),0)</f>
        <v/>
      </c>
      <c r="C330" s="38">
        <f>IFERROR(IF('Ноя'!$C21=TRUE,1,0),0)</f>
        <v/>
      </c>
      <c r="D330" s="38">
        <f>IFERROR(IF('Ноя'!$D21=TRUE,1,0),0)</f>
        <v/>
      </c>
      <c r="E330" s="38">
        <f>IFERROR(IF('Ноя'!$E21=TRUE,1,0),0)</f>
        <v/>
      </c>
      <c r="F330" s="38">
        <f>IFERROR(IF('Ноя'!$F21=TRUE,1,0),0)</f>
        <v/>
      </c>
      <c r="G330" s="38">
        <f>IFERROR(IF('Ноя'!$G21=TRUE,1,0),0)</f>
        <v/>
      </c>
      <c r="H330" s="38">
        <f>IFERROR(IF('Ноя'!$H21=TRUE,1,0),0)</f>
        <v/>
      </c>
      <c r="I330" s="38">
        <f>IF($A330=0,$I329,IF($B330=1,$I329+1,IF($P330&lt;=1,$I329,0)))</f>
        <v/>
      </c>
      <c r="J330" s="38">
        <f>IF($A330=0,$J329,IF($C330=1,$J329+1,IF($Q330&lt;=1,$J329,0)))</f>
        <v/>
      </c>
      <c r="K330" s="38">
        <f>IF($A330=0,$K329,IF($D330=1,$K329+1,IF($R330&lt;=1,$K329,0)))</f>
        <v/>
      </c>
      <c r="L330" s="38">
        <f>IF($A330=0,$L329,IF($E330=1,$L329+1,IF($S330&lt;=1,$L329,0)))</f>
        <v/>
      </c>
      <c r="M330" s="38">
        <f>IF($A330=0,$M329,IF($F330=1,$M329+1,IF($T330&lt;=1,$M329,0)))</f>
        <v/>
      </c>
      <c r="N330" s="38">
        <f>IF($A330=0,$N329,IF($G330=1,$N329+1,IF($U330&lt;=1,$N329,0)))</f>
        <v/>
      </c>
      <c r="O330" s="38">
        <f>IF($A330=0,$O329,IF($H330=1,$O329+1,IF($V330&lt;=1,$O329,0)))</f>
        <v/>
      </c>
      <c r="P330" s="38">
        <f>IF($A330=0,$P329,$P329+IF($B330=1,0,1))</f>
        <v/>
      </c>
      <c r="Q330" s="38">
        <f>IF($A330=0,$Q329,$Q329+IF($C330=1,0,1))</f>
        <v/>
      </c>
      <c r="R330" s="38">
        <f>IF($A330=0,$R329,$R329+IF($D330=1,0,1))</f>
        <v/>
      </c>
      <c r="S330" s="38">
        <f>IF($A330=0,$S329,$S329+IF($E330=1,0,1))</f>
        <v/>
      </c>
      <c r="T330" s="38">
        <f>IF($A330=0,$T329,$T329+IF($F330=1,0,1))</f>
        <v/>
      </c>
      <c r="U330" s="38">
        <f>IF($A330=0,$U329,$U329+IF($G330=1,0,1))</f>
        <v/>
      </c>
      <c r="V330" s="38">
        <f>IF($A330=0,$V329,$V329+IF($H330=1,0,1))</f>
        <v/>
      </c>
      <c r="W330" s="38">
        <f>SUM($B330:$H330)</f>
        <v/>
      </c>
      <c r="X330" s="38">
        <f>IF(AND($A330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330=1),1,0)+IF(AND($G$1=7,$C330=1),1,0)+IF(AND($H$1=7,$D330=1),1,0)+IF(AND($I$1=7,$E330=1),1,0)+IF(AND($J$1=7,$F330=1),1,0)+IF(AND($K$1=7,$G330=1),1,0)+IF(AND($L$1=7,$H330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0" s="38">
        <f>IF($B330=1,IF($F$1&lt;7,10,IF(AND($F$1=7,$I329=0,$P329&gt;1),15,IF($I329&gt;=20,15,IF($I329&gt;=6,13,10)))),0)+IF($C330=1,IF($G$1&lt;7,10,IF(AND($G$1=7,$J329=0,$Q329&gt;1),15,IF($J329&gt;=20,15,IF($J329&gt;=6,13,10)))),0)+IF($D330=1,IF($H$1&lt;7,10,IF(AND($H$1=7,$K329=0,$R329&gt;1),15,IF($K329&gt;=20,15,IF($K329&gt;=6,13,10)))),0)+IF($E330=1,IF($I$1&lt;7,10,IF(AND($I$1=7,$L329=0,$S329&gt;1),15,IF($L329&gt;=20,15,IF($L329&gt;=6,13,10)))),0)+IF($F330=1,IF($J$1&lt;7,10,IF(AND($J$1=7,$M329=0,$T329&gt;1),15,IF($M329&gt;=20,15,IF($M329&gt;=6,13,10)))),0)+IF($G330=1,IF($K$1&lt;7,10,IF(AND($K$1=7,$N329=0,$U329&gt;1),15,IF($N329&gt;=20,15,IF($N329&gt;=6,13,10)))),0)+IF($H330=1,IF($L$1&lt;7,10,IF(AND($L$1=7,$O329=0,$V329&gt;1),15,IF($O329&gt;=20,15,IF($O329&gt;=6,13,10)))),0)</f>
        <v/>
      </c>
      <c r="Z330" s="38">
        <f>$Z329+$Y330</f>
        <v/>
      </c>
      <c r="AA330" s="38">
        <f>IF(AND($B330=1,AND($F$1=7,$I329=0,$P329&gt;1)),1,0)+IF(AND($C330=1,AND($G$1=7,$J329=0,$Q329&gt;1)),1,0)+IF(AND($D330=1,AND($H$1=7,$K329=0,$R329&gt;1)),1,0)+IF(AND($E330=1,AND($I$1=7,$L329=0,$S329&gt;1)),1,0)+IF(AND($F330=1,AND($J$1=7,$M329=0,$T329&gt;1)),1,0)+IF(AND($G330=1,AND($K$1=7,$N329=0,$U329&gt;1)),1,0)+IF(AND($H330=1,AND($L$1=7,$O329=0,$V329&gt;1)),1,0)</f>
        <v/>
      </c>
      <c r="AB330" s="38">
        <f>IF(IFERROR('Ноя'!$I21,"")="",0,$AB329+1)</f>
        <v/>
      </c>
    </row>
    <row r="331" spans="1:28">
      <c r="A331" s="38">
        <f>IF($B$1&gt;=DATE(2026,11,17),1,0)</f>
        <v/>
      </c>
      <c r="B331" s="38">
        <f>IFERROR(IF('Ноя'!$B22=TRUE,1,0),0)</f>
        <v/>
      </c>
      <c r="C331" s="38">
        <f>IFERROR(IF('Ноя'!$C22=TRUE,1,0),0)</f>
        <v/>
      </c>
      <c r="D331" s="38">
        <f>IFERROR(IF('Ноя'!$D22=TRUE,1,0),0)</f>
        <v/>
      </c>
      <c r="E331" s="38">
        <f>IFERROR(IF('Ноя'!$E22=TRUE,1,0),0)</f>
        <v/>
      </c>
      <c r="F331" s="38">
        <f>IFERROR(IF('Ноя'!$F22=TRUE,1,0),0)</f>
        <v/>
      </c>
      <c r="G331" s="38">
        <f>IFERROR(IF('Ноя'!$G22=TRUE,1,0),0)</f>
        <v/>
      </c>
      <c r="H331" s="38">
        <f>IFERROR(IF('Ноя'!$H22=TRUE,1,0),0)</f>
        <v/>
      </c>
      <c r="I331" s="38">
        <f>IF($A331=0,$I330,IF($B331=1,$I330+1,IF($P331&lt;=1,$I330,0)))</f>
        <v/>
      </c>
      <c r="J331" s="38">
        <f>IF($A331=0,$J330,IF($C331=1,$J330+1,IF($Q331&lt;=1,$J330,0)))</f>
        <v/>
      </c>
      <c r="K331" s="38">
        <f>IF($A331=0,$K330,IF($D331=1,$K330+1,IF($R331&lt;=1,$K330,0)))</f>
        <v/>
      </c>
      <c r="L331" s="38">
        <f>IF($A331=0,$L330,IF($E331=1,$L330+1,IF($S331&lt;=1,$L330,0)))</f>
        <v/>
      </c>
      <c r="M331" s="38">
        <f>IF($A331=0,$M330,IF($F331=1,$M330+1,IF($T331&lt;=1,$M330,0)))</f>
        <v/>
      </c>
      <c r="N331" s="38">
        <f>IF($A331=0,$N330,IF($G331=1,$N330+1,IF($U331&lt;=1,$N330,0)))</f>
        <v/>
      </c>
      <c r="O331" s="38">
        <f>IF($A331=0,$O330,IF($H331=1,$O330+1,IF($V331&lt;=1,$O330,0)))</f>
        <v/>
      </c>
      <c r="P331" s="38">
        <f>IF($A331=0,$P330,$P330+IF($B331=1,0,1))</f>
        <v/>
      </c>
      <c r="Q331" s="38">
        <f>IF($A331=0,$Q330,$Q330+IF($C331=1,0,1))</f>
        <v/>
      </c>
      <c r="R331" s="38">
        <f>IF($A331=0,$R330,$R330+IF($D331=1,0,1))</f>
        <v/>
      </c>
      <c r="S331" s="38">
        <f>IF($A331=0,$S330,$S330+IF($E331=1,0,1))</f>
        <v/>
      </c>
      <c r="T331" s="38">
        <f>IF($A331=0,$T330,$T330+IF($F331=1,0,1))</f>
        <v/>
      </c>
      <c r="U331" s="38">
        <f>IF($A331=0,$U330,$U330+IF($G331=1,0,1))</f>
        <v/>
      </c>
      <c r="V331" s="38">
        <f>IF($A331=0,$V330,$V330+IF($H331=1,0,1))</f>
        <v/>
      </c>
      <c r="W331" s="38">
        <f>SUM($B331:$H331)</f>
        <v/>
      </c>
      <c r="X331" s="38">
        <f>IF(AND($A331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331=1),1,0)+IF(AND($G$1=7,$C331=1),1,0)+IF(AND($H$1=7,$D331=1),1,0)+IF(AND($I$1=7,$E331=1),1,0)+IF(AND($J$1=7,$F331=1),1,0)+IF(AND($K$1=7,$G331=1),1,0)+IF(AND($L$1=7,$H331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1" s="38">
        <f>IF($B331=1,IF($F$1&lt;7,10,IF(AND($F$1=7,$I330=0,$P330&gt;1),15,IF($I330&gt;=20,15,IF($I330&gt;=6,13,10)))),0)+IF($C331=1,IF($G$1&lt;7,10,IF(AND($G$1=7,$J330=0,$Q330&gt;1),15,IF($J330&gt;=20,15,IF($J330&gt;=6,13,10)))),0)+IF($D331=1,IF($H$1&lt;7,10,IF(AND($H$1=7,$K330=0,$R330&gt;1),15,IF($K330&gt;=20,15,IF($K330&gt;=6,13,10)))),0)+IF($E331=1,IF($I$1&lt;7,10,IF(AND($I$1=7,$L330=0,$S330&gt;1),15,IF($L330&gt;=20,15,IF($L330&gt;=6,13,10)))),0)+IF($F331=1,IF($J$1&lt;7,10,IF(AND($J$1=7,$M330=0,$T330&gt;1),15,IF($M330&gt;=20,15,IF($M330&gt;=6,13,10)))),0)+IF($G331=1,IF($K$1&lt;7,10,IF(AND($K$1=7,$N330=0,$U330&gt;1),15,IF($N330&gt;=20,15,IF($N330&gt;=6,13,10)))),0)+IF($H331=1,IF($L$1&lt;7,10,IF(AND($L$1=7,$O330=0,$V330&gt;1),15,IF($O330&gt;=20,15,IF($O330&gt;=6,13,10)))),0)</f>
        <v/>
      </c>
      <c r="Z331" s="38">
        <f>$Z330+$Y331</f>
        <v/>
      </c>
      <c r="AA331" s="38">
        <f>IF(AND($B331=1,AND($F$1=7,$I330=0,$P330&gt;1)),1,0)+IF(AND($C331=1,AND($G$1=7,$J330=0,$Q330&gt;1)),1,0)+IF(AND($D331=1,AND($H$1=7,$K330=0,$R330&gt;1)),1,0)+IF(AND($E331=1,AND($I$1=7,$L330=0,$S330&gt;1)),1,0)+IF(AND($F331=1,AND($J$1=7,$M330=0,$T330&gt;1)),1,0)+IF(AND($G331=1,AND($K$1=7,$N330=0,$U330&gt;1)),1,0)+IF(AND($H331=1,AND($L$1=7,$O330=0,$V330&gt;1)),1,0)</f>
        <v/>
      </c>
      <c r="AB331" s="38">
        <f>IF(IFERROR('Ноя'!$I22,"")="",0,$AB330+1)</f>
        <v/>
      </c>
    </row>
    <row r="332" spans="1:28">
      <c r="A332" s="38">
        <f>IF($B$1&gt;=DATE(2026,11,18),1,0)</f>
        <v/>
      </c>
      <c r="B332" s="38">
        <f>IFERROR(IF('Ноя'!$B23=TRUE,1,0),0)</f>
        <v/>
      </c>
      <c r="C332" s="38">
        <f>IFERROR(IF('Ноя'!$C23=TRUE,1,0),0)</f>
        <v/>
      </c>
      <c r="D332" s="38">
        <f>IFERROR(IF('Ноя'!$D23=TRUE,1,0),0)</f>
        <v/>
      </c>
      <c r="E332" s="38">
        <f>IFERROR(IF('Ноя'!$E23=TRUE,1,0),0)</f>
        <v/>
      </c>
      <c r="F332" s="38">
        <f>IFERROR(IF('Ноя'!$F23=TRUE,1,0),0)</f>
        <v/>
      </c>
      <c r="G332" s="38">
        <f>IFERROR(IF('Ноя'!$G23=TRUE,1,0),0)</f>
        <v/>
      </c>
      <c r="H332" s="38">
        <f>IFERROR(IF('Ноя'!$H23=TRUE,1,0),0)</f>
        <v/>
      </c>
      <c r="I332" s="38">
        <f>IF($A332=0,$I331,IF($B332=1,$I331+1,IF($P332&lt;=1,$I331,0)))</f>
        <v/>
      </c>
      <c r="J332" s="38">
        <f>IF($A332=0,$J331,IF($C332=1,$J331+1,IF($Q332&lt;=1,$J331,0)))</f>
        <v/>
      </c>
      <c r="K332" s="38">
        <f>IF($A332=0,$K331,IF($D332=1,$K331+1,IF($R332&lt;=1,$K331,0)))</f>
        <v/>
      </c>
      <c r="L332" s="38">
        <f>IF($A332=0,$L331,IF($E332=1,$L331+1,IF($S332&lt;=1,$L331,0)))</f>
        <v/>
      </c>
      <c r="M332" s="38">
        <f>IF($A332=0,$M331,IF($F332=1,$M331+1,IF($T332&lt;=1,$M331,0)))</f>
        <v/>
      </c>
      <c r="N332" s="38">
        <f>IF($A332=0,$N331,IF($G332=1,$N331+1,IF($U332&lt;=1,$N331,0)))</f>
        <v/>
      </c>
      <c r="O332" s="38">
        <f>IF($A332=0,$O331,IF($H332=1,$O331+1,IF($V332&lt;=1,$O331,0)))</f>
        <v/>
      </c>
      <c r="P332" s="38">
        <f>IF($A332=0,$P331,$P331+IF($B332=1,0,1))</f>
        <v/>
      </c>
      <c r="Q332" s="38">
        <f>IF($A332=0,$Q331,$Q331+IF($C332=1,0,1))</f>
        <v/>
      </c>
      <c r="R332" s="38">
        <f>IF($A332=0,$R331,$R331+IF($D332=1,0,1))</f>
        <v/>
      </c>
      <c r="S332" s="38">
        <f>IF($A332=0,$S331,$S331+IF($E332=1,0,1))</f>
        <v/>
      </c>
      <c r="T332" s="38">
        <f>IF($A332=0,$T331,$T331+IF($F332=1,0,1))</f>
        <v/>
      </c>
      <c r="U332" s="38">
        <f>IF($A332=0,$U331,$U331+IF($G332=1,0,1))</f>
        <v/>
      </c>
      <c r="V332" s="38">
        <f>IF($A332=0,$V331,$V331+IF($H332=1,0,1))</f>
        <v/>
      </c>
      <c r="W332" s="38">
        <f>SUM($B332:$H332)</f>
        <v/>
      </c>
      <c r="X332" s="38">
        <f>IF(AND($A332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332=1),1,0)+IF(AND($G$1=7,$C332=1),1,0)+IF(AND($H$1=7,$D332=1),1,0)+IF(AND($I$1=7,$E332=1),1,0)+IF(AND($J$1=7,$F332=1),1,0)+IF(AND($K$1=7,$G332=1),1,0)+IF(AND($L$1=7,$H332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2" s="38">
        <f>IF($B332=1,IF($F$1&lt;7,10,IF(AND($F$1=7,$I331=0,$P331&gt;1),15,IF($I331&gt;=20,15,IF($I331&gt;=6,13,10)))),0)+IF($C332=1,IF($G$1&lt;7,10,IF(AND($G$1=7,$J331=0,$Q331&gt;1),15,IF($J331&gt;=20,15,IF($J331&gt;=6,13,10)))),0)+IF($D332=1,IF($H$1&lt;7,10,IF(AND($H$1=7,$K331=0,$R331&gt;1),15,IF($K331&gt;=20,15,IF($K331&gt;=6,13,10)))),0)+IF($E332=1,IF($I$1&lt;7,10,IF(AND($I$1=7,$L331=0,$S331&gt;1),15,IF($L331&gt;=20,15,IF($L331&gt;=6,13,10)))),0)+IF($F332=1,IF($J$1&lt;7,10,IF(AND($J$1=7,$M331=0,$T331&gt;1),15,IF($M331&gt;=20,15,IF($M331&gt;=6,13,10)))),0)+IF($G332=1,IF($K$1&lt;7,10,IF(AND($K$1=7,$N331=0,$U331&gt;1),15,IF($N331&gt;=20,15,IF($N331&gt;=6,13,10)))),0)+IF($H332=1,IF($L$1&lt;7,10,IF(AND($L$1=7,$O331=0,$V331&gt;1),15,IF($O331&gt;=20,15,IF($O331&gt;=6,13,10)))),0)</f>
        <v/>
      </c>
      <c r="Z332" s="38">
        <f>$Z331+$Y332</f>
        <v/>
      </c>
      <c r="AA332" s="38">
        <f>IF(AND($B332=1,AND($F$1=7,$I331=0,$P331&gt;1)),1,0)+IF(AND($C332=1,AND($G$1=7,$J331=0,$Q331&gt;1)),1,0)+IF(AND($D332=1,AND($H$1=7,$K331=0,$R331&gt;1)),1,0)+IF(AND($E332=1,AND($I$1=7,$L331=0,$S331&gt;1)),1,0)+IF(AND($F332=1,AND($J$1=7,$M331=0,$T331&gt;1)),1,0)+IF(AND($G332=1,AND($K$1=7,$N331=0,$U331&gt;1)),1,0)+IF(AND($H332=1,AND($L$1=7,$O331=0,$V331&gt;1)),1,0)</f>
        <v/>
      </c>
      <c r="AB332" s="38">
        <f>IF(IFERROR('Ноя'!$I23,"")="",0,$AB331+1)</f>
        <v/>
      </c>
    </row>
    <row r="333" spans="1:28">
      <c r="A333" s="38">
        <f>IF($B$1&gt;=DATE(2026,11,19),1,0)</f>
        <v/>
      </c>
      <c r="B333" s="38">
        <f>IFERROR(IF('Ноя'!$B24=TRUE,1,0),0)</f>
        <v/>
      </c>
      <c r="C333" s="38">
        <f>IFERROR(IF('Ноя'!$C24=TRUE,1,0),0)</f>
        <v/>
      </c>
      <c r="D333" s="38">
        <f>IFERROR(IF('Ноя'!$D24=TRUE,1,0),0)</f>
        <v/>
      </c>
      <c r="E333" s="38">
        <f>IFERROR(IF('Ноя'!$E24=TRUE,1,0),0)</f>
        <v/>
      </c>
      <c r="F333" s="38">
        <f>IFERROR(IF('Ноя'!$F24=TRUE,1,0),0)</f>
        <v/>
      </c>
      <c r="G333" s="38">
        <f>IFERROR(IF('Ноя'!$G24=TRUE,1,0),0)</f>
        <v/>
      </c>
      <c r="H333" s="38">
        <f>IFERROR(IF('Ноя'!$H24=TRUE,1,0),0)</f>
        <v/>
      </c>
      <c r="I333" s="38">
        <f>IF($A333=0,$I332,IF($B333=1,$I332+1,IF($P333&lt;=1,$I332,0)))</f>
        <v/>
      </c>
      <c r="J333" s="38">
        <f>IF($A333=0,$J332,IF($C333=1,$J332+1,IF($Q333&lt;=1,$J332,0)))</f>
        <v/>
      </c>
      <c r="K333" s="38">
        <f>IF($A333=0,$K332,IF($D333=1,$K332+1,IF($R333&lt;=1,$K332,0)))</f>
        <v/>
      </c>
      <c r="L333" s="38">
        <f>IF($A333=0,$L332,IF($E333=1,$L332+1,IF($S333&lt;=1,$L332,0)))</f>
        <v/>
      </c>
      <c r="M333" s="38">
        <f>IF($A333=0,$M332,IF($F333=1,$M332+1,IF($T333&lt;=1,$M332,0)))</f>
        <v/>
      </c>
      <c r="N333" s="38">
        <f>IF($A333=0,$N332,IF($G333=1,$N332+1,IF($U333&lt;=1,$N332,0)))</f>
        <v/>
      </c>
      <c r="O333" s="38">
        <f>IF($A333=0,$O332,IF($H333=1,$O332+1,IF($V333&lt;=1,$O332,0)))</f>
        <v/>
      </c>
      <c r="P333" s="38">
        <f>IF($A333=0,$P332,$P332+IF($B333=1,0,1))</f>
        <v/>
      </c>
      <c r="Q333" s="38">
        <f>IF($A333=0,$Q332,$Q332+IF($C333=1,0,1))</f>
        <v/>
      </c>
      <c r="R333" s="38">
        <f>IF($A333=0,$R332,$R332+IF($D333=1,0,1))</f>
        <v/>
      </c>
      <c r="S333" s="38">
        <f>IF($A333=0,$S332,$S332+IF($E333=1,0,1))</f>
        <v/>
      </c>
      <c r="T333" s="38">
        <f>IF($A333=0,$T332,$T332+IF($F333=1,0,1))</f>
        <v/>
      </c>
      <c r="U333" s="38">
        <f>IF($A333=0,$U332,$U332+IF($G333=1,0,1))</f>
        <v/>
      </c>
      <c r="V333" s="38">
        <f>IF($A333=0,$V332,$V332+IF($H333=1,0,1))</f>
        <v/>
      </c>
      <c r="W333" s="38">
        <f>SUM($B333:$H333)</f>
        <v/>
      </c>
      <c r="X333" s="38">
        <f>IF(AND($A333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333=1),1,0)+IF(AND($G$1=7,$C333=1),1,0)+IF(AND($H$1=7,$D333=1),1,0)+IF(AND($I$1=7,$E333=1),1,0)+IF(AND($J$1=7,$F333=1),1,0)+IF(AND($K$1=7,$G333=1),1,0)+IF(AND($L$1=7,$H333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3" s="38">
        <f>IF($B333=1,IF($F$1&lt;7,10,IF(AND($F$1=7,$I332=0,$P332&gt;1),15,IF($I332&gt;=20,15,IF($I332&gt;=6,13,10)))),0)+IF($C333=1,IF($G$1&lt;7,10,IF(AND($G$1=7,$J332=0,$Q332&gt;1),15,IF($J332&gt;=20,15,IF($J332&gt;=6,13,10)))),0)+IF($D333=1,IF($H$1&lt;7,10,IF(AND($H$1=7,$K332=0,$R332&gt;1),15,IF($K332&gt;=20,15,IF($K332&gt;=6,13,10)))),0)+IF($E333=1,IF($I$1&lt;7,10,IF(AND($I$1=7,$L332=0,$S332&gt;1),15,IF($L332&gt;=20,15,IF($L332&gt;=6,13,10)))),0)+IF($F333=1,IF($J$1&lt;7,10,IF(AND($J$1=7,$M332=0,$T332&gt;1),15,IF($M332&gt;=20,15,IF($M332&gt;=6,13,10)))),0)+IF($G333=1,IF($K$1&lt;7,10,IF(AND($K$1=7,$N332=0,$U332&gt;1),15,IF($N332&gt;=20,15,IF($N332&gt;=6,13,10)))),0)+IF($H333=1,IF($L$1&lt;7,10,IF(AND($L$1=7,$O332=0,$V332&gt;1),15,IF($O332&gt;=20,15,IF($O332&gt;=6,13,10)))),0)</f>
        <v/>
      </c>
      <c r="Z333" s="38">
        <f>$Z332+$Y333</f>
        <v/>
      </c>
      <c r="AA333" s="38">
        <f>IF(AND($B333=1,AND($F$1=7,$I332=0,$P332&gt;1)),1,0)+IF(AND($C333=1,AND($G$1=7,$J332=0,$Q332&gt;1)),1,0)+IF(AND($D333=1,AND($H$1=7,$K332=0,$R332&gt;1)),1,0)+IF(AND($E333=1,AND($I$1=7,$L332=0,$S332&gt;1)),1,0)+IF(AND($F333=1,AND($J$1=7,$M332=0,$T332&gt;1)),1,0)+IF(AND($G333=1,AND($K$1=7,$N332=0,$U332&gt;1)),1,0)+IF(AND($H333=1,AND($L$1=7,$O332=0,$V332&gt;1)),1,0)</f>
        <v/>
      </c>
      <c r="AB333" s="38">
        <f>IF(IFERROR('Ноя'!$I24,"")="",0,$AB332+1)</f>
        <v/>
      </c>
    </row>
    <row r="334" spans="1:28">
      <c r="A334" s="38">
        <f>IF($B$1&gt;=DATE(2026,11,20),1,0)</f>
        <v/>
      </c>
      <c r="B334" s="38">
        <f>IFERROR(IF('Ноя'!$B25=TRUE,1,0),0)</f>
        <v/>
      </c>
      <c r="C334" s="38">
        <f>IFERROR(IF('Ноя'!$C25=TRUE,1,0),0)</f>
        <v/>
      </c>
      <c r="D334" s="38">
        <f>IFERROR(IF('Ноя'!$D25=TRUE,1,0),0)</f>
        <v/>
      </c>
      <c r="E334" s="38">
        <f>IFERROR(IF('Ноя'!$E25=TRUE,1,0),0)</f>
        <v/>
      </c>
      <c r="F334" s="38">
        <f>IFERROR(IF('Ноя'!$F25=TRUE,1,0),0)</f>
        <v/>
      </c>
      <c r="G334" s="38">
        <f>IFERROR(IF('Ноя'!$G25=TRUE,1,0),0)</f>
        <v/>
      </c>
      <c r="H334" s="38">
        <f>IFERROR(IF('Ноя'!$H25=TRUE,1,0),0)</f>
        <v/>
      </c>
      <c r="I334" s="38">
        <f>IF($A334=0,$I333,IF($B334=1,$I333+1,IF($P334&lt;=1,$I333,0)))</f>
        <v/>
      </c>
      <c r="J334" s="38">
        <f>IF($A334=0,$J333,IF($C334=1,$J333+1,IF($Q334&lt;=1,$J333,0)))</f>
        <v/>
      </c>
      <c r="K334" s="38">
        <f>IF($A334=0,$K333,IF($D334=1,$K333+1,IF($R334&lt;=1,$K333,0)))</f>
        <v/>
      </c>
      <c r="L334" s="38">
        <f>IF($A334=0,$L333,IF($E334=1,$L333+1,IF($S334&lt;=1,$L333,0)))</f>
        <v/>
      </c>
      <c r="M334" s="38">
        <f>IF($A334=0,$M333,IF($F334=1,$M333+1,IF($T334&lt;=1,$M333,0)))</f>
        <v/>
      </c>
      <c r="N334" s="38">
        <f>IF($A334=0,$N333,IF($G334=1,$N333+1,IF($U334&lt;=1,$N333,0)))</f>
        <v/>
      </c>
      <c r="O334" s="38">
        <f>IF($A334=0,$O333,IF($H334=1,$O333+1,IF($V334&lt;=1,$O333,0)))</f>
        <v/>
      </c>
      <c r="P334" s="38">
        <f>IF($A334=0,$P333,$P333+IF($B334=1,0,1))</f>
        <v/>
      </c>
      <c r="Q334" s="38">
        <f>IF($A334=0,$Q333,$Q333+IF($C334=1,0,1))</f>
        <v/>
      </c>
      <c r="R334" s="38">
        <f>IF($A334=0,$R333,$R333+IF($D334=1,0,1))</f>
        <v/>
      </c>
      <c r="S334" s="38">
        <f>IF($A334=0,$S333,$S333+IF($E334=1,0,1))</f>
        <v/>
      </c>
      <c r="T334" s="38">
        <f>IF($A334=0,$T333,$T333+IF($F334=1,0,1))</f>
        <v/>
      </c>
      <c r="U334" s="38">
        <f>IF($A334=0,$U333,$U333+IF($G334=1,0,1))</f>
        <v/>
      </c>
      <c r="V334" s="38">
        <f>IF($A334=0,$V333,$V333+IF($H334=1,0,1))</f>
        <v/>
      </c>
      <c r="W334" s="38">
        <f>SUM($B334:$H334)</f>
        <v/>
      </c>
      <c r="X334" s="38">
        <f>IF(AND($A334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334=1),1,0)+IF(AND($G$1=7,$C334=1),1,0)+IF(AND($H$1=7,$D334=1),1,0)+IF(AND($I$1=7,$E334=1),1,0)+IF(AND($J$1=7,$F334=1),1,0)+IF(AND($K$1=7,$G334=1),1,0)+IF(AND($L$1=7,$H334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4" s="38">
        <f>IF($B334=1,IF($F$1&lt;7,10,IF(AND($F$1=7,$I333=0,$P333&gt;1),15,IF($I333&gt;=20,15,IF($I333&gt;=6,13,10)))),0)+IF($C334=1,IF($G$1&lt;7,10,IF(AND($G$1=7,$J333=0,$Q333&gt;1),15,IF($J333&gt;=20,15,IF($J333&gt;=6,13,10)))),0)+IF($D334=1,IF($H$1&lt;7,10,IF(AND($H$1=7,$K333=0,$R333&gt;1),15,IF($K333&gt;=20,15,IF($K333&gt;=6,13,10)))),0)+IF($E334=1,IF($I$1&lt;7,10,IF(AND($I$1=7,$L333=0,$S333&gt;1),15,IF($L333&gt;=20,15,IF($L333&gt;=6,13,10)))),0)+IF($F334=1,IF($J$1&lt;7,10,IF(AND($J$1=7,$M333=0,$T333&gt;1),15,IF($M333&gt;=20,15,IF($M333&gt;=6,13,10)))),0)+IF($G334=1,IF($K$1&lt;7,10,IF(AND($K$1=7,$N333=0,$U333&gt;1),15,IF($N333&gt;=20,15,IF($N333&gt;=6,13,10)))),0)+IF($H334=1,IF($L$1&lt;7,10,IF(AND($L$1=7,$O333=0,$V333&gt;1),15,IF($O333&gt;=20,15,IF($O333&gt;=6,13,10)))),0)</f>
        <v/>
      </c>
      <c r="Z334" s="38">
        <f>$Z333+$Y334</f>
        <v/>
      </c>
      <c r="AA334" s="38">
        <f>IF(AND($B334=1,AND($F$1=7,$I333=0,$P333&gt;1)),1,0)+IF(AND($C334=1,AND($G$1=7,$J333=0,$Q333&gt;1)),1,0)+IF(AND($D334=1,AND($H$1=7,$K333=0,$R333&gt;1)),1,0)+IF(AND($E334=1,AND($I$1=7,$L333=0,$S333&gt;1)),1,0)+IF(AND($F334=1,AND($J$1=7,$M333=0,$T333&gt;1)),1,0)+IF(AND($G334=1,AND($K$1=7,$N333=0,$U333&gt;1)),1,0)+IF(AND($H334=1,AND($L$1=7,$O333=0,$V333&gt;1)),1,0)</f>
        <v/>
      </c>
      <c r="AB334" s="38">
        <f>IF(IFERROR('Ноя'!$I25,"")="",0,$AB333+1)</f>
        <v/>
      </c>
    </row>
    <row r="335" spans="1:28">
      <c r="A335" s="38">
        <f>IF($B$1&gt;=DATE(2026,11,21),1,0)</f>
        <v/>
      </c>
      <c r="B335" s="38">
        <f>IFERROR(IF('Ноя'!$B26=TRUE,1,0),0)</f>
        <v/>
      </c>
      <c r="C335" s="38">
        <f>IFERROR(IF('Ноя'!$C26=TRUE,1,0),0)</f>
        <v/>
      </c>
      <c r="D335" s="38">
        <f>IFERROR(IF('Ноя'!$D26=TRUE,1,0),0)</f>
        <v/>
      </c>
      <c r="E335" s="38">
        <f>IFERROR(IF('Ноя'!$E26=TRUE,1,0),0)</f>
        <v/>
      </c>
      <c r="F335" s="38">
        <f>IFERROR(IF('Ноя'!$F26=TRUE,1,0),0)</f>
        <v/>
      </c>
      <c r="G335" s="38">
        <f>IFERROR(IF('Ноя'!$G26=TRUE,1,0),0)</f>
        <v/>
      </c>
      <c r="H335" s="38">
        <f>IFERROR(IF('Ноя'!$H26=TRUE,1,0),0)</f>
        <v/>
      </c>
      <c r="I335" s="38">
        <f>IF($A335=0,$I334,IF($B335=1,$I334+1,IF($P335&lt;=1,$I334,0)))</f>
        <v/>
      </c>
      <c r="J335" s="38">
        <f>IF($A335=0,$J334,IF($C335=1,$J334+1,IF($Q335&lt;=1,$J334,0)))</f>
        <v/>
      </c>
      <c r="K335" s="38">
        <f>IF($A335=0,$K334,IF($D335=1,$K334+1,IF($R335&lt;=1,$K334,0)))</f>
        <v/>
      </c>
      <c r="L335" s="38">
        <f>IF($A335=0,$L334,IF($E335=1,$L334+1,IF($S335&lt;=1,$L334,0)))</f>
        <v/>
      </c>
      <c r="M335" s="38">
        <f>IF($A335=0,$M334,IF($F335=1,$M334+1,IF($T335&lt;=1,$M334,0)))</f>
        <v/>
      </c>
      <c r="N335" s="38">
        <f>IF($A335=0,$N334,IF($G335=1,$N334+1,IF($U335&lt;=1,$N334,0)))</f>
        <v/>
      </c>
      <c r="O335" s="38">
        <f>IF($A335=0,$O334,IF($H335=1,$O334+1,IF($V335&lt;=1,$O334,0)))</f>
        <v/>
      </c>
      <c r="P335" s="38">
        <f>IF($A335=0,$P334,$P334+IF($B335=1,0,1))</f>
        <v/>
      </c>
      <c r="Q335" s="38">
        <f>IF($A335=0,$Q334,$Q334+IF($C335=1,0,1))</f>
        <v/>
      </c>
      <c r="R335" s="38">
        <f>IF($A335=0,$R334,$R334+IF($D335=1,0,1))</f>
        <v/>
      </c>
      <c r="S335" s="38">
        <f>IF($A335=0,$S334,$S334+IF($E335=1,0,1))</f>
        <v/>
      </c>
      <c r="T335" s="38">
        <f>IF($A335=0,$T334,$T334+IF($F335=1,0,1))</f>
        <v/>
      </c>
      <c r="U335" s="38">
        <f>IF($A335=0,$U334,$U334+IF($G335=1,0,1))</f>
        <v/>
      </c>
      <c r="V335" s="38">
        <f>IF($A335=0,$V334,$V334+IF($H335=1,0,1))</f>
        <v/>
      </c>
      <c r="W335" s="38">
        <f>SUM($B335:$H335)</f>
        <v/>
      </c>
      <c r="X335" s="38">
        <f>IF(AND($A335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335=1),1,0)+IF(AND($G$1=7,$C335=1),1,0)+IF(AND($H$1=7,$D335=1),1,0)+IF(AND($I$1=7,$E335=1),1,0)+IF(AND($J$1=7,$F335=1),1,0)+IF(AND($K$1=7,$G335=1),1,0)+IF(AND($L$1=7,$H335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5" s="38">
        <f>IF($B335=1,IF($F$1&lt;7,10,IF(AND($F$1=7,$I334=0,$P334&gt;1),15,IF($I334&gt;=20,15,IF($I334&gt;=6,13,10)))),0)+IF($C335=1,IF($G$1&lt;7,10,IF(AND($G$1=7,$J334=0,$Q334&gt;1),15,IF($J334&gt;=20,15,IF($J334&gt;=6,13,10)))),0)+IF($D335=1,IF($H$1&lt;7,10,IF(AND($H$1=7,$K334=0,$R334&gt;1),15,IF($K334&gt;=20,15,IF($K334&gt;=6,13,10)))),0)+IF($E335=1,IF($I$1&lt;7,10,IF(AND($I$1=7,$L334=0,$S334&gt;1),15,IF($L334&gt;=20,15,IF($L334&gt;=6,13,10)))),0)+IF($F335=1,IF($J$1&lt;7,10,IF(AND($J$1=7,$M334=0,$T334&gt;1),15,IF($M334&gt;=20,15,IF($M334&gt;=6,13,10)))),0)+IF($G335=1,IF($K$1&lt;7,10,IF(AND($K$1=7,$N334=0,$U334&gt;1),15,IF($N334&gt;=20,15,IF($N334&gt;=6,13,10)))),0)+IF($H335=1,IF($L$1&lt;7,10,IF(AND($L$1=7,$O334=0,$V334&gt;1),15,IF($O334&gt;=20,15,IF($O334&gt;=6,13,10)))),0)</f>
        <v/>
      </c>
      <c r="Z335" s="38">
        <f>$Z334+$Y335</f>
        <v/>
      </c>
      <c r="AA335" s="38">
        <f>IF(AND($B335=1,AND($F$1=7,$I334=0,$P334&gt;1)),1,0)+IF(AND($C335=1,AND($G$1=7,$J334=0,$Q334&gt;1)),1,0)+IF(AND($D335=1,AND($H$1=7,$K334=0,$R334&gt;1)),1,0)+IF(AND($E335=1,AND($I$1=7,$L334=0,$S334&gt;1)),1,0)+IF(AND($F335=1,AND($J$1=7,$M334=0,$T334&gt;1)),1,0)+IF(AND($G335=1,AND($K$1=7,$N334=0,$U334&gt;1)),1,0)+IF(AND($H335=1,AND($L$1=7,$O334=0,$V334&gt;1)),1,0)</f>
        <v/>
      </c>
      <c r="AB335" s="38">
        <f>IF(IFERROR('Ноя'!$I26,"")="",0,$AB334+1)</f>
        <v/>
      </c>
    </row>
    <row r="336" spans="1:28">
      <c r="A336" s="38">
        <f>IF($B$1&gt;=DATE(2026,11,22),1,0)</f>
        <v/>
      </c>
      <c r="B336" s="38">
        <f>IFERROR(IF('Ноя'!$B27=TRUE,1,0),0)</f>
        <v/>
      </c>
      <c r="C336" s="38">
        <f>IFERROR(IF('Ноя'!$C27=TRUE,1,0),0)</f>
        <v/>
      </c>
      <c r="D336" s="38">
        <f>IFERROR(IF('Ноя'!$D27=TRUE,1,0),0)</f>
        <v/>
      </c>
      <c r="E336" s="38">
        <f>IFERROR(IF('Ноя'!$E27=TRUE,1,0),0)</f>
        <v/>
      </c>
      <c r="F336" s="38">
        <f>IFERROR(IF('Ноя'!$F27=TRUE,1,0),0)</f>
        <v/>
      </c>
      <c r="G336" s="38">
        <f>IFERROR(IF('Ноя'!$G27=TRUE,1,0),0)</f>
        <v/>
      </c>
      <c r="H336" s="38">
        <f>IFERROR(IF('Ноя'!$H27=TRUE,1,0),0)</f>
        <v/>
      </c>
      <c r="I336" s="38">
        <f>IF($A336=0,$I335,IF($B336=1,$I335+1,IF($P336&lt;=1,$I335,0)))</f>
        <v/>
      </c>
      <c r="J336" s="38">
        <f>IF($A336=0,$J335,IF($C336=1,$J335+1,IF($Q336&lt;=1,$J335,0)))</f>
        <v/>
      </c>
      <c r="K336" s="38">
        <f>IF($A336=0,$K335,IF($D336=1,$K335+1,IF($R336&lt;=1,$K335,0)))</f>
        <v/>
      </c>
      <c r="L336" s="38">
        <f>IF($A336=0,$L335,IF($E336=1,$L335+1,IF($S336&lt;=1,$L335,0)))</f>
        <v/>
      </c>
      <c r="M336" s="38">
        <f>IF($A336=0,$M335,IF($F336=1,$M335+1,IF($T336&lt;=1,$M335,0)))</f>
        <v/>
      </c>
      <c r="N336" s="38">
        <f>IF($A336=0,$N335,IF($G336=1,$N335+1,IF($U336&lt;=1,$N335,0)))</f>
        <v/>
      </c>
      <c r="O336" s="38">
        <f>IF($A336=0,$O335,IF($H336=1,$O335+1,IF($V336&lt;=1,$O335,0)))</f>
        <v/>
      </c>
      <c r="P336" s="38">
        <f>IF($A336=0,$P335,$P335+IF($B336=1,0,1))</f>
        <v/>
      </c>
      <c r="Q336" s="38">
        <f>IF($A336=0,$Q335,$Q335+IF($C336=1,0,1))</f>
        <v/>
      </c>
      <c r="R336" s="38">
        <f>IF($A336=0,$R335,$R335+IF($D336=1,0,1))</f>
        <v/>
      </c>
      <c r="S336" s="38">
        <f>IF($A336=0,$S335,$S335+IF($E336=1,0,1))</f>
        <v/>
      </c>
      <c r="T336" s="38">
        <f>IF($A336=0,$T335,$T335+IF($F336=1,0,1))</f>
        <v/>
      </c>
      <c r="U336" s="38">
        <f>IF($A336=0,$U335,$U335+IF($G336=1,0,1))</f>
        <v/>
      </c>
      <c r="V336" s="38">
        <f>IF($A336=0,$V335,$V335+IF($H336=1,0,1))</f>
        <v/>
      </c>
      <c r="W336" s="38">
        <f>SUM($B336:$H336)</f>
        <v/>
      </c>
      <c r="X336" s="38">
        <f>IF(AND($A336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336=1),1,0)+IF(AND($G$1=7,$C336=1),1,0)+IF(AND($H$1=7,$D336=1),1,0)+IF(AND($I$1=7,$E336=1),1,0)+IF(AND($J$1=7,$F336=1),1,0)+IF(AND($K$1=7,$G336=1),1,0)+IF(AND($L$1=7,$H336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6" s="38">
        <f>IF($B336=1,IF($F$1&lt;7,10,IF(AND($F$1=7,$I335=0,$P335&gt;1),15,IF($I335&gt;=20,15,IF($I335&gt;=6,13,10)))),0)+IF($C336=1,IF($G$1&lt;7,10,IF(AND($G$1=7,$J335=0,$Q335&gt;1),15,IF($J335&gt;=20,15,IF($J335&gt;=6,13,10)))),0)+IF($D336=1,IF($H$1&lt;7,10,IF(AND($H$1=7,$K335=0,$R335&gt;1),15,IF($K335&gt;=20,15,IF($K335&gt;=6,13,10)))),0)+IF($E336=1,IF($I$1&lt;7,10,IF(AND($I$1=7,$L335=0,$S335&gt;1),15,IF($L335&gt;=20,15,IF($L335&gt;=6,13,10)))),0)+IF($F336=1,IF($J$1&lt;7,10,IF(AND($J$1=7,$M335=0,$T335&gt;1),15,IF($M335&gt;=20,15,IF($M335&gt;=6,13,10)))),0)+IF($G336=1,IF($K$1&lt;7,10,IF(AND($K$1=7,$N335=0,$U335&gt;1),15,IF($N335&gt;=20,15,IF($N335&gt;=6,13,10)))),0)+IF($H336=1,IF($L$1&lt;7,10,IF(AND($L$1=7,$O335=0,$V335&gt;1),15,IF($O335&gt;=20,15,IF($O335&gt;=6,13,10)))),0)</f>
        <v/>
      </c>
      <c r="Z336" s="38">
        <f>$Z335+$Y336</f>
        <v/>
      </c>
      <c r="AA336" s="38">
        <f>IF(AND($B336=1,AND($F$1=7,$I335=0,$P335&gt;1)),1,0)+IF(AND($C336=1,AND($G$1=7,$J335=0,$Q335&gt;1)),1,0)+IF(AND($D336=1,AND($H$1=7,$K335=0,$R335&gt;1)),1,0)+IF(AND($E336=1,AND($I$1=7,$L335=0,$S335&gt;1)),1,0)+IF(AND($F336=1,AND($J$1=7,$M335=0,$T335&gt;1)),1,0)+IF(AND($G336=1,AND($K$1=7,$N335=0,$U335&gt;1)),1,0)+IF(AND($H336=1,AND($L$1=7,$O335=0,$V335&gt;1)),1,0)</f>
        <v/>
      </c>
      <c r="AB336" s="38">
        <f>IF(IFERROR('Ноя'!$I27,"")="",0,$AB335+1)</f>
        <v/>
      </c>
    </row>
    <row r="337" spans="1:28">
      <c r="A337" s="38">
        <f>IF($B$1&gt;=DATE(2026,11,23),1,0)</f>
        <v/>
      </c>
      <c r="B337" s="38">
        <f>IFERROR(IF('Ноя'!$B28=TRUE,1,0),0)</f>
        <v/>
      </c>
      <c r="C337" s="38">
        <f>IFERROR(IF('Ноя'!$C28=TRUE,1,0),0)</f>
        <v/>
      </c>
      <c r="D337" s="38">
        <f>IFERROR(IF('Ноя'!$D28=TRUE,1,0),0)</f>
        <v/>
      </c>
      <c r="E337" s="38">
        <f>IFERROR(IF('Ноя'!$E28=TRUE,1,0),0)</f>
        <v/>
      </c>
      <c r="F337" s="38">
        <f>IFERROR(IF('Ноя'!$F28=TRUE,1,0),0)</f>
        <v/>
      </c>
      <c r="G337" s="38">
        <f>IFERROR(IF('Ноя'!$G28=TRUE,1,0),0)</f>
        <v/>
      </c>
      <c r="H337" s="38">
        <f>IFERROR(IF('Ноя'!$H28=TRUE,1,0),0)</f>
        <v/>
      </c>
      <c r="I337" s="38">
        <f>IF($A337=0,$I336,IF($B337=1,$I336+1,IF($P337&lt;=1,$I336,0)))</f>
        <v/>
      </c>
      <c r="J337" s="38">
        <f>IF($A337=0,$J336,IF($C337=1,$J336+1,IF($Q337&lt;=1,$J336,0)))</f>
        <v/>
      </c>
      <c r="K337" s="38">
        <f>IF($A337=0,$K336,IF($D337=1,$K336+1,IF($R337&lt;=1,$K336,0)))</f>
        <v/>
      </c>
      <c r="L337" s="38">
        <f>IF($A337=0,$L336,IF($E337=1,$L336+1,IF($S337&lt;=1,$L336,0)))</f>
        <v/>
      </c>
      <c r="M337" s="38">
        <f>IF($A337=0,$M336,IF($F337=1,$M336+1,IF($T337&lt;=1,$M336,0)))</f>
        <v/>
      </c>
      <c r="N337" s="38">
        <f>IF($A337=0,$N336,IF($G337=1,$N336+1,IF($U337&lt;=1,$N336,0)))</f>
        <v/>
      </c>
      <c r="O337" s="38">
        <f>IF($A337=0,$O336,IF($H337=1,$O336+1,IF($V337&lt;=1,$O336,0)))</f>
        <v/>
      </c>
      <c r="P337" s="38">
        <f>IF($A337=0,$P336,$P336+IF($B337=1,0,1))</f>
        <v/>
      </c>
      <c r="Q337" s="38">
        <f>IF($A337=0,$Q336,$Q336+IF($C337=1,0,1))</f>
        <v/>
      </c>
      <c r="R337" s="38">
        <f>IF($A337=0,$R336,$R336+IF($D337=1,0,1))</f>
        <v/>
      </c>
      <c r="S337" s="38">
        <f>IF($A337=0,$S336,$S336+IF($E337=1,0,1))</f>
        <v/>
      </c>
      <c r="T337" s="38">
        <f>IF($A337=0,$T336,$T336+IF($F337=1,0,1))</f>
        <v/>
      </c>
      <c r="U337" s="38">
        <f>IF($A337=0,$U336,$U336+IF($G337=1,0,1))</f>
        <v/>
      </c>
      <c r="V337" s="38">
        <f>IF($A337=0,$V336,$V336+IF($H337=1,0,1))</f>
        <v/>
      </c>
      <c r="W337" s="38">
        <f>SUM($B337:$H337)</f>
        <v/>
      </c>
      <c r="X337" s="38">
        <f>IF(AND($A337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337=1),1,0)+IF(AND($G$1=7,$C337=1),1,0)+IF(AND($H$1=7,$D337=1),1,0)+IF(AND($I$1=7,$E337=1),1,0)+IF(AND($J$1=7,$F337=1),1,0)+IF(AND($K$1=7,$G337=1),1,0)+IF(AND($L$1=7,$H337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7" s="38">
        <f>IF($B337=1,IF($F$1&lt;7,10,IF(AND($F$1=7,$I336=0,$P336&gt;1),15,IF($I336&gt;=20,15,IF($I336&gt;=6,13,10)))),0)+IF($C337=1,IF($G$1&lt;7,10,IF(AND($G$1=7,$J336=0,$Q336&gt;1),15,IF($J336&gt;=20,15,IF($J336&gt;=6,13,10)))),0)+IF($D337=1,IF($H$1&lt;7,10,IF(AND($H$1=7,$K336=0,$R336&gt;1),15,IF($K336&gt;=20,15,IF($K336&gt;=6,13,10)))),0)+IF($E337=1,IF($I$1&lt;7,10,IF(AND($I$1=7,$L336=0,$S336&gt;1),15,IF($L336&gt;=20,15,IF($L336&gt;=6,13,10)))),0)+IF($F337=1,IF($J$1&lt;7,10,IF(AND($J$1=7,$M336=0,$T336&gt;1),15,IF($M336&gt;=20,15,IF($M336&gt;=6,13,10)))),0)+IF($G337=1,IF($K$1&lt;7,10,IF(AND($K$1=7,$N336=0,$U336&gt;1),15,IF($N336&gt;=20,15,IF($N336&gt;=6,13,10)))),0)+IF($H337=1,IF($L$1&lt;7,10,IF(AND($L$1=7,$O336=0,$V336&gt;1),15,IF($O336&gt;=20,15,IF($O336&gt;=6,13,10)))),0)</f>
        <v/>
      </c>
      <c r="Z337" s="38">
        <f>$Z336+$Y337</f>
        <v/>
      </c>
      <c r="AA337" s="38">
        <f>IF(AND($B337=1,AND($F$1=7,$I336=0,$P336&gt;1)),1,0)+IF(AND($C337=1,AND($G$1=7,$J336=0,$Q336&gt;1)),1,0)+IF(AND($D337=1,AND($H$1=7,$K336=0,$R336&gt;1)),1,0)+IF(AND($E337=1,AND($I$1=7,$L336=0,$S336&gt;1)),1,0)+IF(AND($F337=1,AND($J$1=7,$M336=0,$T336&gt;1)),1,0)+IF(AND($G337=1,AND($K$1=7,$N336=0,$U336&gt;1)),1,0)+IF(AND($H337=1,AND($L$1=7,$O336=0,$V336&gt;1)),1,0)</f>
        <v/>
      </c>
      <c r="AB337" s="38">
        <f>IF(IFERROR('Ноя'!$I28,"")="",0,$AB336+1)</f>
        <v/>
      </c>
    </row>
    <row r="338" spans="1:28">
      <c r="A338" s="38">
        <f>IF($B$1&gt;=DATE(2026,11,24),1,0)</f>
        <v/>
      </c>
      <c r="B338" s="38">
        <f>IFERROR(IF('Ноя'!$B29=TRUE,1,0),0)</f>
        <v/>
      </c>
      <c r="C338" s="38">
        <f>IFERROR(IF('Ноя'!$C29=TRUE,1,0),0)</f>
        <v/>
      </c>
      <c r="D338" s="38">
        <f>IFERROR(IF('Ноя'!$D29=TRUE,1,0),0)</f>
        <v/>
      </c>
      <c r="E338" s="38">
        <f>IFERROR(IF('Ноя'!$E29=TRUE,1,0),0)</f>
        <v/>
      </c>
      <c r="F338" s="38">
        <f>IFERROR(IF('Ноя'!$F29=TRUE,1,0),0)</f>
        <v/>
      </c>
      <c r="G338" s="38">
        <f>IFERROR(IF('Ноя'!$G29=TRUE,1,0),0)</f>
        <v/>
      </c>
      <c r="H338" s="38">
        <f>IFERROR(IF('Ноя'!$H29=TRUE,1,0),0)</f>
        <v/>
      </c>
      <c r="I338" s="38">
        <f>IF($A338=0,$I337,IF($B338=1,$I337+1,IF($P338&lt;=1,$I337,0)))</f>
        <v/>
      </c>
      <c r="J338" s="38">
        <f>IF($A338=0,$J337,IF($C338=1,$J337+1,IF($Q338&lt;=1,$J337,0)))</f>
        <v/>
      </c>
      <c r="K338" s="38">
        <f>IF($A338=0,$K337,IF($D338=1,$K337+1,IF($R338&lt;=1,$K337,0)))</f>
        <v/>
      </c>
      <c r="L338" s="38">
        <f>IF($A338=0,$L337,IF($E338=1,$L337+1,IF($S338&lt;=1,$L337,0)))</f>
        <v/>
      </c>
      <c r="M338" s="38">
        <f>IF($A338=0,$M337,IF($F338=1,$M337+1,IF($T338&lt;=1,$M337,0)))</f>
        <v/>
      </c>
      <c r="N338" s="38">
        <f>IF($A338=0,$N337,IF($G338=1,$N337+1,IF($U338&lt;=1,$N337,0)))</f>
        <v/>
      </c>
      <c r="O338" s="38">
        <f>IF($A338=0,$O337,IF($H338=1,$O337+1,IF($V338&lt;=1,$O337,0)))</f>
        <v/>
      </c>
      <c r="P338" s="38">
        <f>IF($A338=0,$P337,$P337+IF($B338=1,0,1))</f>
        <v/>
      </c>
      <c r="Q338" s="38">
        <f>IF($A338=0,$Q337,$Q337+IF($C338=1,0,1))</f>
        <v/>
      </c>
      <c r="R338" s="38">
        <f>IF($A338=0,$R337,$R337+IF($D338=1,0,1))</f>
        <v/>
      </c>
      <c r="S338" s="38">
        <f>IF($A338=0,$S337,$S337+IF($E338=1,0,1))</f>
        <v/>
      </c>
      <c r="T338" s="38">
        <f>IF($A338=0,$T337,$T337+IF($F338=1,0,1))</f>
        <v/>
      </c>
      <c r="U338" s="38">
        <f>IF($A338=0,$U337,$U337+IF($G338=1,0,1))</f>
        <v/>
      </c>
      <c r="V338" s="38">
        <f>IF($A338=0,$V337,$V337+IF($H338=1,0,1))</f>
        <v/>
      </c>
      <c r="W338" s="38">
        <f>SUM($B338:$H338)</f>
        <v/>
      </c>
      <c r="X338" s="38">
        <f>IF(AND($A338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338=1),1,0)+IF(AND($G$1=7,$C338=1),1,0)+IF(AND($H$1=7,$D338=1),1,0)+IF(AND($I$1=7,$E338=1),1,0)+IF(AND($J$1=7,$F338=1),1,0)+IF(AND($K$1=7,$G338=1),1,0)+IF(AND($L$1=7,$H338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8" s="38">
        <f>IF($B338=1,IF($F$1&lt;7,10,IF(AND($F$1=7,$I337=0,$P337&gt;1),15,IF($I337&gt;=20,15,IF($I337&gt;=6,13,10)))),0)+IF($C338=1,IF($G$1&lt;7,10,IF(AND($G$1=7,$J337=0,$Q337&gt;1),15,IF($J337&gt;=20,15,IF($J337&gt;=6,13,10)))),0)+IF($D338=1,IF($H$1&lt;7,10,IF(AND($H$1=7,$K337=0,$R337&gt;1),15,IF($K337&gt;=20,15,IF($K337&gt;=6,13,10)))),0)+IF($E338=1,IF($I$1&lt;7,10,IF(AND($I$1=7,$L337=0,$S337&gt;1),15,IF($L337&gt;=20,15,IF($L337&gt;=6,13,10)))),0)+IF($F338=1,IF($J$1&lt;7,10,IF(AND($J$1=7,$M337=0,$T337&gt;1),15,IF($M337&gt;=20,15,IF($M337&gt;=6,13,10)))),0)+IF($G338=1,IF($K$1&lt;7,10,IF(AND($K$1=7,$N337=0,$U337&gt;1),15,IF($N337&gt;=20,15,IF($N337&gt;=6,13,10)))),0)+IF($H338=1,IF($L$1&lt;7,10,IF(AND($L$1=7,$O337=0,$V337&gt;1),15,IF($O337&gt;=20,15,IF($O337&gt;=6,13,10)))),0)</f>
        <v/>
      </c>
      <c r="Z338" s="38">
        <f>$Z337+$Y338</f>
        <v/>
      </c>
      <c r="AA338" s="38">
        <f>IF(AND($B338=1,AND($F$1=7,$I337=0,$P337&gt;1)),1,0)+IF(AND($C338=1,AND($G$1=7,$J337=0,$Q337&gt;1)),1,0)+IF(AND($D338=1,AND($H$1=7,$K337=0,$R337&gt;1)),1,0)+IF(AND($E338=1,AND($I$1=7,$L337=0,$S337&gt;1)),1,0)+IF(AND($F338=1,AND($J$1=7,$M337=0,$T337&gt;1)),1,0)+IF(AND($G338=1,AND($K$1=7,$N337=0,$U337&gt;1)),1,0)+IF(AND($H338=1,AND($L$1=7,$O337=0,$V337&gt;1)),1,0)</f>
        <v/>
      </c>
      <c r="AB338" s="38">
        <f>IF(IFERROR('Ноя'!$I29,"")="",0,$AB337+1)</f>
        <v/>
      </c>
    </row>
    <row r="339" spans="1:28">
      <c r="A339" s="38">
        <f>IF($B$1&gt;=DATE(2026,11,25),1,0)</f>
        <v/>
      </c>
      <c r="B339" s="38">
        <f>IFERROR(IF('Ноя'!$B30=TRUE,1,0),0)</f>
        <v/>
      </c>
      <c r="C339" s="38">
        <f>IFERROR(IF('Ноя'!$C30=TRUE,1,0),0)</f>
        <v/>
      </c>
      <c r="D339" s="38">
        <f>IFERROR(IF('Ноя'!$D30=TRUE,1,0),0)</f>
        <v/>
      </c>
      <c r="E339" s="38">
        <f>IFERROR(IF('Ноя'!$E30=TRUE,1,0),0)</f>
        <v/>
      </c>
      <c r="F339" s="38">
        <f>IFERROR(IF('Ноя'!$F30=TRUE,1,0),0)</f>
        <v/>
      </c>
      <c r="G339" s="38">
        <f>IFERROR(IF('Ноя'!$G30=TRUE,1,0),0)</f>
        <v/>
      </c>
      <c r="H339" s="38">
        <f>IFERROR(IF('Ноя'!$H30=TRUE,1,0),0)</f>
        <v/>
      </c>
      <c r="I339" s="38">
        <f>IF($A339=0,$I338,IF($B339=1,$I338+1,IF($P339&lt;=1,$I338,0)))</f>
        <v/>
      </c>
      <c r="J339" s="38">
        <f>IF($A339=0,$J338,IF($C339=1,$J338+1,IF($Q339&lt;=1,$J338,0)))</f>
        <v/>
      </c>
      <c r="K339" s="38">
        <f>IF($A339=0,$K338,IF($D339=1,$K338+1,IF($R339&lt;=1,$K338,0)))</f>
        <v/>
      </c>
      <c r="L339" s="38">
        <f>IF($A339=0,$L338,IF($E339=1,$L338+1,IF($S339&lt;=1,$L338,0)))</f>
        <v/>
      </c>
      <c r="M339" s="38">
        <f>IF($A339=0,$M338,IF($F339=1,$M338+1,IF($T339&lt;=1,$M338,0)))</f>
        <v/>
      </c>
      <c r="N339" s="38">
        <f>IF($A339=0,$N338,IF($G339=1,$N338+1,IF($U339&lt;=1,$N338,0)))</f>
        <v/>
      </c>
      <c r="O339" s="38">
        <f>IF($A339=0,$O338,IF($H339=1,$O338+1,IF($V339&lt;=1,$O338,0)))</f>
        <v/>
      </c>
      <c r="P339" s="38">
        <f>IF($A339=0,$P338,$P338+IF($B339=1,0,1))</f>
        <v/>
      </c>
      <c r="Q339" s="38">
        <f>IF($A339=0,$Q338,$Q338+IF($C339=1,0,1))</f>
        <v/>
      </c>
      <c r="R339" s="38">
        <f>IF($A339=0,$R338,$R338+IF($D339=1,0,1))</f>
        <v/>
      </c>
      <c r="S339" s="38">
        <f>IF($A339=0,$S338,$S338+IF($E339=1,0,1))</f>
        <v/>
      </c>
      <c r="T339" s="38">
        <f>IF($A339=0,$T338,$T338+IF($F339=1,0,1))</f>
        <v/>
      </c>
      <c r="U339" s="38">
        <f>IF($A339=0,$U338,$U338+IF($G339=1,0,1))</f>
        <v/>
      </c>
      <c r="V339" s="38">
        <f>IF($A339=0,$V338,$V338+IF($H339=1,0,1))</f>
        <v/>
      </c>
      <c r="W339" s="38">
        <f>SUM($B339:$H339)</f>
        <v/>
      </c>
      <c r="X339" s="38">
        <f>IF(AND($A339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339=1),1,0)+IF(AND($G$1=7,$C339=1),1,0)+IF(AND($H$1=7,$D339=1),1,0)+IF(AND($I$1=7,$E339=1),1,0)+IF(AND($J$1=7,$F339=1),1,0)+IF(AND($K$1=7,$G339=1),1,0)+IF(AND($L$1=7,$H339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9" s="38">
        <f>IF($B339=1,IF($F$1&lt;7,10,IF(AND($F$1=7,$I338=0,$P338&gt;1),15,IF($I338&gt;=20,15,IF($I338&gt;=6,13,10)))),0)+IF($C339=1,IF($G$1&lt;7,10,IF(AND($G$1=7,$J338=0,$Q338&gt;1),15,IF($J338&gt;=20,15,IF($J338&gt;=6,13,10)))),0)+IF($D339=1,IF($H$1&lt;7,10,IF(AND($H$1=7,$K338=0,$R338&gt;1),15,IF($K338&gt;=20,15,IF($K338&gt;=6,13,10)))),0)+IF($E339=1,IF($I$1&lt;7,10,IF(AND($I$1=7,$L338=0,$S338&gt;1),15,IF($L338&gt;=20,15,IF($L338&gt;=6,13,10)))),0)+IF($F339=1,IF($J$1&lt;7,10,IF(AND($J$1=7,$M338=0,$T338&gt;1),15,IF($M338&gt;=20,15,IF($M338&gt;=6,13,10)))),0)+IF($G339=1,IF($K$1&lt;7,10,IF(AND($K$1=7,$N338=0,$U338&gt;1),15,IF($N338&gt;=20,15,IF($N338&gt;=6,13,10)))),0)+IF($H339=1,IF($L$1&lt;7,10,IF(AND($L$1=7,$O338=0,$V338&gt;1),15,IF($O338&gt;=20,15,IF($O338&gt;=6,13,10)))),0)</f>
        <v/>
      </c>
      <c r="Z339" s="38">
        <f>$Z338+$Y339</f>
        <v/>
      </c>
      <c r="AA339" s="38">
        <f>IF(AND($B339=1,AND($F$1=7,$I338=0,$P338&gt;1)),1,0)+IF(AND($C339=1,AND($G$1=7,$J338=0,$Q338&gt;1)),1,0)+IF(AND($D339=1,AND($H$1=7,$K338=0,$R338&gt;1)),1,0)+IF(AND($E339=1,AND($I$1=7,$L338=0,$S338&gt;1)),1,0)+IF(AND($F339=1,AND($J$1=7,$M338=0,$T338&gt;1)),1,0)+IF(AND($G339=1,AND($K$1=7,$N338=0,$U338&gt;1)),1,0)+IF(AND($H339=1,AND($L$1=7,$O338=0,$V338&gt;1)),1,0)</f>
        <v/>
      </c>
      <c r="AB339" s="38">
        <f>IF(IFERROR('Ноя'!$I30,"")="",0,$AB338+1)</f>
        <v/>
      </c>
    </row>
    <row r="340" spans="1:28">
      <c r="A340" s="38">
        <f>IF($B$1&gt;=DATE(2026,11,26),1,0)</f>
        <v/>
      </c>
      <c r="B340" s="38">
        <f>IFERROR(IF('Ноя'!$B31=TRUE,1,0),0)</f>
        <v/>
      </c>
      <c r="C340" s="38">
        <f>IFERROR(IF('Ноя'!$C31=TRUE,1,0),0)</f>
        <v/>
      </c>
      <c r="D340" s="38">
        <f>IFERROR(IF('Ноя'!$D31=TRUE,1,0),0)</f>
        <v/>
      </c>
      <c r="E340" s="38">
        <f>IFERROR(IF('Ноя'!$E31=TRUE,1,0),0)</f>
        <v/>
      </c>
      <c r="F340" s="38">
        <f>IFERROR(IF('Ноя'!$F31=TRUE,1,0),0)</f>
        <v/>
      </c>
      <c r="G340" s="38">
        <f>IFERROR(IF('Ноя'!$G31=TRUE,1,0),0)</f>
        <v/>
      </c>
      <c r="H340" s="38">
        <f>IFERROR(IF('Ноя'!$H31=TRUE,1,0),0)</f>
        <v/>
      </c>
      <c r="I340" s="38">
        <f>IF($A340=0,$I339,IF($B340=1,$I339+1,IF($P340&lt;=1,$I339,0)))</f>
        <v/>
      </c>
      <c r="J340" s="38">
        <f>IF($A340=0,$J339,IF($C340=1,$J339+1,IF($Q340&lt;=1,$J339,0)))</f>
        <v/>
      </c>
      <c r="K340" s="38">
        <f>IF($A340=0,$K339,IF($D340=1,$K339+1,IF($R340&lt;=1,$K339,0)))</f>
        <v/>
      </c>
      <c r="L340" s="38">
        <f>IF($A340=0,$L339,IF($E340=1,$L339+1,IF($S340&lt;=1,$L339,0)))</f>
        <v/>
      </c>
      <c r="M340" s="38">
        <f>IF($A340=0,$M339,IF($F340=1,$M339+1,IF($T340&lt;=1,$M339,0)))</f>
        <v/>
      </c>
      <c r="N340" s="38">
        <f>IF($A340=0,$N339,IF($G340=1,$N339+1,IF($U340&lt;=1,$N339,0)))</f>
        <v/>
      </c>
      <c r="O340" s="38">
        <f>IF($A340=0,$O339,IF($H340=1,$O339+1,IF($V340&lt;=1,$O339,0)))</f>
        <v/>
      </c>
      <c r="P340" s="38">
        <f>IF($A340=0,$P339,$P339+IF($B340=1,0,1))</f>
        <v/>
      </c>
      <c r="Q340" s="38">
        <f>IF($A340=0,$Q339,$Q339+IF($C340=1,0,1))</f>
        <v/>
      </c>
      <c r="R340" s="38">
        <f>IF($A340=0,$R339,$R339+IF($D340=1,0,1))</f>
        <v/>
      </c>
      <c r="S340" s="38">
        <f>IF($A340=0,$S339,$S339+IF($E340=1,0,1))</f>
        <v/>
      </c>
      <c r="T340" s="38">
        <f>IF($A340=0,$T339,$T339+IF($F340=1,0,1))</f>
        <v/>
      </c>
      <c r="U340" s="38">
        <f>IF($A340=0,$U339,$U339+IF($G340=1,0,1))</f>
        <v/>
      </c>
      <c r="V340" s="38">
        <f>IF($A340=0,$V339,$V339+IF($H340=1,0,1))</f>
        <v/>
      </c>
      <c r="W340" s="38">
        <f>SUM($B340:$H340)</f>
        <v/>
      </c>
      <c r="X340" s="38">
        <f>IF(AND($A340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340=1),1,0)+IF(AND($G$1=7,$C340=1),1,0)+IF(AND($H$1=7,$D340=1),1,0)+IF(AND($I$1=7,$E340=1),1,0)+IF(AND($J$1=7,$F340=1),1,0)+IF(AND($K$1=7,$G340=1),1,0)+IF(AND($L$1=7,$H340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0" s="38">
        <f>IF($B340=1,IF($F$1&lt;7,10,IF(AND($F$1=7,$I339=0,$P339&gt;1),15,IF($I339&gt;=20,15,IF($I339&gt;=6,13,10)))),0)+IF($C340=1,IF($G$1&lt;7,10,IF(AND($G$1=7,$J339=0,$Q339&gt;1),15,IF($J339&gt;=20,15,IF($J339&gt;=6,13,10)))),0)+IF($D340=1,IF($H$1&lt;7,10,IF(AND($H$1=7,$K339=0,$R339&gt;1),15,IF($K339&gt;=20,15,IF($K339&gt;=6,13,10)))),0)+IF($E340=1,IF($I$1&lt;7,10,IF(AND($I$1=7,$L339=0,$S339&gt;1),15,IF($L339&gt;=20,15,IF($L339&gt;=6,13,10)))),0)+IF($F340=1,IF($J$1&lt;7,10,IF(AND($J$1=7,$M339=0,$T339&gt;1),15,IF($M339&gt;=20,15,IF($M339&gt;=6,13,10)))),0)+IF($G340=1,IF($K$1&lt;7,10,IF(AND($K$1=7,$N339=0,$U339&gt;1),15,IF($N339&gt;=20,15,IF($N339&gt;=6,13,10)))),0)+IF($H340=1,IF($L$1&lt;7,10,IF(AND($L$1=7,$O339=0,$V339&gt;1),15,IF($O339&gt;=20,15,IF($O339&gt;=6,13,10)))),0)</f>
        <v/>
      </c>
      <c r="Z340" s="38">
        <f>$Z339+$Y340</f>
        <v/>
      </c>
      <c r="AA340" s="38">
        <f>IF(AND($B340=1,AND($F$1=7,$I339=0,$P339&gt;1)),1,0)+IF(AND($C340=1,AND($G$1=7,$J339=0,$Q339&gt;1)),1,0)+IF(AND($D340=1,AND($H$1=7,$K339=0,$R339&gt;1)),1,0)+IF(AND($E340=1,AND($I$1=7,$L339=0,$S339&gt;1)),1,0)+IF(AND($F340=1,AND($J$1=7,$M339=0,$T339&gt;1)),1,0)+IF(AND($G340=1,AND($K$1=7,$N339=0,$U339&gt;1)),1,0)+IF(AND($H340=1,AND($L$1=7,$O339=0,$V339&gt;1)),1,0)</f>
        <v/>
      </c>
      <c r="AB340" s="38">
        <f>IF(IFERROR('Ноя'!$I31,"")="",0,$AB339+1)</f>
        <v/>
      </c>
    </row>
    <row r="341" spans="1:28">
      <c r="A341" s="38">
        <f>IF($B$1&gt;=DATE(2026,11,27),1,0)</f>
        <v/>
      </c>
      <c r="B341" s="38">
        <f>IFERROR(IF('Ноя'!$B32=TRUE,1,0),0)</f>
        <v/>
      </c>
      <c r="C341" s="38">
        <f>IFERROR(IF('Ноя'!$C32=TRUE,1,0),0)</f>
        <v/>
      </c>
      <c r="D341" s="38">
        <f>IFERROR(IF('Ноя'!$D32=TRUE,1,0),0)</f>
        <v/>
      </c>
      <c r="E341" s="38">
        <f>IFERROR(IF('Ноя'!$E32=TRUE,1,0),0)</f>
        <v/>
      </c>
      <c r="F341" s="38">
        <f>IFERROR(IF('Ноя'!$F32=TRUE,1,0),0)</f>
        <v/>
      </c>
      <c r="G341" s="38">
        <f>IFERROR(IF('Ноя'!$G32=TRUE,1,0),0)</f>
        <v/>
      </c>
      <c r="H341" s="38">
        <f>IFERROR(IF('Ноя'!$H32=TRUE,1,0),0)</f>
        <v/>
      </c>
      <c r="I341" s="38">
        <f>IF($A341=0,$I340,IF($B341=1,$I340+1,IF($P341&lt;=1,$I340,0)))</f>
        <v/>
      </c>
      <c r="J341" s="38">
        <f>IF($A341=0,$J340,IF($C341=1,$J340+1,IF($Q341&lt;=1,$J340,0)))</f>
        <v/>
      </c>
      <c r="K341" s="38">
        <f>IF($A341=0,$K340,IF($D341=1,$K340+1,IF($R341&lt;=1,$K340,0)))</f>
        <v/>
      </c>
      <c r="L341" s="38">
        <f>IF($A341=0,$L340,IF($E341=1,$L340+1,IF($S341&lt;=1,$L340,0)))</f>
        <v/>
      </c>
      <c r="M341" s="38">
        <f>IF($A341=0,$M340,IF($F341=1,$M340+1,IF($T341&lt;=1,$M340,0)))</f>
        <v/>
      </c>
      <c r="N341" s="38">
        <f>IF($A341=0,$N340,IF($G341=1,$N340+1,IF($U341&lt;=1,$N340,0)))</f>
        <v/>
      </c>
      <c r="O341" s="38">
        <f>IF($A341=0,$O340,IF($H341=1,$O340+1,IF($V341&lt;=1,$O340,0)))</f>
        <v/>
      </c>
      <c r="P341" s="38">
        <f>IF($A341=0,$P340,$P340+IF($B341=1,0,1))</f>
        <v/>
      </c>
      <c r="Q341" s="38">
        <f>IF($A341=0,$Q340,$Q340+IF($C341=1,0,1))</f>
        <v/>
      </c>
      <c r="R341" s="38">
        <f>IF($A341=0,$R340,$R340+IF($D341=1,0,1))</f>
        <v/>
      </c>
      <c r="S341" s="38">
        <f>IF($A341=0,$S340,$S340+IF($E341=1,0,1))</f>
        <v/>
      </c>
      <c r="T341" s="38">
        <f>IF($A341=0,$T340,$T340+IF($F341=1,0,1))</f>
        <v/>
      </c>
      <c r="U341" s="38">
        <f>IF($A341=0,$U340,$U340+IF($G341=1,0,1))</f>
        <v/>
      </c>
      <c r="V341" s="38">
        <f>IF($A341=0,$V340,$V340+IF($H341=1,0,1))</f>
        <v/>
      </c>
      <c r="W341" s="38">
        <f>SUM($B341:$H341)</f>
        <v/>
      </c>
      <c r="X341" s="38">
        <f>IF(AND($A341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341=1),1,0)+IF(AND($G$1=7,$C341=1),1,0)+IF(AND($H$1=7,$D341=1),1,0)+IF(AND($I$1=7,$E341=1),1,0)+IF(AND($J$1=7,$F341=1),1,0)+IF(AND($K$1=7,$G341=1),1,0)+IF(AND($L$1=7,$H341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1" s="38">
        <f>IF($B341=1,IF($F$1&lt;7,10,IF(AND($F$1=7,$I340=0,$P340&gt;1),15,IF($I340&gt;=20,15,IF($I340&gt;=6,13,10)))),0)+IF($C341=1,IF($G$1&lt;7,10,IF(AND($G$1=7,$J340=0,$Q340&gt;1),15,IF($J340&gt;=20,15,IF($J340&gt;=6,13,10)))),0)+IF($D341=1,IF($H$1&lt;7,10,IF(AND($H$1=7,$K340=0,$R340&gt;1),15,IF($K340&gt;=20,15,IF($K340&gt;=6,13,10)))),0)+IF($E341=1,IF($I$1&lt;7,10,IF(AND($I$1=7,$L340=0,$S340&gt;1),15,IF($L340&gt;=20,15,IF($L340&gt;=6,13,10)))),0)+IF($F341=1,IF($J$1&lt;7,10,IF(AND($J$1=7,$M340=0,$T340&gt;1),15,IF($M340&gt;=20,15,IF($M340&gt;=6,13,10)))),0)+IF($G341=1,IF($K$1&lt;7,10,IF(AND($K$1=7,$N340=0,$U340&gt;1),15,IF($N340&gt;=20,15,IF($N340&gt;=6,13,10)))),0)+IF($H341=1,IF($L$1&lt;7,10,IF(AND($L$1=7,$O340=0,$V340&gt;1),15,IF($O340&gt;=20,15,IF($O340&gt;=6,13,10)))),0)</f>
        <v/>
      </c>
      <c r="Z341" s="38">
        <f>$Z340+$Y341</f>
        <v/>
      </c>
      <c r="AA341" s="38">
        <f>IF(AND($B341=1,AND($F$1=7,$I340=0,$P340&gt;1)),1,0)+IF(AND($C341=1,AND($G$1=7,$J340=0,$Q340&gt;1)),1,0)+IF(AND($D341=1,AND($H$1=7,$K340=0,$R340&gt;1)),1,0)+IF(AND($E341=1,AND($I$1=7,$L340=0,$S340&gt;1)),1,0)+IF(AND($F341=1,AND($J$1=7,$M340=0,$T340&gt;1)),1,0)+IF(AND($G341=1,AND($K$1=7,$N340=0,$U340&gt;1)),1,0)+IF(AND($H341=1,AND($L$1=7,$O340=0,$V340&gt;1)),1,0)</f>
        <v/>
      </c>
      <c r="AB341" s="38">
        <f>IF(IFERROR('Ноя'!$I32,"")="",0,$AB340+1)</f>
        <v/>
      </c>
    </row>
    <row r="342" spans="1:28">
      <c r="A342" s="38">
        <f>IF($B$1&gt;=DATE(2026,11,28),1,0)</f>
        <v/>
      </c>
      <c r="B342" s="38">
        <f>IFERROR(IF('Ноя'!$B33=TRUE,1,0),0)</f>
        <v/>
      </c>
      <c r="C342" s="38">
        <f>IFERROR(IF('Ноя'!$C33=TRUE,1,0),0)</f>
        <v/>
      </c>
      <c r="D342" s="38">
        <f>IFERROR(IF('Ноя'!$D33=TRUE,1,0),0)</f>
        <v/>
      </c>
      <c r="E342" s="38">
        <f>IFERROR(IF('Ноя'!$E33=TRUE,1,0),0)</f>
        <v/>
      </c>
      <c r="F342" s="38">
        <f>IFERROR(IF('Ноя'!$F33=TRUE,1,0),0)</f>
        <v/>
      </c>
      <c r="G342" s="38">
        <f>IFERROR(IF('Ноя'!$G33=TRUE,1,0),0)</f>
        <v/>
      </c>
      <c r="H342" s="38">
        <f>IFERROR(IF('Ноя'!$H33=TRUE,1,0),0)</f>
        <v/>
      </c>
      <c r="I342" s="38">
        <f>IF($A342=0,$I341,IF($B342=1,$I341+1,IF($P342&lt;=1,$I341,0)))</f>
        <v/>
      </c>
      <c r="J342" s="38">
        <f>IF($A342=0,$J341,IF($C342=1,$J341+1,IF($Q342&lt;=1,$J341,0)))</f>
        <v/>
      </c>
      <c r="K342" s="38">
        <f>IF($A342=0,$K341,IF($D342=1,$K341+1,IF($R342&lt;=1,$K341,0)))</f>
        <v/>
      </c>
      <c r="L342" s="38">
        <f>IF($A342=0,$L341,IF($E342=1,$L341+1,IF($S342&lt;=1,$L341,0)))</f>
        <v/>
      </c>
      <c r="M342" s="38">
        <f>IF($A342=0,$M341,IF($F342=1,$M341+1,IF($T342&lt;=1,$M341,0)))</f>
        <v/>
      </c>
      <c r="N342" s="38">
        <f>IF($A342=0,$N341,IF($G342=1,$N341+1,IF($U342&lt;=1,$N341,0)))</f>
        <v/>
      </c>
      <c r="O342" s="38">
        <f>IF($A342=0,$O341,IF($H342=1,$O341+1,IF($V342&lt;=1,$O341,0)))</f>
        <v/>
      </c>
      <c r="P342" s="38">
        <f>IF($A342=0,$P341,$P341+IF($B342=1,0,1))</f>
        <v/>
      </c>
      <c r="Q342" s="38">
        <f>IF($A342=0,$Q341,$Q341+IF($C342=1,0,1))</f>
        <v/>
      </c>
      <c r="R342" s="38">
        <f>IF($A342=0,$R341,$R341+IF($D342=1,0,1))</f>
        <v/>
      </c>
      <c r="S342" s="38">
        <f>IF($A342=0,$S341,$S341+IF($E342=1,0,1))</f>
        <v/>
      </c>
      <c r="T342" s="38">
        <f>IF($A342=0,$T341,$T341+IF($F342=1,0,1))</f>
        <v/>
      </c>
      <c r="U342" s="38">
        <f>IF($A342=0,$U341,$U341+IF($G342=1,0,1))</f>
        <v/>
      </c>
      <c r="V342" s="38">
        <f>IF($A342=0,$V341,$V341+IF($H342=1,0,1))</f>
        <v/>
      </c>
      <c r="W342" s="38">
        <f>SUM($B342:$H342)</f>
        <v/>
      </c>
      <c r="X342" s="38">
        <f>IF(AND($A342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342=1),1,0)+IF(AND($G$1=7,$C342=1),1,0)+IF(AND($H$1=7,$D342=1),1,0)+IF(AND($I$1=7,$E342=1),1,0)+IF(AND($J$1=7,$F342=1),1,0)+IF(AND($K$1=7,$G342=1),1,0)+IF(AND($L$1=7,$H342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2" s="38">
        <f>IF($B342=1,IF($F$1&lt;7,10,IF(AND($F$1=7,$I341=0,$P341&gt;1),15,IF($I341&gt;=20,15,IF($I341&gt;=6,13,10)))),0)+IF($C342=1,IF($G$1&lt;7,10,IF(AND($G$1=7,$J341=0,$Q341&gt;1),15,IF($J341&gt;=20,15,IF($J341&gt;=6,13,10)))),0)+IF($D342=1,IF($H$1&lt;7,10,IF(AND($H$1=7,$K341=0,$R341&gt;1),15,IF($K341&gt;=20,15,IF($K341&gt;=6,13,10)))),0)+IF($E342=1,IF($I$1&lt;7,10,IF(AND($I$1=7,$L341=0,$S341&gt;1),15,IF($L341&gt;=20,15,IF($L341&gt;=6,13,10)))),0)+IF($F342=1,IF($J$1&lt;7,10,IF(AND($J$1=7,$M341=0,$T341&gt;1),15,IF($M341&gt;=20,15,IF($M341&gt;=6,13,10)))),0)+IF($G342=1,IF($K$1&lt;7,10,IF(AND($K$1=7,$N341=0,$U341&gt;1),15,IF($N341&gt;=20,15,IF($N341&gt;=6,13,10)))),0)+IF($H342=1,IF($L$1&lt;7,10,IF(AND($L$1=7,$O341=0,$V341&gt;1),15,IF($O341&gt;=20,15,IF($O341&gt;=6,13,10)))),0)</f>
        <v/>
      </c>
      <c r="Z342" s="38">
        <f>$Z341+$Y342</f>
        <v/>
      </c>
      <c r="AA342" s="38">
        <f>IF(AND($B342=1,AND($F$1=7,$I341=0,$P341&gt;1)),1,0)+IF(AND($C342=1,AND($G$1=7,$J341=0,$Q341&gt;1)),1,0)+IF(AND($D342=1,AND($H$1=7,$K341=0,$R341&gt;1)),1,0)+IF(AND($E342=1,AND($I$1=7,$L341=0,$S341&gt;1)),1,0)+IF(AND($F342=1,AND($J$1=7,$M341=0,$T341&gt;1)),1,0)+IF(AND($G342=1,AND($K$1=7,$N341=0,$U341&gt;1)),1,0)+IF(AND($H342=1,AND($L$1=7,$O341=0,$V341&gt;1)),1,0)</f>
        <v/>
      </c>
      <c r="AB342" s="38">
        <f>IF(IFERROR('Ноя'!$I33,"")="",0,$AB341+1)</f>
        <v/>
      </c>
    </row>
    <row r="343" spans="1:28">
      <c r="A343" s="38">
        <f>IF($B$1&gt;=DATE(2026,11,29),1,0)</f>
        <v/>
      </c>
      <c r="B343" s="38">
        <f>IFERROR(IF('Ноя'!$B34=TRUE,1,0),0)</f>
        <v/>
      </c>
      <c r="C343" s="38">
        <f>IFERROR(IF('Ноя'!$C34=TRUE,1,0),0)</f>
        <v/>
      </c>
      <c r="D343" s="38">
        <f>IFERROR(IF('Ноя'!$D34=TRUE,1,0),0)</f>
        <v/>
      </c>
      <c r="E343" s="38">
        <f>IFERROR(IF('Ноя'!$E34=TRUE,1,0),0)</f>
        <v/>
      </c>
      <c r="F343" s="38">
        <f>IFERROR(IF('Ноя'!$F34=TRUE,1,0),0)</f>
        <v/>
      </c>
      <c r="G343" s="38">
        <f>IFERROR(IF('Ноя'!$G34=TRUE,1,0),0)</f>
        <v/>
      </c>
      <c r="H343" s="38">
        <f>IFERROR(IF('Ноя'!$H34=TRUE,1,0),0)</f>
        <v/>
      </c>
      <c r="I343" s="38">
        <f>IF($A343=0,$I342,IF($B343=1,$I342+1,IF($P343&lt;=1,$I342,0)))</f>
        <v/>
      </c>
      <c r="J343" s="38">
        <f>IF($A343=0,$J342,IF($C343=1,$J342+1,IF($Q343&lt;=1,$J342,0)))</f>
        <v/>
      </c>
      <c r="K343" s="38">
        <f>IF($A343=0,$K342,IF($D343=1,$K342+1,IF($R343&lt;=1,$K342,0)))</f>
        <v/>
      </c>
      <c r="L343" s="38">
        <f>IF($A343=0,$L342,IF($E343=1,$L342+1,IF($S343&lt;=1,$L342,0)))</f>
        <v/>
      </c>
      <c r="M343" s="38">
        <f>IF($A343=0,$M342,IF($F343=1,$M342+1,IF($T343&lt;=1,$M342,0)))</f>
        <v/>
      </c>
      <c r="N343" s="38">
        <f>IF($A343=0,$N342,IF($G343=1,$N342+1,IF($U343&lt;=1,$N342,0)))</f>
        <v/>
      </c>
      <c r="O343" s="38">
        <f>IF($A343=0,$O342,IF($H343=1,$O342+1,IF($V343&lt;=1,$O342,0)))</f>
        <v/>
      </c>
      <c r="P343" s="38">
        <f>IF($A343=0,$P342,$P342+IF($B343=1,0,1))</f>
        <v/>
      </c>
      <c r="Q343" s="38">
        <f>IF($A343=0,$Q342,$Q342+IF($C343=1,0,1))</f>
        <v/>
      </c>
      <c r="R343" s="38">
        <f>IF($A343=0,$R342,$R342+IF($D343=1,0,1))</f>
        <v/>
      </c>
      <c r="S343" s="38">
        <f>IF($A343=0,$S342,$S342+IF($E343=1,0,1))</f>
        <v/>
      </c>
      <c r="T343" s="38">
        <f>IF($A343=0,$T342,$T342+IF($F343=1,0,1))</f>
        <v/>
      </c>
      <c r="U343" s="38">
        <f>IF($A343=0,$U342,$U342+IF($G343=1,0,1))</f>
        <v/>
      </c>
      <c r="V343" s="38">
        <f>IF($A343=0,$V342,$V342+IF($H343=1,0,1))</f>
        <v/>
      </c>
      <c r="W343" s="38">
        <f>SUM($B343:$H343)</f>
        <v/>
      </c>
      <c r="X343" s="38">
        <f>IF(AND($A343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343=1),1,0)+IF(AND($G$1=7,$C343=1),1,0)+IF(AND($H$1=7,$D343=1),1,0)+IF(AND($I$1=7,$E343=1),1,0)+IF(AND($J$1=7,$F343=1),1,0)+IF(AND($K$1=7,$G343=1),1,0)+IF(AND($L$1=7,$H343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3" s="38">
        <f>IF($B343=1,IF($F$1&lt;7,10,IF(AND($F$1=7,$I342=0,$P342&gt;1),15,IF($I342&gt;=20,15,IF($I342&gt;=6,13,10)))),0)+IF($C343=1,IF($G$1&lt;7,10,IF(AND($G$1=7,$J342=0,$Q342&gt;1),15,IF($J342&gt;=20,15,IF($J342&gt;=6,13,10)))),0)+IF($D343=1,IF($H$1&lt;7,10,IF(AND($H$1=7,$K342=0,$R342&gt;1),15,IF($K342&gt;=20,15,IF($K342&gt;=6,13,10)))),0)+IF($E343=1,IF($I$1&lt;7,10,IF(AND($I$1=7,$L342=0,$S342&gt;1),15,IF($L342&gt;=20,15,IF($L342&gt;=6,13,10)))),0)+IF($F343=1,IF($J$1&lt;7,10,IF(AND($J$1=7,$M342=0,$T342&gt;1),15,IF($M342&gt;=20,15,IF($M342&gt;=6,13,10)))),0)+IF($G343=1,IF($K$1&lt;7,10,IF(AND($K$1=7,$N342=0,$U342&gt;1),15,IF($N342&gt;=20,15,IF($N342&gt;=6,13,10)))),0)+IF($H343=1,IF($L$1&lt;7,10,IF(AND($L$1=7,$O342=0,$V342&gt;1),15,IF($O342&gt;=20,15,IF($O342&gt;=6,13,10)))),0)</f>
        <v/>
      </c>
      <c r="Z343" s="38">
        <f>$Z342+$Y343</f>
        <v/>
      </c>
      <c r="AA343" s="38">
        <f>IF(AND($B343=1,AND($F$1=7,$I342=0,$P342&gt;1)),1,0)+IF(AND($C343=1,AND($G$1=7,$J342=0,$Q342&gt;1)),1,0)+IF(AND($D343=1,AND($H$1=7,$K342=0,$R342&gt;1)),1,0)+IF(AND($E343=1,AND($I$1=7,$L342=0,$S342&gt;1)),1,0)+IF(AND($F343=1,AND($J$1=7,$M342=0,$T342&gt;1)),1,0)+IF(AND($G343=1,AND($K$1=7,$N342=0,$U342&gt;1)),1,0)+IF(AND($H343=1,AND($L$1=7,$O342=0,$V342&gt;1)),1,0)</f>
        <v/>
      </c>
      <c r="AB343" s="38">
        <f>IF(IFERROR('Ноя'!$I34,"")="",0,$AB342+1)</f>
        <v/>
      </c>
    </row>
    <row r="344" spans="1:28">
      <c r="A344" s="38">
        <f>IF($B$1&gt;=DATE(2026,11,30),1,0)</f>
        <v/>
      </c>
      <c r="B344" s="38">
        <f>IFERROR(IF('Ноя'!$B35=TRUE,1,0),0)</f>
        <v/>
      </c>
      <c r="C344" s="38">
        <f>IFERROR(IF('Ноя'!$C35=TRUE,1,0),0)</f>
        <v/>
      </c>
      <c r="D344" s="38">
        <f>IFERROR(IF('Ноя'!$D35=TRUE,1,0),0)</f>
        <v/>
      </c>
      <c r="E344" s="38">
        <f>IFERROR(IF('Ноя'!$E35=TRUE,1,0),0)</f>
        <v/>
      </c>
      <c r="F344" s="38">
        <f>IFERROR(IF('Ноя'!$F35=TRUE,1,0),0)</f>
        <v/>
      </c>
      <c r="G344" s="38">
        <f>IFERROR(IF('Ноя'!$G35=TRUE,1,0),0)</f>
        <v/>
      </c>
      <c r="H344" s="38">
        <f>IFERROR(IF('Ноя'!$H35=TRUE,1,0),0)</f>
        <v/>
      </c>
      <c r="I344" s="38">
        <f>IF($A344=0,$I343,IF($B344=1,$I343+1,IF($P344&lt;=1,$I343,0)))</f>
        <v/>
      </c>
      <c r="J344" s="38">
        <f>IF($A344=0,$J343,IF($C344=1,$J343+1,IF($Q344&lt;=1,$J343,0)))</f>
        <v/>
      </c>
      <c r="K344" s="38">
        <f>IF($A344=0,$K343,IF($D344=1,$K343+1,IF($R344&lt;=1,$K343,0)))</f>
        <v/>
      </c>
      <c r="L344" s="38">
        <f>IF($A344=0,$L343,IF($E344=1,$L343+1,IF($S344&lt;=1,$L343,0)))</f>
        <v/>
      </c>
      <c r="M344" s="38">
        <f>IF($A344=0,$M343,IF($F344=1,$M343+1,IF($T344&lt;=1,$M343,0)))</f>
        <v/>
      </c>
      <c r="N344" s="38">
        <f>IF($A344=0,$N343,IF($G344=1,$N343+1,IF($U344&lt;=1,$N343,0)))</f>
        <v/>
      </c>
      <c r="O344" s="38">
        <f>IF($A344=0,$O343,IF($H344=1,$O343+1,IF($V344&lt;=1,$O343,0)))</f>
        <v/>
      </c>
      <c r="P344" s="38">
        <f>IF($A344=0,$P343,$P343+IF($B344=1,0,1))</f>
        <v/>
      </c>
      <c r="Q344" s="38">
        <f>IF($A344=0,$Q343,$Q343+IF($C344=1,0,1))</f>
        <v/>
      </c>
      <c r="R344" s="38">
        <f>IF($A344=0,$R343,$R343+IF($D344=1,0,1))</f>
        <v/>
      </c>
      <c r="S344" s="38">
        <f>IF($A344=0,$S343,$S343+IF($E344=1,0,1))</f>
        <v/>
      </c>
      <c r="T344" s="38">
        <f>IF($A344=0,$T343,$T343+IF($F344=1,0,1))</f>
        <v/>
      </c>
      <c r="U344" s="38">
        <f>IF($A344=0,$U343,$U343+IF($G344=1,0,1))</f>
        <v/>
      </c>
      <c r="V344" s="38">
        <f>IF($A344=0,$V343,$V343+IF($H344=1,0,1))</f>
        <v/>
      </c>
      <c r="W344" s="38">
        <f>SUM($B344:$H344)</f>
        <v/>
      </c>
      <c r="X344" s="38">
        <f>IF(AND($A344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344=1),1,0)+IF(AND($G$1=7,$C344=1),1,0)+IF(AND($H$1=7,$D344=1),1,0)+IF(AND($I$1=7,$E344=1),1,0)+IF(AND($J$1=7,$F344=1),1,0)+IF(AND($K$1=7,$G344=1),1,0)+IF(AND($L$1=7,$H344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4" s="38">
        <f>IF($B344=1,IF($F$1&lt;7,10,IF(AND($F$1=7,$I343=0,$P343&gt;1),15,IF($I343&gt;=20,15,IF($I343&gt;=6,13,10)))),0)+IF($C344=1,IF($G$1&lt;7,10,IF(AND($G$1=7,$J343=0,$Q343&gt;1),15,IF($J343&gt;=20,15,IF($J343&gt;=6,13,10)))),0)+IF($D344=1,IF($H$1&lt;7,10,IF(AND($H$1=7,$K343=0,$R343&gt;1),15,IF($K343&gt;=20,15,IF($K343&gt;=6,13,10)))),0)+IF($E344=1,IF($I$1&lt;7,10,IF(AND($I$1=7,$L343=0,$S343&gt;1),15,IF($L343&gt;=20,15,IF($L343&gt;=6,13,10)))),0)+IF($F344=1,IF($J$1&lt;7,10,IF(AND($J$1=7,$M343=0,$T343&gt;1),15,IF($M343&gt;=20,15,IF($M343&gt;=6,13,10)))),0)+IF($G344=1,IF($K$1&lt;7,10,IF(AND($K$1=7,$N343=0,$U343&gt;1),15,IF($N343&gt;=20,15,IF($N343&gt;=6,13,10)))),0)+IF($H344=1,IF($L$1&lt;7,10,IF(AND($L$1=7,$O343=0,$V343&gt;1),15,IF($O343&gt;=20,15,IF($O343&gt;=6,13,10)))),0)</f>
        <v/>
      </c>
      <c r="Z344" s="38">
        <f>$Z343+$Y344</f>
        <v/>
      </c>
      <c r="AA344" s="38">
        <f>IF(AND($B344=1,AND($F$1=7,$I343=0,$P343&gt;1)),1,0)+IF(AND($C344=1,AND($G$1=7,$J343=0,$Q343&gt;1)),1,0)+IF(AND($D344=1,AND($H$1=7,$K343=0,$R343&gt;1)),1,0)+IF(AND($E344=1,AND($I$1=7,$L343=0,$S343&gt;1)),1,0)+IF(AND($F344=1,AND($J$1=7,$M343=0,$T343&gt;1)),1,0)+IF(AND($G344=1,AND($K$1=7,$N343=0,$U343&gt;1)),1,0)+IF(AND($H344=1,AND($L$1=7,$O343=0,$V343&gt;1)),1,0)</f>
        <v/>
      </c>
      <c r="AB344" s="38">
        <f>IF(IFERROR('Ноя'!$I35,"")="",0,$AB343+1)</f>
        <v/>
      </c>
    </row>
    <row r="345" spans="1:28">
      <c r="A345" s="38">
        <f>IF($B$1&gt;=DATE(2026,12,1),1,0)</f>
        <v/>
      </c>
      <c r="B345" s="38">
        <f>IFERROR(IF('Дек'!$B6=TRUE,1,0),0)</f>
        <v/>
      </c>
      <c r="C345" s="38">
        <f>IFERROR(IF('Дек'!$C6=TRUE,1,0),0)</f>
        <v/>
      </c>
      <c r="D345" s="38">
        <f>IFERROR(IF('Дек'!$D6=TRUE,1,0),0)</f>
        <v/>
      </c>
      <c r="E345" s="38">
        <f>IFERROR(IF('Дек'!$E6=TRUE,1,0),0)</f>
        <v/>
      </c>
      <c r="F345" s="38">
        <f>IFERROR(IF('Дек'!$F6=TRUE,1,0),0)</f>
        <v/>
      </c>
      <c r="G345" s="38">
        <f>IFERROR(IF('Дек'!$G6=TRUE,1,0),0)</f>
        <v/>
      </c>
      <c r="H345" s="38">
        <f>IFERROR(IF('Дек'!$H6=TRUE,1,0),0)</f>
        <v/>
      </c>
      <c r="I345" s="38">
        <f>IF($A345=0,$I344,IF($B345=1,$I344+1,IF($P345&lt;=1,$I344,0)))</f>
        <v/>
      </c>
      <c r="J345" s="38">
        <f>IF($A345=0,$J344,IF($C345=1,$J344+1,IF($Q345&lt;=1,$J344,0)))</f>
        <v/>
      </c>
      <c r="K345" s="38">
        <f>IF($A345=0,$K344,IF($D345=1,$K344+1,IF($R345&lt;=1,$K344,0)))</f>
        <v/>
      </c>
      <c r="L345" s="38">
        <f>IF($A345=0,$L344,IF($E345=1,$L344+1,IF($S345&lt;=1,$L344,0)))</f>
        <v/>
      </c>
      <c r="M345" s="38">
        <f>IF($A345=0,$M344,IF($F345=1,$M344+1,IF($T345&lt;=1,$M344,0)))</f>
        <v/>
      </c>
      <c r="N345" s="38">
        <f>IF($A345=0,$N344,IF($G345=1,$N344+1,IF($U345&lt;=1,$N344,0)))</f>
        <v/>
      </c>
      <c r="O345" s="38">
        <f>IF($A345=0,$O344,IF($H345=1,$O344+1,IF($V345&lt;=1,$O344,0)))</f>
        <v/>
      </c>
      <c r="P345" s="38">
        <f>IF($A345=0,0,0+IF($B345=1,0,1))</f>
        <v/>
      </c>
      <c r="Q345" s="38">
        <f>IF($A345=0,0,0+IF($C345=1,0,1))</f>
        <v/>
      </c>
      <c r="R345" s="38">
        <f>IF($A345=0,0,0+IF($D345=1,0,1))</f>
        <v/>
      </c>
      <c r="S345" s="38">
        <f>IF($A345=0,0,0+IF($E345=1,0,1))</f>
        <v/>
      </c>
      <c r="T345" s="38">
        <f>IF($A345=0,0,0+IF($F345=1,0,1))</f>
        <v/>
      </c>
      <c r="U345" s="38">
        <f>IF($A345=0,0,0+IF($G345=1,0,1))</f>
        <v/>
      </c>
      <c r="V345" s="38">
        <f>IF($A345=0,0,0+IF($H345=1,0,1))</f>
        <v/>
      </c>
      <c r="W345" s="38">
        <f>SUM($B345:$H345)</f>
        <v/>
      </c>
      <c r="X345" s="38">
        <f>IF(AND($A345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345=1),1,0)+IF(AND($G$1=7,$C345=1),1,0)+IF(AND($H$1=7,$D345=1),1,0)+IF(AND($I$1=7,$E345=1),1,0)+IF(AND($J$1=7,$F345=1),1,0)+IF(AND($K$1=7,$G345=1),1,0)+IF(AND($L$1=7,$H345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5" s="38">
        <f>IF($B345=1,IF($F$1&lt;7,10,IF(AND($F$1=7,$I344=0,0&gt;1),15,IF($I344&gt;=20,15,IF($I344&gt;=6,13,10)))),0)+IF($C345=1,IF($G$1&lt;7,10,IF(AND($G$1=7,$J344=0,0&gt;1),15,IF($J344&gt;=20,15,IF($J344&gt;=6,13,10)))),0)+IF($D345=1,IF($H$1&lt;7,10,IF(AND($H$1=7,$K344=0,0&gt;1),15,IF($K344&gt;=20,15,IF($K344&gt;=6,13,10)))),0)+IF($E345=1,IF($I$1&lt;7,10,IF(AND($I$1=7,$L344=0,0&gt;1),15,IF($L344&gt;=20,15,IF($L344&gt;=6,13,10)))),0)+IF($F345=1,IF($J$1&lt;7,10,IF(AND($J$1=7,$M344=0,0&gt;1),15,IF($M344&gt;=20,15,IF($M344&gt;=6,13,10)))),0)+IF($G345=1,IF($K$1&lt;7,10,IF(AND($K$1=7,$N344=0,0&gt;1),15,IF($N344&gt;=20,15,IF($N344&gt;=6,13,10)))),0)+IF($H345=1,IF($L$1&lt;7,10,IF(AND($L$1=7,$O344=0,0&gt;1),15,IF($O344&gt;=20,15,IF($O344&gt;=6,13,10)))),0)</f>
        <v/>
      </c>
      <c r="Z345" s="38">
        <f>$Z344+$Y345</f>
        <v/>
      </c>
      <c r="AA345" s="38">
        <f>IF(AND($B345=1,AND($F$1=7,$I344=0,0&gt;1)),1,0)+IF(AND($C345=1,AND($G$1=7,$J344=0,0&gt;1)),1,0)+IF(AND($D345=1,AND($H$1=7,$K344=0,0&gt;1)),1,0)+IF(AND($E345=1,AND($I$1=7,$L344=0,0&gt;1)),1,0)+IF(AND($F345=1,AND($J$1=7,$M344=0,0&gt;1)),1,0)+IF(AND($G345=1,AND($K$1=7,$N344=0,0&gt;1)),1,0)+IF(AND($H345=1,AND($L$1=7,$O344=0,0&gt;1)),1,0)</f>
        <v/>
      </c>
      <c r="AB345" s="38">
        <f>IF(IFERROR('Дек'!$I6,"")="",0,$AB344+1)</f>
        <v/>
      </c>
    </row>
    <row r="346" spans="1:28">
      <c r="A346" s="38">
        <f>IF($B$1&gt;=DATE(2026,12,2),1,0)</f>
        <v/>
      </c>
      <c r="B346" s="38">
        <f>IFERROR(IF('Дек'!$B7=TRUE,1,0),0)</f>
        <v/>
      </c>
      <c r="C346" s="38">
        <f>IFERROR(IF('Дек'!$C7=TRUE,1,0),0)</f>
        <v/>
      </c>
      <c r="D346" s="38">
        <f>IFERROR(IF('Дек'!$D7=TRUE,1,0),0)</f>
        <v/>
      </c>
      <c r="E346" s="38">
        <f>IFERROR(IF('Дек'!$E7=TRUE,1,0),0)</f>
        <v/>
      </c>
      <c r="F346" s="38">
        <f>IFERROR(IF('Дек'!$F7=TRUE,1,0),0)</f>
        <v/>
      </c>
      <c r="G346" s="38">
        <f>IFERROR(IF('Дек'!$G7=TRUE,1,0),0)</f>
        <v/>
      </c>
      <c r="H346" s="38">
        <f>IFERROR(IF('Дек'!$H7=TRUE,1,0),0)</f>
        <v/>
      </c>
      <c r="I346" s="38">
        <f>IF($A346=0,$I345,IF($B346=1,$I345+1,IF($P346&lt;=1,$I345,0)))</f>
        <v/>
      </c>
      <c r="J346" s="38">
        <f>IF($A346=0,$J345,IF($C346=1,$J345+1,IF($Q346&lt;=1,$J345,0)))</f>
        <v/>
      </c>
      <c r="K346" s="38">
        <f>IF($A346=0,$K345,IF($D346=1,$K345+1,IF($R346&lt;=1,$K345,0)))</f>
        <v/>
      </c>
      <c r="L346" s="38">
        <f>IF($A346=0,$L345,IF($E346=1,$L345+1,IF($S346&lt;=1,$L345,0)))</f>
        <v/>
      </c>
      <c r="M346" s="38">
        <f>IF($A346=0,$M345,IF($F346=1,$M345+1,IF($T346&lt;=1,$M345,0)))</f>
        <v/>
      </c>
      <c r="N346" s="38">
        <f>IF($A346=0,$N345,IF($G346=1,$N345+1,IF($U346&lt;=1,$N345,0)))</f>
        <v/>
      </c>
      <c r="O346" s="38">
        <f>IF($A346=0,$O345,IF($H346=1,$O345+1,IF($V346&lt;=1,$O345,0)))</f>
        <v/>
      </c>
      <c r="P346" s="38">
        <f>IF($A346=0,$P345,$P345+IF($B346=1,0,1))</f>
        <v/>
      </c>
      <c r="Q346" s="38">
        <f>IF($A346=0,$Q345,$Q345+IF($C346=1,0,1))</f>
        <v/>
      </c>
      <c r="R346" s="38">
        <f>IF($A346=0,$R345,$R345+IF($D346=1,0,1))</f>
        <v/>
      </c>
      <c r="S346" s="38">
        <f>IF($A346=0,$S345,$S345+IF($E346=1,0,1))</f>
        <v/>
      </c>
      <c r="T346" s="38">
        <f>IF($A346=0,$T345,$T345+IF($F346=1,0,1))</f>
        <v/>
      </c>
      <c r="U346" s="38">
        <f>IF($A346=0,$U345,$U345+IF($G346=1,0,1))</f>
        <v/>
      </c>
      <c r="V346" s="38">
        <f>IF($A346=0,$V345,$V345+IF($H346=1,0,1))</f>
        <v/>
      </c>
      <c r="W346" s="38">
        <f>SUM($B346:$H346)</f>
        <v/>
      </c>
      <c r="X346" s="38">
        <f>IF(AND($A346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346=1),1,0)+IF(AND($G$1=7,$C346=1),1,0)+IF(AND($H$1=7,$D346=1),1,0)+IF(AND($I$1=7,$E346=1),1,0)+IF(AND($J$1=7,$F346=1),1,0)+IF(AND($K$1=7,$G346=1),1,0)+IF(AND($L$1=7,$H346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6" s="38">
        <f>IF($B346=1,IF($F$1&lt;7,10,IF(AND($F$1=7,$I345=0,$P345&gt;1),15,IF($I345&gt;=20,15,IF($I345&gt;=6,13,10)))),0)+IF($C346=1,IF($G$1&lt;7,10,IF(AND($G$1=7,$J345=0,$Q345&gt;1),15,IF($J345&gt;=20,15,IF($J345&gt;=6,13,10)))),0)+IF($D346=1,IF($H$1&lt;7,10,IF(AND($H$1=7,$K345=0,$R345&gt;1),15,IF($K345&gt;=20,15,IF($K345&gt;=6,13,10)))),0)+IF($E346=1,IF($I$1&lt;7,10,IF(AND($I$1=7,$L345=0,$S345&gt;1),15,IF($L345&gt;=20,15,IF($L345&gt;=6,13,10)))),0)+IF($F346=1,IF($J$1&lt;7,10,IF(AND($J$1=7,$M345=0,$T345&gt;1),15,IF($M345&gt;=20,15,IF($M345&gt;=6,13,10)))),0)+IF($G346=1,IF($K$1&lt;7,10,IF(AND($K$1=7,$N345=0,$U345&gt;1),15,IF($N345&gt;=20,15,IF($N345&gt;=6,13,10)))),0)+IF($H346=1,IF($L$1&lt;7,10,IF(AND($L$1=7,$O345=0,$V345&gt;1),15,IF($O345&gt;=20,15,IF($O345&gt;=6,13,10)))),0)</f>
        <v/>
      </c>
      <c r="Z346" s="38">
        <f>$Z345+$Y346</f>
        <v/>
      </c>
      <c r="AA346" s="38">
        <f>IF(AND($B346=1,AND($F$1=7,$I345=0,$P345&gt;1)),1,0)+IF(AND($C346=1,AND($G$1=7,$J345=0,$Q345&gt;1)),1,0)+IF(AND($D346=1,AND($H$1=7,$K345=0,$R345&gt;1)),1,0)+IF(AND($E346=1,AND($I$1=7,$L345=0,$S345&gt;1)),1,0)+IF(AND($F346=1,AND($J$1=7,$M345=0,$T345&gt;1)),1,0)+IF(AND($G346=1,AND($K$1=7,$N345=0,$U345&gt;1)),1,0)+IF(AND($H346=1,AND($L$1=7,$O345=0,$V345&gt;1)),1,0)</f>
        <v/>
      </c>
      <c r="AB346" s="38">
        <f>IF(IFERROR('Дек'!$I7,"")="",0,$AB345+1)</f>
        <v/>
      </c>
    </row>
    <row r="347" spans="1:28">
      <c r="A347" s="38">
        <f>IF($B$1&gt;=DATE(2026,12,3),1,0)</f>
        <v/>
      </c>
      <c r="B347" s="38">
        <f>IFERROR(IF('Дек'!$B8=TRUE,1,0),0)</f>
        <v/>
      </c>
      <c r="C347" s="38">
        <f>IFERROR(IF('Дек'!$C8=TRUE,1,0),0)</f>
        <v/>
      </c>
      <c r="D347" s="38">
        <f>IFERROR(IF('Дек'!$D8=TRUE,1,0),0)</f>
        <v/>
      </c>
      <c r="E347" s="38">
        <f>IFERROR(IF('Дек'!$E8=TRUE,1,0),0)</f>
        <v/>
      </c>
      <c r="F347" s="38">
        <f>IFERROR(IF('Дек'!$F8=TRUE,1,0),0)</f>
        <v/>
      </c>
      <c r="G347" s="38">
        <f>IFERROR(IF('Дек'!$G8=TRUE,1,0),0)</f>
        <v/>
      </c>
      <c r="H347" s="38">
        <f>IFERROR(IF('Дек'!$H8=TRUE,1,0),0)</f>
        <v/>
      </c>
      <c r="I347" s="38">
        <f>IF($A347=0,$I346,IF($B347=1,$I346+1,IF($P347&lt;=1,$I346,0)))</f>
        <v/>
      </c>
      <c r="J347" s="38">
        <f>IF($A347=0,$J346,IF($C347=1,$J346+1,IF($Q347&lt;=1,$J346,0)))</f>
        <v/>
      </c>
      <c r="K347" s="38">
        <f>IF($A347=0,$K346,IF($D347=1,$K346+1,IF($R347&lt;=1,$K346,0)))</f>
        <v/>
      </c>
      <c r="L347" s="38">
        <f>IF($A347=0,$L346,IF($E347=1,$L346+1,IF($S347&lt;=1,$L346,0)))</f>
        <v/>
      </c>
      <c r="M347" s="38">
        <f>IF($A347=0,$M346,IF($F347=1,$M346+1,IF($T347&lt;=1,$M346,0)))</f>
        <v/>
      </c>
      <c r="N347" s="38">
        <f>IF($A347=0,$N346,IF($G347=1,$N346+1,IF($U347&lt;=1,$N346,0)))</f>
        <v/>
      </c>
      <c r="O347" s="38">
        <f>IF($A347=0,$O346,IF($H347=1,$O346+1,IF($V347&lt;=1,$O346,0)))</f>
        <v/>
      </c>
      <c r="P347" s="38">
        <f>IF($A347=0,$P346,$P346+IF($B347=1,0,1))</f>
        <v/>
      </c>
      <c r="Q347" s="38">
        <f>IF($A347=0,$Q346,$Q346+IF($C347=1,0,1))</f>
        <v/>
      </c>
      <c r="R347" s="38">
        <f>IF($A347=0,$R346,$R346+IF($D347=1,0,1))</f>
        <v/>
      </c>
      <c r="S347" s="38">
        <f>IF($A347=0,$S346,$S346+IF($E347=1,0,1))</f>
        <v/>
      </c>
      <c r="T347" s="38">
        <f>IF($A347=0,$T346,$T346+IF($F347=1,0,1))</f>
        <v/>
      </c>
      <c r="U347" s="38">
        <f>IF($A347=0,$U346,$U346+IF($G347=1,0,1))</f>
        <v/>
      </c>
      <c r="V347" s="38">
        <f>IF($A347=0,$V346,$V346+IF($H347=1,0,1))</f>
        <v/>
      </c>
      <c r="W347" s="38">
        <f>SUM($B347:$H347)</f>
        <v/>
      </c>
      <c r="X347" s="38">
        <f>IF(AND($A347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347=1),1,0)+IF(AND($G$1=7,$C347=1),1,0)+IF(AND($H$1=7,$D347=1),1,0)+IF(AND($I$1=7,$E347=1),1,0)+IF(AND($J$1=7,$F347=1),1,0)+IF(AND($K$1=7,$G347=1),1,0)+IF(AND($L$1=7,$H347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7" s="38">
        <f>IF($B347=1,IF($F$1&lt;7,10,IF(AND($F$1=7,$I346=0,$P346&gt;1),15,IF($I346&gt;=20,15,IF($I346&gt;=6,13,10)))),0)+IF($C347=1,IF($G$1&lt;7,10,IF(AND($G$1=7,$J346=0,$Q346&gt;1),15,IF($J346&gt;=20,15,IF($J346&gt;=6,13,10)))),0)+IF($D347=1,IF($H$1&lt;7,10,IF(AND($H$1=7,$K346=0,$R346&gt;1),15,IF($K346&gt;=20,15,IF($K346&gt;=6,13,10)))),0)+IF($E347=1,IF($I$1&lt;7,10,IF(AND($I$1=7,$L346=0,$S346&gt;1),15,IF($L346&gt;=20,15,IF($L346&gt;=6,13,10)))),0)+IF($F347=1,IF($J$1&lt;7,10,IF(AND($J$1=7,$M346=0,$T346&gt;1),15,IF($M346&gt;=20,15,IF($M346&gt;=6,13,10)))),0)+IF($G347=1,IF($K$1&lt;7,10,IF(AND($K$1=7,$N346=0,$U346&gt;1),15,IF($N346&gt;=20,15,IF($N346&gt;=6,13,10)))),0)+IF($H347=1,IF($L$1&lt;7,10,IF(AND($L$1=7,$O346=0,$V346&gt;1),15,IF($O346&gt;=20,15,IF($O346&gt;=6,13,10)))),0)</f>
        <v/>
      </c>
      <c r="Z347" s="38">
        <f>$Z346+$Y347</f>
        <v/>
      </c>
      <c r="AA347" s="38">
        <f>IF(AND($B347=1,AND($F$1=7,$I346=0,$P346&gt;1)),1,0)+IF(AND($C347=1,AND($G$1=7,$J346=0,$Q346&gt;1)),1,0)+IF(AND($D347=1,AND($H$1=7,$K346=0,$R346&gt;1)),1,0)+IF(AND($E347=1,AND($I$1=7,$L346=0,$S346&gt;1)),1,0)+IF(AND($F347=1,AND($J$1=7,$M346=0,$T346&gt;1)),1,0)+IF(AND($G347=1,AND($K$1=7,$N346=0,$U346&gt;1)),1,0)+IF(AND($H347=1,AND($L$1=7,$O346=0,$V346&gt;1)),1,0)</f>
        <v/>
      </c>
      <c r="AB347" s="38">
        <f>IF(IFERROR('Дек'!$I8,"")="",0,$AB346+1)</f>
        <v/>
      </c>
    </row>
    <row r="348" spans="1:28">
      <c r="A348" s="38">
        <f>IF($B$1&gt;=DATE(2026,12,4),1,0)</f>
        <v/>
      </c>
      <c r="B348" s="38">
        <f>IFERROR(IF('Дек'!$B9=TRUE,1,0),0)</f>
        <v/>
      </c>
      <c r="C348" s="38">
        <f>IFERROR(IF('Дек'!$C9=TRUE,1,0),0)</f>
        <v/>
      </c>
      <c r="D348" s="38">
        <f>IFERROR(IF('Дек'!$D9=TRUE,1,0),0)</f>
        <v/>
      </c>
      <c r="E348" s="38">
        <f>IFERROR(IF('Дек'!$E9=TRUE,1,0),0)</f>
        <v/>
      </c>
      <c r="F348" s="38">
        <f>IFERROR(IF('Дек'!$F9=TRUE,1,0),0)</f>
        <v/>
      </c>
      <c r="G348" s="38">
        <f>IFERROR(IF('Дек'!$G9=TRUE,1,0),0)</f>
        <v/>
      </c>
      <c r="H348" s="38">
        <f>IFERROR(IF('Дек'!$H9=TRUE,1,0),0)</f>
        <v/>
      </c>
      <c r="I348" s="38">
        <f>IF($A348=0,$I347,IF($B348=1,$I347+1,IF($P348&lt;=1,$I347,0)))</f>
        <v/>
      </c>
      <c r="J348" s="38">
        <f>IF($A348=0,$J347,IF($C348=1,$J347+1,IF($Q348&lt;=1,$J347,0)))</f>
        <v/>
      </c>
      <c r="K348" s="38">
        <f>IF($A348=0,$K347,IF($D348=1,$K347+1,IF($R348&lt;=1,$K347,0)))</f>
        <v/>
      </c>
      <c r="L348" s="38">
        <f>IF($A348=0,$L347,IF($E348=1,$L347+1,IF($S348&lt;=1,$L347,0)))</f>
        <v/>
      </c>
      <c r="M348" s="38">
        <f>IF($A348=0,$M347,IF($F348=1,$M347+1,IF($T348&lt;=1,$M347,0)))</f>
        <v/>
      </c>
      <c r="N348" s="38">
        <f>IF($A348=0,$N347,IF($G348=1,$N347+1,IF($U348&lt;=1,$N347,0)))</f>
        <v/>
      </c>
      <c r="O348" s="38">
        <f>IF($A348=0,$O347,IF($H348=1,$O347+1,IF($V348&lt;=1,$O347,0)))</f>
        <v/>
      </c>
      <c r="P348" s="38">
        <f>IF($A348=0,$P347,$P347+IF($B348=1,0,1))</f>
        <v/>
      </c>
      <c r="Q348" s="38">
        <f>IF($A348=0,$Q347,$Q347+IF($C348=1,0,1))</f>
        <v/>
      </c>
      <c r="R348" s="38">
        <f>IF($A348=0,$R347,$R347+IF($D348=1,0,1))</f>
        <v/>
      </c>
      <c r="S348" s="38">
        <f>IF($A348=0,$S347,$S347+IF($E348=1,0,1))</f>
        <v/>
      </c>
      <c r="T348" s="38">
        <f>IF($A348=0,$T347,$T347+IF($F348=1,0,1))</f>
        <v/>
      </c>
      <c r="U348" s="38">
        <f>IF($A348=0,$U347,$U347+IF($G348=1,0,1))</f>
        <v/>
      </c>
      <c r="V348" s="38">
        <f>IF($A348=0,$V347,$V347+IF($H348=1,0,1))</f>
        <v/>
      </c>
      <c r="W348" s="38">
        <f>SUM($B348:$H348)</f>
        <v/>
      </c>
      <c r="X348" s="38">
        <f>IF(AND($A348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348=1),1,0)+IF(AND($G$1=7,$C348=1),1,0)+IF(AND($H$1=7,$D348=1),1,0)+IF(AND($I$1=7,$E348=1),1,0)+IF(AND($J$1=7,$F348=1),1,0)+IF(AND($K$1=7,$G348=1),1,0)+IF(AND($L$1=7,$H348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8" s="38">
        <f>IF($B348=1,IF($F$1&lt;7,10,IF(AND($F$1=7,$I347=0,$P347&gt;1),15,IF($I347&gt;=20,15,IF($I347&gt;=6,13,10)))),0)+IF($C348=1,IF($G$1&lt;7,10,IF(AND($G$1=7,$J347=0,$Q347&gt;1),15,IF($J347&gt;=20,15,IF($J347&gt;=6,13,10)))),0)+IF($D348=1,IF($H$1&lt;7,10,IF(AND($H$1=7,$K347=0,$R347&gt;1),15,IF($K347&gt;=20,15,IF($K347&gt;=6,13,10)))),0)+IF($E348=1,IF($I$1&lt;7,10,IF(AND($I$1=7,$L347=0,$S347&gt;1),15,IF($L347&gt;=20,15,IF($L347&gt;=6,13,10)))),0)+IF($F348=1,IF($J$1&lt;7,10,IF(AND($J$1=7,$M347=0,$T347&gt;1),15,IF($M347&gt;=20,15,IF($M347&gt;=6,13,10)))),0)+IF($G348=1,IF($K$1&lt;7,10,IF(AND($K$1=7,$N347=0,$U347&gt;1),15,IF($N347&gt;=20,15,IF($N347&gt;=6,13,10)))),0)+IF($H348=1,IF($L$1&lt;7,10,IF(AND($L$1=7,$O347=0,$V347&gt;1),15,IF($O347&gt;=20,15,IF($O347&gt;=6,13,10)))),0)</f>
        <v/>
      </c>
      <c r="Z348" s="38">
        <f>$Z347+$Y348</f>
        <v/>
      </c>
      <c r="AA348" s="38">
        <f>IF(AND($B348=1,AND($F$1=7,$I347=0,$P347&gt;1)),1,0)+IF(AND($C348=1,AND($G$1=7,$J347=0,$Q347&gt;1)),1,0)+IF(AND($D348=1,AND($H$1=7,$K347=0,$R347&gt;1)),1,0)+IF(AND($E348=1,AND($I$1=7,$L347=0,$S347&gt;1)),1,0)+IF(AND($F348=1,AND($J$1=7,$M347=0,$T347&gt;1)),1,0)+IF(AND($G348=1,AND($K$1=7,$N347=0,$U347&gt;1)),1,0)+IF(AND($H348=1,AND($L$1=7,$O347=0,$V347&gt;1)),1,0)</f>
        <v/>
      </c>
      <c r="AB348" s="38">
        <f>IF(IFERROR('Дек'!$I9,"")="",0,$AB347+1)</f>
        <v/>
      </c>
    </row>
    <row r="349" spans="1:28">
      <c r="A349" s="38">
        <f>IF($B$1&gt;=DATE(2026,12,5),1,0)</f>
        <v/>
      </c>
      <c r="B349" s="38">
        <f>IFERROR(IF('Дек'!$B10=TRUE,1,0),0)</f>
        <v/>
      </c>
      <c r="C349" s="38">
        <f>IFERROR(IF('Дек'!$C10=TRUE,1,0),0)</f>
        <v/>
      </c>
      <c r="D349" s="38">
        <f>IFERROR(IF('Дек'!$D10=TRUE,1,0),0)</f>
        <v/>
      </c>
      <c r="E349" s="38">
        <f>IFERROR(IF('Дек'!$E10=TRUE,1,0),0)</f>
        <v/>
      </c>
      <c r="F349" s="38">
        <f>IFERROR(IF('Дек'!$F10=TRUE,1,0),0)</f>
        <v/>
      </c>
      <c r="G349" s="38">
        <f>IFERROR(IF('Дек'!$G10=TRUE,1,0),0)</f>
        <v/>
      </c>
      <c r="H349" s="38">
        <f>IFERROR(IF('Дек'!$H10=TRUE,1,0),0)</f>
        <v/>
      </c>
      <c r="I349" s="38">
        <f>IF($A349=0,$I348,IF($B349=1,$I348+1,IF($P349&lt;=1,$I348,0)))</f>
        <v/>
      </c>
      <c r="J349" s="38">
        <f>IF($A349=0,$J348,IF($C349=1,$J348+1,IF($Q349&lt;=1,$J348,0)))</f>
        <v/>
      </c>
      <c r="K349" s="38">
        <f>IF($A349=0,$K348,IF($D349=1,$K348+1,IF($R349&lt;=1,$K348,0)))</f>
        <v/>
      </c>
      <c r="L349" s="38">
        <f>IF($A349=0,$L348,IF($E349=1,$L348+1,IF($S349&lt;=1,$L348,0)))</f>
        <v/>
      </c>
      <c r="M349" s="38">
        <f>IF($A349=0,$M348,IF($F349=1,$M348+1,IF($T349&lt;=1,$M348,0)))</f>
        <v/>
      </c>
      <c r="N349" s="38">
        <f>IF($A349=0,$N348,IF($G349=1,$N348+1,IF($U349&lt;=1,$N348,0)))</f>
        <v/>
      </c>
      <c r="O349" s="38">
        <f>IF($A349=0,$O348,IF($H349=1,$O348+1,IF($V349&lt;=1,$O348,0)))</f>
        <v/>
      </c>
      <c r="P349" s="38">
        <f>IF($A349=0,$P348,$P348+IF($B349=1,0,1))</f>
        <v/>
      </c>
      <c r="Q349" s="38">
        <f>IF($A349=0,$Q348,$Q348+IF($C349=1,0,1))</f>
        <v/>
      </c>
      <c r="R349" s="38">
        <f>IF($A349=0,$R348,$R348+IF($D349=1,0,1))</f>
        <v/>
      </c>
      <c r="S349" s="38">
        <f>IF($A349=0,$S348,$S348+IF($E349=1,0,1))</f>
        <v/>
      </c>
      <c r="T349" s="38">
        <f>IF($A349=0,$T348,$T348+IF($F349=1,0,1))</f>
        <v/>
      </c>
      <c r="U349" s="38">
        <f>IF($A349=0,$U348,$U348+IF($G349=1,0,1))</f>
        <v/>
      </c>
      <c r="V349" s="38">
        <f>IF($A349=0,$V348,$V348+IF($H349=1,0,1))</f>
        <v/>
      </c>
      <c r="W349" s="38">
        <f>SUM($B349:$H349)</f>
        <v/>
      </c>
      <c r="X349" s="38">
        <f>IF(AND($A349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349=1),1,0)+IF(AND($G$1=7,$C349=1),1,0)+IF(AND($H$1=7,$D349=1),1,0)+IF(AND($I$1=7,$E349=1),1,0)+IF(AND($J$1=7,$F349=1),1,0)+IF(AND($K$1=7,$G349=1),1,0)+IF(AND($L$1=7,$H349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9" s="38">
        <f>IF($B349=1,IF($F$1&lt;7,10,IF(AND($F$1=7,$I348=0,$P348&gt;1),15,IF($I348&gt;=20,15,IF($I348&gt;=6,13,10)))),0)+IF($C349=1,IF($G$1&lt;7,10,IF(AND($G$1=7,$J348=0,$Q348&gt;1),15,IF($J348&gt;=20,15,IF($J348&gt;=6,13,10)))),0)+IF($D349=1,IF($H$1&lt;7,10,IF(AND($H$1=7,$K348=0,$R348&gt;1),15,IF($K348&gt;=20,15,IF($K348&gt;=6,13,10)))),0)+IF($E349=1,IF($I$1&lt;7,10,IF(AND($I$1=7,$L348=0,$S348&gt;1),15,IF($L348&gt;=20,15,IF($L348&gt;=6,13,10)))),0)+IF($F349=1,IF($J$1&lt;7,10,IF(AND($J$1=7,$M348=0,$T348&gt;1),15,IF($M348&gt;=20,15,IF($M348&gt;=6,13,10)))),0)+IF($G349=1,IF($K$1&lt;7,10,IF(AND($K$1=7,$N348=0,$U348&gt;1),15,IF($N348&gt;=20,15,IF($N348&gt;=6,13,10)))),0)+IF($H349=1,IF($L$1&lt;7,10,IF(AND($L$1=7,$O348=0,$V348&gt;1),15,IF($O348&gt;=20,15,IF($O348&gt;=6,13,10)))),0)</f>
        <v/>
      </c>
      <c r="Z349" s="38">
        <f>$Z348+$Y349</f>
        <v/>
      </c>
      <c r="AA349" s="38">
        <f>IF(AND($B349=1,AND($F$1=7,$I348=0,$P348&gt;1)),1,0)+IF(AND($C349=1,AND($G$1=7,$J348=0,$Q348&gt;1)),1,0)+IF(AND($D349=1,AND($H$1=7,$K348=0,$R348&gt;1)),1,0)+IF(AND($E349=1,AND($I$1=7,$L348=0,$S348&gt;1)),1,0)+IF(AND($F349=1,AND($J$1=7,$M348=0,$T348&gt;1)),1,0)+IF(AND($G349=1,AND($K$1=7,$N348=0,$U348&gt;1)),1,0)+IF(AND($H349=1,AND($L$1=7,$O348=0,$V348&gt;1)),1,0)</f>
        <v/>
      </c>
      <c r="AB349" s="38">
        <f>IF(IFERROR('Дек'!$I10,"")="",0,$AB348+1)</f>
        <v/>
      </c>
    </row>
    <row r="350" spans="1:28">
      <c r="A350" s="38">
        <f>IF($B$1&gt;=DATE(2026,12,6),1,0)</f>
        <v/>
      </c>
      <c r="B350" s="38">
        <f>IFERROR(IF('Дек'!$B11=TRUE,1,0),0)</f>
        <v/>
      </c>
      <c r="C350" s="38">
        <f>IFERROR(IF('Дек'!$C11=TRUE,1,0),0)</f>
        <v/>
      </c>
      <c r="D350" s="38">
        <f>IFERROR(IF('Дек'!$D11=TRUE,1,0),0)</f>
        <v/>
      </c>
      <c r="E350" s="38">
        <f>IFERROR(IF('Дек'!$E11=TRUE,1,0),0)</f>
        <v/>
      </c>
      <c r="F350" s="38">
        <f>IFERROR(IF('Дек'!$F11=TRUE,1,0),0)</f>
        <v/>
      </c>
      <c r="G350" s="38">
        <f>IFERROR(IF('Дек'!$G11=TRUE,1,0),0)</f>
        <v/>
      </c>
      <c r="H350" s="38">
        <f>IFERROR(IF('Дек'!$H11=TRUE,1,0),0)</f>
        <v/>
      </c>
      <c r="I350" s="38">
        <f>IF($A350=0,$I349,IF($B350=1,$I349+1,IF($P350&lt;=1,$I349,0)))</f>
        <v/>
      </c>
      <c r="J350" s="38">
        <f>IF($A350=0,$J349,IF($C350=1,$J349+1,IF($Q350&lt;=1,$J349,0)))</f>
        <v/>
      </c>
      <c r="K350" s="38">
        <f>IF($A350=0,$K349,IF($D350=1,$K349+1,IF($R350&lt;=1,$K349,0)))</f>
        <v/>
      </c>
      <c r="L350" s="38">
        <f>IF($A350=0,$L349,IF($E350=1,$L349+1,IF($S350&lt;=1,$L349,0)))</f>
        <v/>
      </c>
      <c r="M350" s="38">
        <f>IF($A350=0,$M349,IF($F350=1,$M349+1,IF($T350&lt;=1,$M349,0)))</f>
        <v/>
      </c>
      <c r="N350" s="38">
        <f>IF($A350=0,$N349,IF($G350=1,$N349+1,IF($U350&lt;=1,$N349,0)))</f>
        <v/>
      </c>
      <c r="O350" s="38">
        <f>IF($A350=0,$O349,IF($H350=1,$O349+1,IF($V350&lt;=1,$O349,0)))</f>
        <v/>
      </c>
      <c r="P350" s="38">
        <f>IF($A350=0,$P349,$P349+IF($B350=1,0,1))</f>
        <v/>
      </c>
      <c r="Q350" s="38">
        <f>IF($A350=0,$Q349,$Q349+IF($C350=1,0,1))</f>
        <v/>
      </c>
      <c r="R350" s="38">
        <f>IF($A350=0,$R349,$R349+IF($D350=1,0,1))</f>
        <v/>
      </c>
      <c r="S350" s="38">
        <f>IF($A350=0,$S349,$S349+IF($E350=1,0,1))</f>
        <v/>
      </c>
      <c r="T350" s="38">
        <f>IF($A350=0,$T349,$T349+IF($F350=1,0,1))</f>
        <v/>
      </c>
      <c r="U350" s="38">
        <f>IF($A350=0,$U349,$U349+IF($G350=1,0,1))</f>
        <v/>
      </c>
      <c r="V350" s="38">
        <f>IF($A350=0,$V349,$V349+IF($H350=1,0,1))</f>
        <v/>
      </c>
      <c r="W350" s="38">
        <f>SUM($B350:$H350)</f>
        <v/>
      </c>
      <c r="X350" s="38">
        <f>IF(AND($A350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350=1),1,0)+IF(AND($G$1=7,$C350=1),1,0)+IF(AND($H$1=7,$D350=1),1,0)+IF(AND($I$1=7,$E350=1),1,0)+IF(AND($J$1=7,$F350=1),1,0)+IF(AND($K$1=7,$G350=1),1,0)+IF(AND($L$1=7,$H350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0" s="38">
        <f>IF($B350=1,IF($F$1&lt;7,10,IF(AND($F$1=7,$I349=0,$P349&gt;1),15,IF($I349&gt;=20,15,IF($I349&gt;=6,13,10)))),0)+IF($C350=1,IF($G$1&lt;7,10,IF(AND($G$1=7,$J349=0,$Q349&gt;1),15,IF($J349&gt;=20,15,IF($J349&gt;=6,13,10)))),0)+IF($D350=1,IF($H$1&lt;7,10,IF(AND($H$1=7,$K349=0,$R349&gt;1),15,IF($K349&gt;=20,15,IF($K349&gt;=6,13,10)))),0)+IF($E350=1,IF($I$1&lt;7,10,IF(AND($I$1=7,$L349=0,$S349&gt;1),15,IF($L349&gt;=20,15,IF($L349&gt;=6,13,10)))),0)+IF($F350=1,IF($J$1&lt;7,10,IF(AND($J$1=7,$M349=0,$T349&gt;1),15,IF($M349&gt;=20,15,IF($M349&gt;=6,13,10)))),0)+IF($G350=1,IF($K$1&lt;7,10,IF(AND($K$1=7,$N349=0,$U349&gt;1),15,IF($N349&gt;=20,15,IF($N349&gt;=6,13,10)))),0)+IF($H350=1,IF($L$1&lt;7,10,IF(AND($L$1=7,$O349=0,$V349&gt;1),15,IF($O349&gt;=20,15,IF($O349&gt;=6,13,10)))),0)</f>
        <v/>
      </c>
      <c r="Z350" s="38">
        <f>$Z349+$Y350</f>
        <v/>
      </c>
      <c r="AA350" s="38">
        <f>IF(AND($B350=1,AND($F$1=7,$I349=0,$P349&gt;1)),1,0)+IF(AND($C350=1,AND($G$1=7,$J349=0,$Q349&gt;1)),1,0)+IF(AND($D350=1,AND($H$1=7,$K349=0,$R349&gt;1)),1,0)+IF(AND($E350=1,AND($I$1=7,$L349=0,$S349&gt;1)),1,0)+IF(AND($F350=1,AND($J$1=7,$M349=0,$T349&gt;1)),1,0)+IF(AND($G350=1,AND($K$1=7,$N349=0,$U349&gt;1)),1,0)+IF(AND($H350=1,AND($L$1=7,$O349=0,$V349&gt;1)),1,0)</f>
        <v/>
      </c>
      <c r="AB350" s="38">
        <f>IF(IFERROR('Дек'!$I11,"")="",0,$AB349+1)</f>
        <v/>
      </c>
    </row>
    <row r="351" spans="1:28">
      <c r="A351" s="38">
        <f>IF($B$1&gt;=DATE(2026,12,7),1,0)</f>
        <v/>
      </c>
      <c r="B351" s="38">
        <f>IFERROR(IF('Дек'!$B12=TRUE,1,0),0)</f>
        <v/>
      </c>
      <c r="C351" s="38">
        <f>IFERROR(IF('Дек'!$C12=TRUE,1,0),0)</f>
        <v/>
      </c>
      <c r="D351" s="38">
        <f>IFERROR(IF('Дек'!$D12=TRUE,1,0),0)</f>
        <v/>
      </c>
      <c r="E351" s="38">
        <f>IFERROR(IF('Дек'!$E12=TRUE,1,0),0)</f>
        <v/>
      </c>
      <c r="F351" s="38">
        <f>IFERROR(IF('Дек'!$F12=TRUE,1,0),0)</f>
        <v/>
      </c>
      <c r="G351" s="38">
        <f>IFERROR(IF('Дек'!$G12=TRUE,1,0),0)</f>
        <v/>
      </c>
      <c r="H351" s="38">
        <f>IFERROR(IF('Дек'!$H12=TRUE,1,0),0)</f>
        <v/>
      </c>
      <c r="I351" s="38">
        <f>IF($A351=0,$I350,IF($B351=1,$I350+1,IF($P351&lt;=1,$I350,0)))</f>
        <v/>
      </c>
      <c r="J351" s="38">
        <f>IF($A351=0,$J350,IF($C351=1,$J350+1,IF($Q351&lt;=1,$J350,0)))</f>
        <v/>
      </c>
      <c r="K351" s="38">
        <f>IF($A351=0,$K350,IF($D351=1,$K350+1,IF($R351&lt;=1,$K350,0)))</f>
        <v/>
      </c>
      <c r="L351" s="38">
        <f>IF($A351=0,$L350,IF($E351=1,$L350+1,IF($S351&lt;=1,$L350,0)))</f>
        <v/>
      </c>
      <c r="M351" s="38">
        <f>IF($A351=0,$M350,IF($F351=1,$M350+1,IF($T351&lt;=1,$M350,0)))</f>
        <v/>
      </c>
      <c r="N351" s="38">
        <f>IF($A351=0,$N350,IF($G351=1,$N350+1,IF($U351&lt;=1,$N350,0)))</f>
        <v/>
      </c>
      <c r="O351" s="38">
        <f>IF($A351=0,$O350,IF($H351=1,$O350+1,IF($V351&lt;=1,$O350,0)))</f>
        <v/>
      </c>
      <c r="P351" s="38">
        <f>IF($A351=0,$P350,$P350+IF($B351=1,0,1))</f>
        <v/>
      </c>
      <c r="Q351" s="38">
        <f>IF($A351=0,$Q350,$Q350+IF($C351=1,0,1))</f>
        <v/>
      </c>
      <c r="R351" s="38">
        <f>IF($A351=0,$R350,$R350+IF($D351=1,0,1))</f>
        <v/>
      </c>
      <c r="S351" s="38">
        <f>IF($A351=0,$S350,$S350+IF($E351=1,0,1))</f>
        <v/>
      </c>
      <c r="T351" s="38">
        <f>IF($A351=0,$T350,$T350+IF($F351=1,0,1))</f>
        <v/>
      </c>
      <c r="U351" s="38">
        <f>IF($A351=0,$U350,$U350+IF($G351=1,0,1))</f>
        <v/>
      </c>
      <c r="V351" s="38">
        <f>IF($A351=0,$V350,$V350+IF($H351=1,0,1))</f>
        <v/>
      </c>
      <c r="W351" s="38">
        <f>SUM($B351:$H351)</f>
        <v/>
      </c>
      <c r="X351" s="38">
        <f>IF(AND($A351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351=1),1,0)+IF(AND($G$1=7,$C351=1),1,0)+IF(AND($H$1=7,$D351=1),1,0)+IF(AND($I$1=7,$E351=1),1,0)+IF(AND($J$1=7,$F351=1),1,0)+IF(AND($K$1=7,$G351=1),1,0)+IF(AND($L$1=7,$H351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1" s="38">
        <f>IF($B351=1,IF($F$1&lt;7,10,IF(AND($F$1=7,$I350=0,$P350&gt;1),15,IF($I350&gt;=20,15,IF($I350&gt;=6,13,10)))),0)+IF($C351=1,IF($G$1&lt;7,10,IF(AND($G$1=7,$J350=0,$Q350&gt;1),15,IF($J350&gt;=20,15,IF($J350&gt;=6,13,10)))),0)+IF($D351=1,IF($H$1&lt;7,10,IF(AND($H$1=7,$K350=0,$R350&gt;1),15,IF($K350&gt;=20,15,IF($K350&gt;=6,13,10)))),0)+IF($E351=1,IF($I$1&lt;7,10,IF(AND($I$1=7,$L350=0,$S350&gt;1),15,IF($L350&gt;=20,15,IF($L350&gt;=6,13,10)))),0)+IF($F351=1,IF($J$1&lt;7,10,IF(AND($J$1=7,$M350=0,$T350&gt;1),15,IF($M350&gt;=20,15,IF($M350&gt;=6,13,10)))),0)+IF($G351=1,IF($K$1&lt;7,10,IF(AND($K$1=7,$N350=0,$U350&gt;1),15,IF($N350&gt;=20,15,IF($N350&gt;=6,13,10)))),0)+IF($H351=1,IF($L$1&lt;7,10,IF(AND($L$1=7,$O350=0,$V350&gt;1),15,IF($O350&gt;=20,15,IF($O350&gt;=6,13,10)))),0)</f>
        <v/>
      </c>
      <c r="Z351" s="38">
        <f>$Z350+$Y351</f>
        <v/>
      </c>
      <c r="AA351" s="38">
        <f>IF(AND($B351=1,AND($F$1=7,$I350=0,$P350&gt;1)),1,0)+IF(AND($C351=1,AND($G$1=7,$J350=0,$Q350&gt;1)),1,0)+IF(AND($D351=1,AND($H$1=7,$K350=0,$R350&gt;1)),1,0)+IF(AND($E351=1,AND($I$1=7,$L350=0,$S350&gt;1)),1,0)+IF(AND($F351=1,AND($J$1=7,$M350=0,$T350&gt;1)),1,0)+IF(AND($G351=1,AND($K$1=7,$N350=0,$U350&gt;1)),1,0)+IF(AND($H351=1,AND($L$1=7,$O350=0,$V350&gt;1)),1,0)</f>
        <v/>
      </c>
      <c r="AB351" s="38">
        <f>IF(IFERROR('Дек'!$I12,"")="",0,$AB350+1)</f>
        <v/>
      </c>
    </row>
    <row r="352" spans="1:28">
      <c r="A352" s="38">
        <f>IF($B$1&gt;=DATE(2026,12,8),1,0)</f>
        <v/>
      </c>
      <c r="B352" s="38">
        <f>IFERROR(IF('Дек'!$B13=TRUE,1,0),0)</f>
        <v/>
      </c>
      <c r="C352" s="38">
        <f>IFERROR(IF('Дек'!$C13=TRUE,1,0),0)</f>
        <v/>
      </c>
      <c r="D352" s="38">
        <f>IFERROR(IF('Дек'!$D13=TRUE,1,0),0)</f>
        <v/>
      </c>
      <c r="E352" s="38">
        <f>IFERROR(IF('Дек'!$E13=TRUE,1,0),0)</f>
        <v/>
      </c>
      <c r="F352" s="38">
        <f>IFERROR(IF('Дек'!$F13=TRUE,1,0),0)</f>
        <v/>
      </c>
      <c r="G352" s="38">
        <f>IFERROR(IF('Дек'!$G13=TRUE,1,0),0)</f>
        <v/>
      </c>
      <c r="H352" s="38">
        <f>IFERROR(IF('Дек'!$H13=TRUE,1,0),0)</f>
        <v/>
      </c>
      <c r="I352" s="38">
        <f>IF($A352=0,$I351,IF($B352=1,$I351+1,IF($P352&lt;=1,$I351,0)))</f>
        <v/>
      </c>
      <c r="J352" s="38">
        <f>IF($A352=0,$J351,IF($C352=1,$J351+1,IF($Q352&lt;=1,$J351,0)))</f>
        <v/>
      </c>
      <c r="K352" s="38">
        <f>IF($A352=0,$K351,IF($D352=1,$K351+1,IF($R352&lt;=1,$K351,0)))</f>
        <v/>
      </c>
      <c r="L352" s="38">
        <f>IF($A352=0,$L351,IF($E352=1,$L351+1,IF($S352&lt;=1,$L351,0)))</f>
        <v/>
      </c>
      <c r="M352" s="38">
        <f>IF($A352=0,$M351,IF($F352=1,$M351+1,IF($T352&lt;=1,$M351,0)))</f>
        <v/>
      </c>
      <c r="N352" s="38">
        <f>IF($A352=0,$N351,IF($G352=1,$N351+1,IF($U352&lt;=1,$N351,0)))</f>
        <v/>
      </c>
      <c r="O352" s="38">
        <f>IF($A352=0,$O351,IF($H352=1,$O351+1,IF($V352&lt;=1,$O351,0)))</f>
        <v/>
      </c>
      <c r="P352" s="38">
        <f>IF($A352=0,$P351,$P351+IF($B352=1,0,1))</f>
        <v/>
      </c>
      <c r="Q352" s="38">
        <f>IF($A352=0,$Q351,$Q351+IF($C352=1,0,1))</f>
        <v/>
      </c>
      <c r="R352" s="38">
        <f>IF($A352=0,$R351,$R351+IF($D352=1,0,1))</f>
        <v/>
      </c>
      <c r="S352" s="38">
        <f>IF($A352=0,$S351,$S351+IF($E352=1,0,1))</f>
        <v/>
      </c>
      <c r="T352" s="38">
        <f>IF($A352=0,$T351,$T351+IF($F352=1,0,1))</f>
        <v/>
      </c>
      <c r="U352" s="38">
        <f>IF($A352=0,$U351,$U351+IF($G352=1,0,1))</f>
        <v/>
      </c>
      <c r="V352" s="38">
        <f>IF($A352=0,$V351,$V351+IF($H352=1,0,1))</f>
        <v/>
      </c>
      <c r="W352" s="38">
        <f>SUM($B352:$H352)</f>
        <v/>
      </c>
      <c r="X352" s="38">
        <f>IF(AND($A352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352=1),1,0)+IF(AND($G$1=7,$C352=1),1,0)+IF(AND($H$1=7,$D352=1),1,0)+IF(AND($I$1=7,$E352=1),1,0)+IF(AND($J$1=7,$F352=1),1,0)+IF(AND($K$1=7,$G352=1),1,0)+IF(AND($L$1=7,$H352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2" s="38">
        <f>IF($B352=1,IF($F$1&lt;7,10,IF(AND($F$1=7,$I351=0,$P351&gt;1),15,IF($I351&gt;=20,15,IF($I351&gt;=6,13,10)))),0)+IF($C352=1,IF($G$1&lt;7,10,IF(AND($G$1=7,$J351=0,$Q351&gt;1),15,IF($J351&gt;=20,15,IF($J351&gt;=6,13,10)))),0)+IF($D352=1,IF($H$1&lt;7,10,IF(AND($H$1=7,$K351=0,$R351&gt;1),15,IF($K351&gt;=20,15,IF($K351&gt;=6,13,10)))),0)+IF($E352=1,IF($I$1&lt;7,10,IF(AND($I$1=7,$L351=0,$S351&gt;1),15,IF($L351&gt;=20,15,IF($L351&gt;=6,13,10)))),0)+IF($F352=1,IF($J$1&lt;7,10,IF(AND($J$1=7,$M351=0,$T351&gt;1),15,IF($M351&gt;=20,15,IF($M351&gt;=6,13,10)))),0)+IF($G352=1,IF($K$1&lt;7,10,IF(AND($K$1=7,$N351=0,$U351&gt;1),15,IF($N351&gt;=20,15,IF($N351&gt;=6,13,10)))),0)+IF($H352=1,IF($L$1&lt;7,10,IF(AND($L$1=7,$O351=0,$V351&gt;1),15,IF($O351&gt;=20,15,IF($O351&gt;=6,13,10)))),0)</f>
        <v/>
      </c>
      <c r="Z352" s="38">
        <f>$Z351+$Y352</f>
        <v/>
      </c>
      <c r="AA352" s="38">
        <f>IF(AND($B352=1,AND($F$1=7,$I351=0,$P351&gt;1)),1,0)+IF(AND($C352=1,AND($G$1=7,$J351=0,$Q351&gt;1)),1,0)+IF(AND($D352=1,AND($H$1=7,$K351=0,$R351&gt;1)),1,0)+IF(AND($E352=1,AND($I$1=7,$L351=0,$S351&gt;1)),1,0)+IF(AND($F352=1,AND($J$1=7,$M351=0,$T351&gt;1)),1,0)+IF(AND($G352=1,AND($K$1=7,$N351=0,$U351&gt;1)),1,0)+IF(AND($H352=1,AND($L$1=7,$O351=0,$V351&gt;1)),1,0)</f>
        <v/>
      </c>
      <c r="AB352" s="38">
        <f>IF(IFERROR('Дек'!$I13,"")="",0,$AB351+1)</f>
        <v/>
      </c>
    </row>
    <row r="353" spans="1:28">
      <c r="A353" s="38">
        <f>IF($B$1&gt;=DATE(2026,12,9),1,0)</f>
        <v/>
      </c>
      <c r="B353" s="38">
        <f>IFERROR(IF('Дек'!$B14=TRUE,1,0),0)</f>
        <v/>
      </c>
      <c r="C353" s="38">
        <f>IFERROR(IF('Дек'!$C14=TRUE,1,0),0)</f>
        <v/>
      </c>
      <c r="D353" s="38">
        <f>IFERROR(IF('Дек'!$D14=TRUE,1,0),0)</f>
        <v/>
      </c>
      <c r="E353" s="38">
        <f>IFERROR(IF('Дек'!$E14=TRUE,1,0),0)</f>
        <v/>
      </c>
      <c r="F353" s="38">
        <f>IFERROR(IF('Дек'!$F14=TRUE,1,0),0)</f>
        <v/>
      </c>
      <c r="G353" s="38">
        <f>IFERROR(IF('Дек'!$G14=TRUE,1,0),0)</f>
        <v/>
      </c>
      <c r="H353" s="38">
        <f>IFERROR(IF('Дек'!$H14=TRUE,1,0),0)</f>
        <v/>
      </c>
      <c r="I353" s="38">
        <f>IF($A353=0,$I352,IF($B353=1,$I352+1,IF($P353&lt;=1,$I352,0)))</f>
        <v/>
      </c>
      <c r="J353" s="38">
        <f>IF($A353=0,$J352,IF($C353=1,$J352+1,IF($Q353&lt;=1,$J352,0)))</f>
        <v/>
      </c>
      <c r="K353" s="38">
        <f>IF($A353=0,$K352,IF($D353=1,$K352+1,IF($R353&lt;=1,$K352,0)))</f>
        <v/>
      </c>
      <c r="L353" s="38">
        <f>IF($A353=0,$L352,IF($E353=1,$L352+1,IF($S353&lt;=1,$L352,0)))</f>
        <v/>
      </c>
      <c r="M353" s="38">
        <f>IF($A353=0,$M352,IF($F353=1,$M352+1,IF($T353&lt;=1,$M352,0)))</f>
        <v/>
      </c>
      <c r="N353" s="38">
        <f>IF($A353=0,$N352,IF($G353=1,$N352+1,IF($U353&lt;=1,$N352,0)))</f>
        <v/>
      </c>
      <c r="O353" s="38">
        <f>IF($A353=0,$O352,IF($H353=1,$O352+1,IF($V353&lt;=1,$O352,0)))</f>
        <v/>
      </c>
      <c r="P353" s="38">
        <f>IF($A353=0,$P352,$P352+IF($B353=1,0,1))</f>
        <v/>
      </c>
      <c r="Q353" s="38">
        <f>IF($A353=0,$Q352,$Q352+IF($C353=1,0,1))</f>
        <v/>
      </c>
      <c r="R353" s="38">
        <f>IF($A353=0,$R352,$R352+IF($D353=1,0,1))</f>
        <v/>
      </c>
      <c r="S353" s="38">
        <f>IF($A353=0,$S352,$S352+IF($E353=1,0,1))</f>
        <v/>
      </c>
      <c r="T353" s="38">
        <f>IF($A353=0,$T352,$T352+IF($F353=1,0,1))</f>
        <v/>
      </c>
      <c r="U353" s="38">
        <f>IF($A353=0,$U352,$U352+IF($G353=1,0,1))</f>
        <v/>
      </c>
      <c r="V353" s="38">
        <f>IF($A353=0,$V352,$V352+IF($H353=1,0,1))</f>
        <v/>
      </c>
      <c r="W353" s="38">
        <f>SUM($B353:$H353)</f>
        <v/>
      </c>
      <c r="X353" s="38">
        <f>IF(AND($A353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353=1),1,0)+IF(AND($G$1=7,$C353=1),1,0)+IF(AND($H$1=7,$D353=1),1,0)+IF(AND($I$1=7,$E353=1),1,0)+IF(AND($J$1=7,$F353=1),1,0)+IF(AND($K$1=7,$G353=1),1,0)+IF(AND($L$1=7,$H353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3" s="38">
        <f>IF($B353=1,IF($F$1&lt;7,10,IF(AND($F$1=7,$I352=0,$P352&gt;1),15,IF($I352&gt;=20,15,IF($I352&gt;=6,13,10)))),0)+IF($C353=1,IF($G$1&lt;7,10,IF(AND($G$1=7,$J352=0,$Q352&gt;1),15,IF($J352&gt;=20,15,IF($J352&gt;=6,13,10)))),0)+IF($D353=1,IF($H$1&lt;7,10,IF(AND($H$1=7,$K352=0,$R352&gt;1),15,IF($K352&gt;=20,15,IF($K352&gt;=6,13,10)))),0)+IF($E353=1,IF($I$1&lt;7,10,IF(AND($I$1=7,$L352=0,$S352&gt;1),15,IF($L352&gt;=20,15,IF($L352&gt;=6,13,10)))),0)+IF($F353=1,IF($J$1&lt;7,10,IF(AND($J$1=7,$M352=0,$T352&gt;1),15,IF($M352&gt;=20,15,IF($M352&gt;=6,13,10)))),0)+IF($G353=1,IF($K$1&lt;7,10,IF(AND($K$1=7,$N352=0,$U352&gt;1),15,IF($N352&gt;=20,15,IF($N352&gt;=6,13,10)))),0)+IF($H353=1,IF($L$1&lt;7,10,IF(AND($L$1=7,$O352=0,$V352&gt;1),15,IF($O352&gt;=20,15,IF($O352&gt;=6,13,10)))),0)</f>
        <v/>
      </c>
      <c r="Z353" s="38">
        <f>$Z352+$Y353</f>
        <v/>
      </c>
      <c r="AA353" s="38">
        <f>IF(AND($B353=1,AND($F$1=7,$I352=0,$P352&gt;1)),1,0)+IF(AND($C353=1,AND($G$1=7,$J352=0,$Q352&gt;1)),1,0)+IF(AND($D353=1,AND($H$1=7,$K352=0,$R352&gt;1)),1,0)+IF(AND($E353=1,AND($I$1=7,$L352=0,$S352&gt;1)),1,0)+IF(AND($F353=1,AND($J$1=7,$M352=0,$T352&gt;1)),1,0)+IF(AND($G353=1,AND($K$1=7,$N352=0,$U352&gt;1)),1,0)+IF(AND($H353=1,AND($L$1=7,$O352=0,$V352&gt;1)),1,0)</f>
        <v/>
      </c>
      <c r="AB353" s="38">
        <f>IF(IFERROR('Дек'!$I14,"")="",0,$AB352+1)</f>
        <v/>
      </c>
    </row>
    <row r="354" spans="1:28">
      <c r="A354" s="38">
        <f>IF($B$1&gt;=DATE(2026,12,10),1,0)</f>
        <v/>
      </c>
      <c r="B354" s="38">
        <f>IFERROR(IF('Дек'!$B15=TRUE,1,0),0)</f>
        <v/>
      </c>
      <c r="C354" s="38">
        <f>IFERROR(IF('Дек'!$C15=TRUE,1,0),0)</f>
        <v/>
      </c>
      <c r="D354" s="38">
        <f>IFERROR(IF('Дек'!$D15=TRUE,1,0),0)</f>
        <v/>
      </c>
      <c r="E354" s="38">
        <f>IFERROR(IF('Дек'!$E15=TRUE,1,0),0)</f>
        <v/>
      </c>
      <c r="F354" s="38">
        <f>IFERROR(IF('Дек'!$F15=TRUE,1,0),0)</f>
        <v/>
      </c>
      <c r="G354" s="38">
        <f>IFERROR(IF('Дек'!$G15=TRUE,1,0),0)</f>
        <v/>
      </c>
      <c r="H354" s="38">
        <f>IFERROR(IF('Дек'!$H15=TRUE,1,0),0)</f>
        <v/>
      </c>
      <c r="I354" s="38">
        <f>IF($A354=0,$I353,IF($B354=1,$I353+1,IF($P354&lt;=1,$I353,0)))</f>
        <v/>
      </c>
      <c r="J354" s="38">
        <f>IF($A354=0,$J353,IF($C354=1,$J353+1,IF($Q354&lt;=1,$J353,0)))</f>
        <v/>
      </c>
      <c r="K354" s="38">
        <f>IF($A354=0,$K353,IF($D354=1,$K353+1,IF($R354&lt;=1,$K353,0)))</f>
        <v/>
      </c>
      <c r="L354" s="38">
        <f>IF($A354=0,$L353,IF($E354=1,$L353+1,IF($S354&lt;=1,$L353,0)))</f>
        <v/>
      </c>
      <c r="M354" s="38">
        <f>IF($A354=0,$M353,IF($F354=1,$M353+1,IF($T354&lt;=1,$M353,0)))</f>
        <v/>
      </c>
      <c r="N354" s="38">
        <f>IF($A354=0,$N353,IF($G354=1,$N353+1,IF($U354&lt;=1,$N353,0)))</f>
        <v/>
      </c>
      <c r="O354" s="38">
        <f>IF($A354=0,$O353,IF($H354=1,$O353+1,IF($V354&lt;=1,$O353,0)))</f>
        <v/>
      </c>
      <c r="P354" s="38">
        <f>IF($A354=0,$P353,$P353+IF($B354=1,0,1))</f>
        <v/>
      </c>
      <c r="Q354" s="38">
        <f>IF($A354=0,$Q353,$Q353+IF($C354=1,0,1))</f>
        <v/>
      </c>
      <c r="R354" s="38">
        <f>IF($A354=0,$R353,$R353+IF($D354=1,0,1))</f>
        <v/>
      </c>
      <c r="S354" s="38">
        <f>IF($A354=0,$S353,$S353+IF($E354=1,0,1))</f>
        <v/>
      </c>
      <c r="T354" s="38">
        <f>IF($A354=0,$T353,$T353+IF($F354=1,0,1))</f>
        <v/>
      </c>
      <c r="U354" s="38">
        <f>IF($A354=0,$U353,$U353+IF($G354=1,0,1))</f>
        <v/>
      </c>
      <c r="V354" s="38">
        <f>IF($A354=0,$V353,$V353+IF($H354=1,0,1))</f>
        <v/>
      </c>
      <c r="W354" s="38">
        <f>SUM($B354:$H354)</f>
        <v/>
      </c>
      <c r="X354" s="38">
        <f>IF(AND($A354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354=1),1,0)+IF(AND($G$1=7,$C354=1),1,0)+IF(AND($H$1=7,$D354=1),1,0)+IF(AND($I$1=7,$E354=1),1,0)+IF(AND($J$1=7,$F354=1),1,0)+IF(AND($K$1=7,$G354=1),1,0)+IF(AND($L$1=7,$H354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4" s="38">
        <f>IF($B354=1,IF($F$1&lt;7,10,IF(AND($F$1=7,$I353=0,$P353&gt;1),15,IF($I353&gt;=20,15,IF($I353&gt;=6,13,10)))),0)+IF($C354=1,IF($G$1&lt;7,10,IF(AND($G$1=7,$J353=0,$Q353&gt;1),15,IF($J353&gt;=20,15,IF($J353&gt;=6,13,10)))),0)+IF($D354=1,IF($H$1&lt;7,10,IF(AND($H$1=7,$K353=0,$R353&gt;1),15,IF($K353&gt;=20,15,IF($K353&gt;=6,13,10)))),0)+IF($E354=1,IF($I$1&lt;7,10,IF(AND($I$1=7,$L353=0,$S353&gt;1),15,IF($L353&gt;=20,15,IF($L353&gt;=6,13,10)))),0)+IF($F354=1,IF($J$1&lt;7,10,IF(AND($J$1=7,$M353=0,$T353&gt;1),15,IF($M353&gt;=20,15,IF($M353&gt;=6,13,10)))),0)+IF($G354=1,IF($K$1&lt;7,10,IF(AND($K$1=7,$N353=0,$U353&gt;1),15,IF($N353&gt;=20,15,IF($N353&gt;=6,13,10)))),0)+IF($H354=1,IF($L$1&lt;7,10,IF(AND($L$1=7,$O353=0,$V353&gt;1),15,IF($O353&gt;=20,15,IF($O353&gt;=6,13,10)))),0)</f>
        <v/>
      </c>
      <c r="Z354" s="38">
        <f>$Z353+$Y354</f>
        <v/>
      </c>
      <c r="AA354" s="38">
        <f>IF(AND($B354=1,AND($F$1=7,$I353=0,$P353&gt;1)),1,0)+IF(AND($C354=1,AND($G$1=7,$J353=0,$Q353&gt;1)),1,0)+IF(AND($D354=1,AND($H$1=7,$K353=0,$R353&gt;1)),1,0)+IF(AND($E354=1,AND($I$1=7,$L353=0,$S353&gt;1)),1,0)+IF(AND($F354=1,AND($J$1=7,$M353=0,$T353&gt;1)),1,0)+IF(AND($G354=1,AND($K$1=7,$N353=0,$U353&gt;1)),1,0)+IF(AND($H354=1,AND($L$1=7,$O353=0,$V353&gt;1)),1,0)</f>
        <v/>
      </c>
      <c r="AB354" s="38">
        <f>IF(IFERROR('Дек'!$I15,"")="",0,$AB353+1)</f>
        <v/>
      </c>
    </row>
    <row r="355" spans="1:28">
      <c r="A355" s="38">
        <f>IF($B$1&gt;=DATE(2026,12,11),1,0)</f>
        <v/>
      </c>
      <c r="B355" s="38">
        <f>IFERROR(IF('Дек'!$B16=TRUE,1,0),0)</f>
        <v/>
      </c>
      <c r="C355" s="38">
        <f>IFERROR(IF('Дек'!$C16=TRUE,1,0),0)</f>
        <v/>
      </c>
      <c r="D355" s="38">
        <f>IFERROR(IF('Дек'!$D16=TRUE,1,0),0)</f>
        <v/>
      </c>
      <c r="E355" s="38">
        <f>IFERROR(IF('Дек'!$E16=TRUE,1,0),0)</f>
        <v/>
      </c>
      <c r="F355" s="38">
        <f>IFERROR(IF('Дек'!$F16=TRUE,1,0),0)</f>
        <v/>
      </c>
      <c r="G355" s="38">
        <f>IFERROR(IF('Дек'!$G16=TRUE,1,0),0)</f>
        <v/>
      </c>
      <c r="H355" s="38">
        <f>IFERROR(IF('Дек'!$H16=TRUE,1,0),0)</f>
        <v/>
      </c>
      <c r="I355" s="38">
        <f>IF($A355=0,$I354,IF($B355=1,$I354+1,IF($P355&lt;=1,$I354,0)))</f>
        <v/>
      </c>
      <c r="J355" s="38">
        <f>IF($A355=0,$J354,IF($C355=1,$J354+1,IF($Q355&lt;=1,$J354,0)))</f>
        <v/>
      </c>
      <c r="K355" s="38">
        <f>IF($A355=0,$K354,IF($D355=1,$K354+1,IF($R355&lt;=1,$K354,0)))</f>
        <v/>
      </c>
      <c r="L355" s="38">
        <f>IF($A355=0,$L354,IF($E355=1,$L354+1,IF($S355&lt;=1,$L354,0)))</f>
        <v/>
      </c>
      <c r="M355" s="38">
        <f>IF($A355=0,$M354,IF($F355=1,$M354+1,IF($T355&lt;=1,$M354,0)))</f>
        <v/>
      </c>
      <c r="N355" s="38">
        <f>IF($A355=0,$N354,IF($G355=1,$N354+1,IF($U355&lt;=1,$N354,0)))</f>
        <v/>
      </c>
      <c r="O355" s="38">
        <f>IF($A355=0,$O354,IF($H355=1,$O354+1,IF($V355&lt;=1,$O354,0)))</f>
        <v/>
      </c>
      <c r="P355" s="38">
        <f>IF($A355=0,$P354,$P354+IF($B355=1,0,1))</f>
        <v/>
      </c>
      <c r="Q355" s="38">
        <f>IF($A355=0,$Q354,$Q354+IF($C355=1,0,1))</f>
        <v/>
      </c>
      <c r="R355" s="38">
        <f>IF($A355=0,$R354,$R354+IF($D355=1,0,1))</f>
        <v/>
      </c>
      <c r="S355" s="38">
        <f>IF($A355=0,$S354,$S354+IF($E355=1,0,1))</f>
        <v/>
      </c>
      <c r="T355" s="38">
        <f>IF($A355=0,$T354,$T354+IF($F355=1,0,1))</f>
        <v/>
      </c>
      <c r="U355" s="38">
        <f>IF($A355=0,$U354,$U354+IF($G355=1,0,1))</f>
        <v/>
      </c>
      <c r="V355" s="38">
        <f>IF($A355=0,$V354,$V354+IF($H355=1,0,1))</f>
        <v/>
      </c>
      <c r="W355" s="38">
        <f>SUM($B355:$H355)</f>
        <v/>
      </c>
      <c r="X355" s="38">
        <f>IF(AND($A355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355=1),1,0)+IF(AND($G$1=7,$C355=1),1,0)+IF(AND($H$1=7,$D355=1),1,0)+IF(AND($I$1=7,$E355=1),1,0)+IF(AND($J$1=7,$F355=1),1,0)+IF(AND($K$1=7,$G355=1),1,0)+IF(AND($L$1=7,$H355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5" s="38">
        <f>IF($B355=1,IF($F$1&lt;7,10,IF(AND($F$1=7,$I354=0,$P354&gt;1),15,IF($I354&gt;=20,15,IF($I354&gt;=6,13,10)))),0)+IF($C355=1,IF($G$1&lt;7,10,IF(AND($G$1=7,$J354=0,$Q354&gt;1),15,IF($J354&gt;=20,15,IF($J354&gt;=6,13,10)))),0)+IF($D355=1,IF($H$1&lt;7,10,IF(AND($H$1=7,$K354=0,$R354&gt;1),15,IF($K354&gt;=20,15,IF($K354&gt;=6,13,10)))),0)+IF($E355=1,IF($I$1&lt;7,10,IF(AND($I$1=7,$L354=0,$S354&gt;1),15,IF($L354&gt;=20,15,IF($L354&gt;=6,13,10)))),0)+IF($F355=1,IF($J$1&lt;7,10,IF(AND($J$1=7,$M354=0,$T354&gt;1),15,IF($M354&gt;=20,15,IF($M354&gt;=6,13,10)))),0)+IF($G355=1,IF($K$1&lt;7,10,IF(AND($K$1=7,$N354=0,$U354&gt;1),15,IF($N354&gt;=20,15,IF($N354&gt;=6,13,10)))),0)+IF($H355=1,IF($L$1&lt;7,10,IF(AND($L$1=7,$O354=0,$V354&gt;1),15,IF($O354&gt;=20,15,IF($O354&gt;=6,13,10)))),0)</f>
        <v/>
      </c>
      <c r="Z355" s="38">
        <f>$Z354+$Y355</f>
        <v/>
      </c>
      <c r="AA355" s="38">
        <f>IF(AND($B355=1,AND($F$1=7,$I354=0,$P354&gt;1)),1,0)+IF(AND($C355=1,AND($G$1=7,$J354=0,$Q354&gt;1)),1,0)+IF(AND($D355=1,AND($H$1=7,$K354=0,$R354&gt;1)),1,0)+IF(AND($E355=1,AND($I$1=7,$L354=0,$S354&gt;1)),1,0)+IF(AND($F355=1,AND($J$1=7,$M354=0,$T354&gt;1)),1,0)+IF(AND($G355=1,AND($K$1=7,$N354=0,$U354&gt;1)),1,0)+IF(AND($H355=1,AND($L$1=7,$O354=0,$V354&gt;1)),1,0)</f>
        <v/>
      </c>
      <c r="AB355" s="38">
        <f>IF(IFERROR('Дек'!$I16,"")="",0,$AB354+1)</f>
        <v/>
      </c>
    </row>
    <row r="356" spans="1:28">
      <c r="A356" s="38">
        <f>IF($B$1&gt;=DATE(2026,12,12),1,0)</f>
        <v/>
      </c>
      <c r="B356" s="38">
        <f>IFERROR(IF('Дек'!$B17=TRUE,1,0),0)</f>
        <v/>
      </c>
      <c r="C356" s="38">
        <f>IFERROR(IF('Дек'!$C17=TRUE,1,0),0)</f>
        <v/>
      </c>
      <c r="D356" s="38">
        <f>IFERROR(IF('Дек'!$D17=TRUE,1,0),0)</f>
        <v/>
      </c>
      <c r="E356" s="38">
        <f>IFERROR(IF('Дек'!$E17=TRUE,1,0),0)</f>
        <v/>
      </c>
      <c r="F356" s="38">
        <f>IFERROR(IF('Дек'!$F17=TRUE,1,0),0)</f>
        <v/>
      </c>
      <c r="G356" s="38">
        <f>IFERROR(IF('Дек'!$G17=TRUE,1,0),0)</f>
        <v/>
      </c>
      <c r="H356" s="38">
        <f>IFERROR(IF('Дек'!$H17=TRUE,1,0),0)</f>
        <v/>
      </c>
      <c r="I356" s="38">
        <f>IF($A356=0,$I355,IF($B356=1,$I355+1,IF($P356&lt;=1,$I355,0)))</f>
        <v/>
      </c>
      <c r="J356" s="38">
        <f>IF($A356=0,$J355,IF($C356=1,$J355+1,IF($Q356&lt;=1,$J355,0)))</f>
        <v/>
      </c>
      <c r="K356" s="38">
        <f>IF($A356=0,$K355,IF($D356=1,$K355+1,IF($R356&lt;=1,$K355,0)))</f>
        <v/>
      </c>
      <c r="L356" s="38">
        <f>IF($A356=0,$L355,IF($E356=1,$L355+1,IF($S356&lt;=1,$L355,0)))</f>
        <v/>
      </c>
      <c r="M356" s="38">
        <f>IF($A356=0,$M355,IF($F356=1,$M355+1,IF($T356&lt;=1,$M355,0)))</f>
        <v/>
      </c>
      <c r="N356" s="38">
        <f>IF($A356=0,$N355,IF($G356=1,$N355+1,IF($U356&lt;=1,$N355,0)))</f>
        <v/>
      </c>
      <c r="O356" s="38">
        <f>IF($A356=0,$O355,IF($H356=1,$O355+1,IF($V356&lt;=1,$O355,0)))</f>
        <v/>
      </c>
      <c r="P356" s="38">
        <f>IF($A356=0,$P355,$P355+IF($B356=1,0,1))</f>
        <v/>
      </c>
      <c r="Q356" s="38">
        <f>IF($A356=0,$Q355,$Q355+IF($C356=1,0,1))</f>
        <v/>
      </c>
      <c r="R356" s="38">
        <f>IF($A356=0,$R355,$R355+IF($D356=1,0,1))</f>
        <v/>
      </c>
      <c r="S356" s="38">
        <f>IF($A356=0,$S355,$S355+IF($E356=1,0,1))</f>
        <v/>
      </c>
      <c r="T356" s="38">
        <f>IF($A356=0,$T355,$T355+IF($F356=1,0,1))</f>
        <v/>
      </c>
      <c r="U356" s="38">
        <f>IF($A356=0,$U355,$U355+IF($G356=1,0,1))</f>
        <v/>
      </c>
      <c r="V356" s="38">
        <f>IF($A356=0,$V355,$V355+IF($H356=1,0,1))</f>
        <v/>
      </c>
      <c r="W356" s="38">
        <f>SUM($B356:$H356)</f>
        <v/>
      </c>
      <c r="X356" s="38">
        <f>IF(AND($A356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356=1),1,0)+IF(AND($G$1=7,$C356=1),1,0)+IF(AND($H$1=7,$D356=1),1,0)+IF(AND($I$1=7,$E356=1),1,0)+IF(AND($J$1=7,$F356=1),1,0)+IF(AND($K$1=7,$G356=1),1,0)+IF(AND($L$1=7,$H356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6" s="38">
        <f>IF($B356=1,IF($F$1&lt;7,10,IF(AND($F$1=7,$I355=0,$P355&gt;1),15,IF($I355&gt;=20,15,IF($I355&gt;=6,13,10)))),0)+IF($C356=1,IF($G$1&lt;7,10,IF(AND($G$1=7,$J355=0,$Q355&gt;1),15,IF($J355&gt;=20,15,IF($J355&gt;=6,13,10)))),0)+IF($D356=1,IF($H$1&lt;7,10,IF(AND($H$1=7,$K355=0,$R355&gt;1),15,IF($K355&gt;=20,15,IF($K355&gt;=6,13,10)))),0)+IF($E356=1,IF($I$1&lt;7,10,IF(AND($I$1=7,$L355=0,$S355&gt;1),15,IF($L355&gt;=20,15,IF($L355&gt;=6,13,10)))),0)+IF($F356=1,IF($J$1&lt;7,10,IF(AND($J$1=7,$M355=0,$T355&gt;1),15,IF($M355&gt;=20,15,IF($M355&gt;=6,13,10)))),0)+IF($G356=1,IF($K$1&lt;7,10,IF(AND($K$1=7,$N355=0,$U355&gt;1),15,IF($N355&gt;=20,15,IF($N355&gt;=6,13,10)))),0)+IF($H356=1,IF($L$1&lt;7,10,IF(AND($L$1=7,$O355=0,$V355&gt;1),15,IF($O355&gt;=20,15,IF($O355&gt;=6,13,10)))),0)</f>
        <v/>
      </c>
      <c r="Z356" s="38">
        <f>$Z355+$Y356</f>
        <v/>
      </c>
      <c r="AA356" s="38">
        <f>IF(AND($B356=1,AND($F$1=7,$I355=0,$P355&gt;1)),1,0)+IF(AND($C356=1,AND($G$1=7,$J355=0,$Q355&gt;1)),1,0)+IF(AND($D356=1,AND($H$1=7,$K355=0,$R355&gt;1)),1,0)+IF(AND($E356=1,AND($I$1=7,$L355=0,$S355&gt;1)),1,0)+IF(AND($F356=1,AND($J$1=7,$M355=0,$T355&gt;1)),1,0)+IF(AND($G356=1,AND($K$1=7,$N355=0,$U355&gt;1)),1,0)+IF(AND($H356=1,AND($L$1=7,$O355=0,$V355&gt;1)),1,0)</f>
        <v/>
      </c>
      <c r="AB356" s="38">
        <f>IF(IFERROR('Дек'!$I17,"")="",0,$AB355+1)</f>
        <v/>
      </c>
    </row>
    <row r="357" spans="1:28">
      <c r="A357" s="38">
        <f>IF($B$1&gt;=DATE(2026,12,13),1,0)</f>
        <v/>
      </c>
      <c r="B357" s="38">
        <f>IFERROR(IF('Дек'!$B18=TRUE,1,0),0)</f>
        <v/>
      </c>
      <c r="C357" s="38">
        <f>IFERROR(IF('Дек'!$C18=TRUE,1,0),0)</f>
        <v/>
      </c>
      <c r="D357" s="38">
        <f>IFERROR(IF('Дек'!$D18=TRUE,1,0),0)</f>
        <v/>
      </c>
      <c r="E357" s="38">
        <f>IFERROR(IF('Дек'!$E18=TRUE,1,0),0)</f>
        <v/>
      </c>
      <c r="F357" s="38">
        <f>IFERROR(IF('Дек'!$F18=TRUE,1,0),0)</f>
        <v/>
      </c>
      <c r="G357" s="38">
        <f>IFERROR(IF('Дек'!$G18=TRUE,1,0),0)</f>
        <v/>
      </c>
      <c r="H357" s="38">
        <f>IFERROR(IF('Дек'!$H18=TRUE,1,0),0)</f>
        <v/>
      </c>
      <c r="I357" s="38">
        <f>IF($A357=0,$I356,IF($B357=1,$I356+1,IF($P357&lt;=1,$I356,0)))</f>
        <v/>
      </c>
      <c r="J357" s="38">
        <f>IF($A357=0,$J356,IF($C357=1,$J356+1,IF($Q357&lt;=1,$J356,0)))</f>
        <v/>
      </c>
      <c r="K357" s="38">
        <f>IF($A357=0,$K356,IF($D357=1,$K356+1,IF($R357&lt;=1,$K356,0)))</f>
        <v/>
      </c>
      <c r="L357" s="38">
        <f>IF($A357=0,$L356,IF($E357=1,$L356+1,IF($S357&lt;=1,$L356,0)))</f>
        <v/>
      </c>
      <c r="M357" s="38">
        <f>IF($A357=0,$M356,IF($F357=1,$M356+1,IF($T357&lt;=1,$M356,0)))</f>
        <v/>
      </c>
      <c r="N357" s="38">
        <f>IF($A357=0,$N356,IF($G357=1,$N356+1,IF($U357&lt;=1,$N356,0)))</f>
        <v/>
      </c>
      <c r="O357" s="38">
        <f>IF($A357=0,$O356,IF($H357=1,$O356+1,IF($V357&lt;=1,$O356,0)))</f>
        <v/>
      </c>
      <c r="P357" s="38">
        <f>IF($A357=0,$P356,$P356+IF($B357=1,0,1))</f>
        <v/>
      </c>
      <c r="Q357" s="38">
        <f>IF($A357=0,$Q356,$Q356+IF($C357=1,0,1))</f>
        <v/>
      </c>
      <c r="R357" s="38">
        <f>IF($A357=0,$R356,$R356+IF($D357=1,0,1))</f>
        <v/>
      </c>
      <c r="S357" s="38">
        <f>IF($A357=0,$S356,$S356+IF($E357=1,0,1))</f>
        <v/>
      </c>
      <c r="T357" s="38">
        <f>IF($A357=0,$T356,$T356+IF($F357=1,0,1))</f>
        <v/>
      </c>
      <c r="U357" s="38">
        <f>IF($A357=0,$U356,$U356+IF($G357=1,0,1))</f>
        <v/>
      </c>
      <c r="V357" s="38">
        <f>IF($A357=0,$V356,$V356+IF($H357=1,0,1))</f>
        <v/>
      </c>
      <c r="W357" s="38">
        <f>SUM($B357:$H357)</f>
        <v/>
      </c>
      <c r="X357" s="38">
        <f>IF(AND($A357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357=1),1,0)+IF(AND($G$1=7,$C357=1),1,0)+IF(AND($H$1=7,$D357=1),1,0)+IF(AND($I$1=7,$E357=1),1,0)+IF(AND($J$1=7,$F357=1),1,0)+IF(AND($K$1=7,$G357=1),1,0)+IF(AND($L$1=7,$H357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7" s="38">
        <f>IF($B357=1,IF($F$1&lt;7,10,IF(AND($F$1=7,$I356=0,$P356&gt;1),15,IF($I356&gt;=20,15,IF($I356&gt;=6,13,10)))),0)+IF($C357=1,IF($G$1&lt;7,10,IF(AND($G$1=7,$J356=0,$Q356&gt;1),15,IF($J356&gt;=20,15,IF($J356&gt;=6,13,10)))),0)+IF($D357=1,IF($H$1&lt;7,10,IF(AND($H$1=7,$K356=0,$R356&gt;1),15,IF($K356&gt;=20,15,IF($K356&gt;=6,13,10)))),0)+IF($E357=1,IF($I$1&lt;7,10,IF(AND($I$1=7,$L356=0,$S356&gt;1),15,IF($L356&gt;=20,15,IF($L356&gt;=6,13,10)))),0)+IF($F357=1,IF($J$1&lt;7,10,IF(AND($J$1=7,$M356=0,$T356&gt;1),15,IF($M356&gt;=20,15,IF($M356&gt;=6,13,10)))),0)+IF($G357=1,IF($K$1&lt;7,10,IF(AND($K$1=7,$N356=0,$U356&gt;1),15,IF($N356&gt;=20,15,IF($N356&gt;=6,13,10)))),0)+IF($H357=1,IF($L$1&lt;7,10,IF(AND($L$1=7,$O356=0,$V356&gt;1),15,IF($O356&gt;=20,15,IF($O356&gt;=6,13,10)))),0)</f>
        <v/>
      </c>
      <c r="Z357" s="38">
        <f>$Z356+$Y357</f>
        <v/>
      </c>
      <c r="AA357" s="38">
        <f>IF(AND($B357=1,AND($F$1=7,$I356=0,$P356&gt;1)),1,0)+IF(AND($C357=1,AND($G$1=7,$J356=0,$Q356&gt;1)),1,0)+IF(AND($D357=1,AND($H$1=7,$K356=0,$R356&gt;1)),1,0)+IF(AND($E357=1,AND($I$1=7,$L356=0,$S356&gt;1)),1,0)+IF(AND($F357=1,AND($J$1=7,$M356=0,$T356&gt;1)),1,0)+IF(AND($G357=1,AND($K$1=7,$N356=0,$U356&gt;1)),1,0)+IF(AND($H357=1,AND($L$1=7,$O356=0,$V356&gt;1)),1,0)</f>
        <v/>
      </c>
      <c r="AB357" s="38">
        <f>IF(IFERROR('Дек'!$I18,"")="",0,$AB356+1)</f>
        <v/>
      </c>
    </row>
    <row r="358" spans="1:28">
      <c r="A358" s="38">
        <f>IF($B$1&gt;=DATE(2026,12,14),1,0)</f>
        <v/>
      </c>
      <c r="B358" s="38">
        <f>IFERROR(IF('Дек'!$B19=TRUE,1,0),0)</f>
        <v/>
      </c>
      <c r="C358" s="38">
        <f>IFERROR(IF('Дек'!$C19=TRUE,1,0),0)</f>
        <v/>
      </c>
      <c r="D358" s="38">
        <f>IFERROR(IF('Дек'!$D19=TRUE,1,0),0)</f>
        <v/>
      </c>
      <c r="E358" s="38">
        <f>IFERROR(IF('Дек'!$E19=TRUE,1,0),0)</f>
        <v/>
      </c>
      <c r="F358" s="38">
        <f>IFERROR(IF('Дек'!$F19=TRUE,1,0),0)</f>
        <v/>
      </c>
      <c r="G358" s="38">
        <f>IFERROR(IF('Дек'!$G19=TRUE,1,0),0)</f>
        <v/>
      </c>
      <c r="H358" s="38">
        <f>IFERROR(IF('Дек'!$H19=TRUE,1,0),0)</f>
        <v/>
      </c>
      <c r="I358" s="38">
        <f>IF($A358=0,$I357,IF($B358=1,$I357+1,IF($P358&lt;=1,$I357,0)))</f>
        <v/>
      </c>
      <c r="J358" s="38">
        <f>IF($A358=0,$J357,IF($C358=1,$J357+1,IF($Q358&lt;=1,$J357,0)))</f>
        <v/>
      </c>
      <c r="K358" s="38">
        <f>IF($A358=0,$K357,IF($D358=1,$K357+1,IF($R358&lt;=1,$K357,0)))</f>
        <v/>
      </c>
      <c r="L358" s="38">
        <f>IF($A358=0,$L357,IF($E358=1,$L357+1,IF($S358&lt;=1,$L357,0)))</f>
        <v/>
      </c>
      <c r="M358" s="38">
        <f>IF($A358=0,$M357,IF($F358=1,$M357+1,IF($T358&lt;=1,$M357,0)))</f>
        <v/>
      </c>
      <c r="N358" s="38">
        <f>IF($A358=0,$N357,IF($G358=1,$N357+1,IF($U358&lt;=1,$N357,0)))</f>
        <v/>
      </c>
      <c r="O358" s="38">
        <f>IF($A358=0,$O357,IF($H358=1,$O357+1,IF($V358&lt;=1,$O357,0)))</f>
        <v/>
      </c>
      <c r="P358" s="38">
        <f>IF($A358=0,$P357,$P357+IF($B358=1,0,1))</f>
        <v/>
      </c>
      <c r="Q358" s="38">
        <f>IF($A358=0,$Q357,$Q357+IF($C358=1,0,1))</f>
        <v/>
      </c>
      <c r="R358" s="38">
        <f>IF($A358=0,$R357,$R357+IF($D358=1,0,1))</f>
        <v/>
      </c>
      <c r="S358" s="38">
        <f>IF($A358=0,$S357,$S357+IF($E358=1,0,1))</f>
        <v/>
      </c>
      <c r="T358" s="38">
        <f>IF($A358=0,$T357,$T357+IF($F358=1,0,1))</f>
        <v/>
      </c>
      <c r="U358" s="38">
        <f>IF($A358=0,$U357,$U357+IF($G358=1,0,1))</f>
        <v/>
      </c>
      <c r="V358" s="38">
        <f>IF($A358=0,$V357,$V357+IF($H358=1,0,1))</f>
        <v/>
      </c>
      <c r="W358" s="38">
        <f>SUM($B358:$H358)</f>
        <v/>
      </c>
      <c r="X358" s="38">
        <f>IF(AND($A358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358=1),1,0)+IF(AND($G$1=7,$C358=1),1,0)+IF(AND($H$1=7,$D358=1),1,0)+IF(AND($I$1=7,$E358=1),1,0)+IF(AND($J$1=7,$F358=1),1,0)+IF(AND($K$1=7,$G358=1),1,0)+IF(AND($L$1=7,$H358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8" s="38">
        <f>IF($B358=1,IF($F$1&lt;7,10,IF(AND($F$1=7,$I357=0,$P357&gt;1),15,IF($I357&gt;=20,15,IF($I357&gt;=6,13,10)))),0)+IF($C358=1,IF($G$1&lt;7,10,IF(AND($G$1=7,$J357=0,$Q357&gt;1),15,IF($J357&gt;=20,15,IF($J357&gt;=6,13,10)))),0)+IF($D358=1,IF($H$1&lt;7,10,IF(AND($H$1=7,$K357=0,$R357&gt;1),15,IF($K357&gt;=20,15,IF($K357&gt;=6,13,10)))),0)+IF($E358=1,IF($I$1&lt;7,10,IF(AND($I$1=7,$L357=0,$S357&gt;1),15,IF($L357&gt;=20,15,IF($L357&gt;=6,13,10)))),0)+IF($F358=1,IF($J$1&lt;7,10,IF(AND($J$1=7,$M357=0,$T357&gt;1),15,IF($M357&gt;=20,15,IF($M357&gt;=6,13,10)))),0)+IF($G358=1,IF($K$1&lt;7,10,IF(AND($K$1=7,$N357=0,$U357&gt;1),15,IF($N357&gt;=20,15,IF($N357&gt;=6,13,10)))),0)+IF($H358=1,IF($L$1&lt;7,10,IF(AND($L$1=7,$O357=0,$V357&gt;1),15,IF($O357&gt;=20,15,IF($O357&gt;=6,13,10)))),0)</f>
        <v/>
      </c>
      <c r="Z358" s="38">
        <f>$Z357+$Y358</f>
        <v/>
      </c>
      <c r="AA358" s="38">
        <f>IF(AND($B358=1,AND($F$1=7,$I357=0,$P357&gt;1)),1,0)+IF(AND($C358=1,AND($G$1=7,$J357=0,$Q357&gt;1)),1,0)+IF(AND($D358=1,AND($H$1=7,$K357=0,$R357&gt;1)),1,0)+IF(AND($E358=1,AND($I$1=7,$L357=0,$S357&gt;1)),1,0)+IF(AND($F358=1,AND($J$1=7,$M357=0,$T357&gt;1)),1,0)+IF(AND($G358=1,AND($K$1=7,$N357=0,$U357&gt;1)),1,0)+IF(AND($H358=1,AND($L$1=7,$O357=0,$V357&gt;1)),1,0)</f>
        <v/>
      </c>
      <c r="AB358" s="38">
        <f>IF(IFERROR('Дек'!$I19,"")="",0,$AB357+1)</f>
        <v/>
      </c>
    </row>
    <row r="359" spans="1:28">
      <c r="A359" s="38">
        <f>IF($B$1&gt;=DATE(2026,12,15),1,0)</f>
        <v/>
      </c>
      <c r="B359" s="38">
        <f>IFERROR(IF('Дек'!$B20=TRUE,1,0),0)</f>
        <v/>
      </c>
      <c r="C359" s="38">
        <f>IFERROR(IF('Дек'!$C20=TRUE,1,0),0)</f>
        <v/>
      </c>
      <c r="D359" s="38">
        <f>IFERROR(IF('Дек'!$D20=TRUE,1,0),0)</f>
        <v/>
      </c>
      <c r="E359" s="38">
        <f>IFERROR(IF('Дек'!$E20=TRUE,1,0),0)</f>
        <v/>
      </c>
      <c r="F359" s="38">
        <f>IFERROR(IF('Дек'!$F20=TRUE,1,0),0)</f>
        <v/>
      </c>
      <c r="G359" s="38">
        <f>IFERROR(IF('Дек'!$G20=TRUE,1,0),0)</f>
        <v/>
      </c>
      <c r="H359" s="38">
        <f>IFERROR(IF('Дек'!$H20=TRUE,1,0),0)</f>
        <v/>
      </c>
      <c r="I359" s="38">
        <f>IF($A359=0,$I358,IF($B359=1,$I358+1,IF($P359&lt;=1,$I358,0)))</f>
        <v/>
      </c>
      <c r="J359" s="38">
        <f>IF($A359=0,$J358,IF($C359=1,$J358+1,IF($Q359&lt;=1,$J358,0)))</f>
        <v/>
      </c>
      <c r="K359" s="38">
        <f>IF($A359=0,$K358,IF($D359=1,$K358+1,IF($R359&lt;=1,$K358,0)))</f>
        <v/>
      </c>
      <c r="L359" s="38">
        <f>IF($A359=0,$L358,IF($E359=1,$L358+1,IF($S359&lt;=1,$L358,0)))</f>
        <v/>
      </c>
      <c r="M359" s="38">
        <f>IF($A359=0,$M358,IF($F359=1,$M358+1,IF($T359&lt;=1,$M358,0)))</f>
        <v/>
      </c>
      <c r="N359" s="38">
        <f>IF($A359=0,$N358,IF($G359=1,$N358+1,IF($U359&lt;=1,$N358,0)))</f>
        <v/>
      </c>
      <c r="O359" s="38">
        <f>IF($A359=0,$O358,IF($H359=1,$O358+1,IF($V359&lt;=1,$O358,0)))</f>
        <v/>
      </c>
      <c r="P359" s="38">
        <f>IF($A359=0,$P358,$P358+IF($B359=1,0,1))</f>
        <v/>
      </c>
      <c r="Q359" s="38">
        <f>IF($A359=0,$Q358,$Q358+IF($C359=1,0,1))</f>
        <v/>
      </c>
      <c r="R359" s="38">
        <f>IF($A359=0,$R358,$R358+IF($D359=1,0,1))</f>
        <v/>
      </c>
      <c r="S359" s="38">
        <f>IF($A359=0,$S358,$S358+IF($E359=1,0,1))</f>
        <v/>
      </c>
      <c r="T359" s="38">
        <f>IF($A359=0,$T358,$T358+IF($F359=1,0,1))</f>
        <v/>
      </c>
      <c r="U359" s="38">
        <f>IF($A359=0,$U358,$U358+IF($G359=1,0,1))</f>
        <v/>
      </c>
      <c r="V359" s="38">
        <f>IF($A359=0,$V358,$V358+IF($H359=1,0,1))</f>
        <v/>
      </c>
      <c r="W359" s="38">
        <f>SUM($B359:$H359)</f>
        <v/>
      </c>
      <c r="X359" s="38">
        <f>IF(AND($A359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359=1),1,0)+IF(AND($G$1=7,$C359=1),1,0)+IF(AND($H$1=7,$D359=1),1,0)+IF(AND($I$1=7,$E359=1),1,0)+IF(AND($J$1=7,$F359=1),1,0)+IF(AND($K$1=7,$G359=1),1,0)+IF(AND($L$1=7,$H359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9" s="38">
        <f>IF($B359=1,IF($F$1&lt;7,10,IF(AND($F$1=7,$I358=0,$P358&gt;1),15,IF($I358&gt;=20,15,IF($I358&gt;=6,13,10)))),0)+IF($C359=1,IF($G$1&lt;7,10,IF(AND($G$1=7,$J358=0,$Q358&gt;1),15,IF($J358&gt;=20,15,IF($J358&gt;=6,13,10)))),0)+IF($D359=1,IF($H$1&lt;7,10,IF(AND($H$1=7,$K358=0,$R358&gt;1),15,IF($K358&gt;=20,15,IF($K358&gt;=6,13,10)))),0)+IF($E359=1,IF($I$1&lt;7,10,IF(AND($I$1=7,$L358=0,$S358&gt;1),15,IF($L358&gt;=20,15,IF($L358&gt;=6,13,10)))),0)+IF($F359=1,IF($J$1&lt;7,10,IF(AND($J$1=7,$M358=0,$T358&gt;1),15,IF($M358&gt;=20,15,IF($M358&gt;=6,13,10)))),0)+IF($G359=1,IF($K$1&lt;7,10,IF(AND($K$1=7,$N358=0,$U358&gt;1),15,IF($N358&gt;=20,15,IF($N358&gt;=6,13,10)))),0)+IF($H359=1,IF($L$1&lt;7,10,IF(AND($L$1=7,$O358=0,$V358&gt;1),15,IF($O358&gt;=20,15,IF($O358&gt;=6,13,10)))),0)</f>
        <v/>
      </c>
      <c r="Z359" s="38">
        <f>$Z358+$Y359</f>
        <v/>
      </c>
      <c r="AA359" s="38">
        <f>IF(AND($B359=1,AND($F$1=7,$I358=0,$P358&gt;1)),1,0)+IF(AND($C359=1,AND($G$1=7,$J358=0,$Q358&gt;1)),1,0)+IF(AND($D359=1,AND($H$1=7,$K358=0,$R358&gt;1)),1,0)+IF(AND($E359=1,AND($I$1=7,$L358=0,$S358&gt;1)),1,0)+IF(AND($F359=1,AND($J$1=7,$M358=0,$T358&gt;1)),1,0)+IF(AND($G359=1,AND($K$1=7,$N358=0,$U358&gt;1)),1,0)+IF(AND($H359=1,AND($L$1=7,$O358=0,$V358&gt;1)),1,0)</f>
        <v/>
      </c>
      <c r="AB359" s="38">
        <f>IF(IFERROR('Дек'!$I20,"")="",0,$AB358+1)</f>
        <v/>
      </c>
    </row>
    <row r="360" spans="1:28">
      <c r="A360" s="38">
        <f>IF($B$1&gt;=DATE(2026,12,16),1,0)</f>
        <v/>
      </c>
      <c r="B360" s="38">
        <f>IFERROR(IF('Дек'!$B21=TRUE,1,0),0)</f>
        <v/>
      </c>
      <c r="C360" s="38">
        <f>IFERROR(IF('Дек'!$C21=TRUE,1,0),0)</f>
        <v/>
      </c>
      <c r="D360" s="38">
        <f>IFERROR(IF('Дек'!$D21=TRUE,1,0),0)</f>
        <v/>
      </c>
      <c r="E360" s="38">
        <f>IFERROR(IF('Дек'!$E21=TRUE,1,0),0)</f>
        <v/>
      </c>
      <c r="F360" s="38">
        <f>IFERROR(IF('Дек'!$F21=TRUE,1,0),0)</f>
        <v/>
      </c>
      <c r="G360" s="38">
        <f>IFERROR(IF('Дек'!$G21=TRUE,1,0),0)</f>
        <v/>
      </c>
      <c r="H360" s="38">
        <f>IFERROR(IF('Дек'!$H21=TRUE,1,0),0)</f>
        <v/>
      </c>
      <c r="I360" s="38">
        <f>IF($A360=0,$I359,IF($B360=1,$I359+1,IF($P360&lt;=1,$I359,0)))</f>
        <v/>
      </c>
      <c r="J360" s="38">
        <f>IF($A360=0,$J359,IF($C360=1,$J359+1,IF($Q360&lt;=1,$J359,0)))</f>
        <v/>
      </c>
      <c r="K360" s="38">
        <f>IF($A360=0,$K359,IF($D360=1,$K359+1,IF($R360&lt;=1,$K359,0)))</f>
        <v/>
      </c>
      <c r="L360" s="38">
        <f>IF($A360=0,$L359,IF($E360=1,$L359+1,IF($S360&lt;=1,$L359,0)))</f>
        <v/>
      </c>
      <c r="M360" s="38">
        <f>IF($A360=0,$M359,IF($F360=1,$M359+1,IF($T360&lt;=1,$M359,0)))</f>
        <v/>
      </c>
      <c r="N360" s="38">
        <f>IF($A360=0,$N359,IF($G360=1,$N359+1,IF($U360&lt;=1,$N359,0)))</f>
        <v/>
      </c>
      <c r="O360" s="38">
        <f>IF($A360=0,$O359,IF($H360=1,$O359+1,IF($V360&lt;=1,$O359,0)))</f>
        <v/>
      </c>
      <c r="P360" s="38">
        <f>IF($A360=0,$P359,$P359+IF($B360=1,0,1))</f>
        <v/>
      </c>
      <c r="Q360" s="38">
        <f>IF($A360=0,$Q359,$Q359+IF($C360=1,0,1))</f>
        <v/>
      </c>
      <c r="R360" s="38">
        <f>IF($A360=0,$R359,$R359+IF($D360=1,0,1))</f>
        <v/>
      </c>
      <c r="S360" s="38">
        <f>IF($A360=0,$S359,$S359+IF($E360=1,0,1))</f>
        <v/>
      </c>
      <c r="T360" s="38">
        <f>IF($A360=0,$T359,$T359+IF($F360=1,0,1))</f>
        <v/>
      </c>
      <c r="U360" s="38">
        <f>IF($A360=0,$U359,$U359+IF($G360=1,0,1))</f>
        <v/>
      </c>
      <c r="V360" s="38">
        <f>IF($A360=0,$V359,$V359+IF($H360=1,0,1))</f>
        <v/>
      </c>
      <c r="W360" s="38">
        <f>SUM($B360:$H360)</f>
        <v/>
      </c>
      <c r="X360" s="38">
        <f>IF(AND($A360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360=1),1,0)+IF(AND($G$1=7,$C360=1),1,0)+IF(AND($H$1=7,$D360=1),1,0)+IF(AND($I$1=7,$E360=1),1,0)+IF(AND($J$1=7,$F360=1),1,0)+IF(AND($K$1=7,$G360=1),1,0)+IF(AND($L$1=7,$H360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0" s="38">
        <f>IF($B360=1,IF($F$1&lt;7,10,IF(AND($F$1=7,$I359=0,$P359&gt;1),15,IF($I359&gt;=20,15,IF($I359&gt;=6,13,10)))),0)+IF($C360=1,IF($G$1&lt;7,10,IF(AND($G$1=7,$J359=0,$Q359&gt;1),15,IF($J359&gt;=20,15,IF($J359&gt;=6,13,10)))),0)+IF($D360=1,IF($H$1&lt;7,10,IF(AND($H$1=7,$K359=0,$R359&gt;1),15,IF($K359&gt;=20,15,IF($K359&gt;=6,13,10)))),0)+IF($E360=1,IF($I$1&lt;7,10,IF(AND($I$1=7,$L359=0,$S359&gt;1),15,IF($L359&gt;=20,15,IF($L359&gt;=6,13,10)))),0)+IF($F360=1,IF($J$1&lt;7,10,IF(AND($J$1=7,$M359=0,$T359&gt;1),15,IF($M359&gt;=20,15,IF($M359&gt;=6,13,10)))),0)+IF($G360=1,IF($K$1&lt;7,10,IF(AND($K$1=7,$N359=0,$U359&gt;1),15,IF($N359&gt;=20,15,IF($N359&gt;=6,13,10)))),0)+IF($H360=1,IF($L$1&lt;7,10,IF(AND($L$1=7,$O359=0,$V359&gt;1),15,IF($O359&gt;=20,15,IF($O359&gt;=6,13,10)))),0)</f>
        <v/>
      </c>
      <c r="Z360" s="38">
        <f>$Z359+$Y360</f>
        <v/>
      </c>
      <c r="AA360" s="38">
        <f>IF(AND($B360=1,AND($F$1=7,$I359=0,$P359&gt;1)),1,0)+IF(AND($C360=1,AND($G$1=7,$J359=0,$Q359&gt;1)),1,0)+IF(AND($D360=1,AND($H$1=7,$K359=0,$R359&gt;1)),1,0)+IF(AND($E360=1,AND($I$1=7,$L359=0,$S359&gt;1)),1,0)+IF(AND($F360=1,AND($J$1=7,$M359=0,$T359&gt;1)),1,0)+IF(AND($G360=1,AND($K$1=7,$N359=0,$U359&gt;1)),1,0)+IF(AND($H360=1,AND($L$1=7,$O359=0,$V359&gt;1)),1,0)</f>
        <v/>
      </c>
      <c r="AB360" s="38">
        <f>IF(IFERROR('Дек'!$I21,"")="",0,$AB359+1)</f>
        <v/>
      </c>
    </row>
    <row r="361" spans="1:28">
      <c r="A361" s="38">
        <f>IF($B$1&gt;=DATE(2026,12,17),1,0)</f>
        <v/>
      </c>
      <c r="B361" s="38">
        <f>IFERROR(IF('Дек'!$B22=TRUE,1,0),0)</f>
        <v/>
      </c>
      <c r="C361" s="38">
        <f>IFERROR(IF('Дек'!$C22=TRUE,1,0),0)</f>
        <v/>
      </c>
      <c r="D361" s="38">
        <f>IFERROR(IF('Дек'!$D22=TRUE,1,0),0)</f>
        <v/>
      </c>
      <c r="E361" s="38">
        <f>IFERROR(IF('Дек'!$E22=TRUE,1,0),0)</f>
        <v/>
      </c>
      <c r="F361" s="38">
        <f>IFERROR(IF('Дек'!$F22=TRUE,1,0),0)</f>
        <v/>
      </c>
      <c r="G361" s="38">
        <f>IFERROR(IF('Дек'!$G22=TRUE,1,0),0)</f>
        <v/>
      </c>
      <c r="H361" s="38">
        <f>IFERROR(IF('Дек'!$H22=TRUE,1,0),0)</f>
        <v/>
      </c>
      <c r="I361" s="38">
        <f>IF($A361=0,$I360,IF($B361=1,$I360+1,IF($P361&lt;=1,$I360,0)))</f>
        <v/>
      </c>
      <c r="J361" s="38">
        <f>IF($A361=0,$J360,IF($C361=1,$J360+1,IF($Q361&lt;=1,$J360,0)))</f>
        <v/>
      </c>
      <c r="K361" s="38">
        <f>IF($A361=0,$K360,IF($D361=1,$K360+1,IF($R361&lt;=1,$K360,0)))</f>
        <v/>
      </c>
      <c r="L361" s="38">
        <f>IF($A361=0,$L360,IF($E361=1,$L360+1,IF($S361&lt;=1,$L360,0)))</f>
        <v/>
      </c>
      <c r="M361" s="38">
        <f>IF($A361=0,$M360,IF($F361=1,$M360+1,IF($T361&lt;=1,$M360,0)))</f>
        <v/>
      </c>
      <c r="N361" s="38">
        <f>IF($A361=0,$N360,IF($G361=1,$N360+1,IF($U361&lt;=1,$N360,0)))</f>
        <v/>
      </c>
      <c r="O361" s="38">
        <f>IF($A361=0,$O360,IF($H361=1,$O360+1,IF($V361&lt;=1,$O360,0)))</f>
        <v/>
      </c>
      <c r="P361" s="38">
        <f>IF($A361=0,$P360,$P360+IF($B361=1,0,1))</f>
        <v/>
      </c>
      <c r="Q361" s="38">
        <f>IF($A361=0,$Q360,$Q360+IF($C361=1,0,1))</f>
        <v/>
      </c>
      <c r="R361" s="38">
        <f>IF($A361=0,$R360,$R360+IF($D361=1,0,1))</f>
        <v/>
      </c>
      <c r="S361" s="38">
        <f>IF($A361=0,$S360,$S360+IF($E361=1,0,1))</f>
        <v/>
      </c>
      <c r="T361" s="38">
        <f>IF($A361=0,$T360,$T360+IF($F361=1,0,1))</f>
        <v/>
      </c>
      <c r="U361" s="38">
        <f>IF($A361=0,$U360,$U360+IF($G361=1,0,1))</f>
        <v/>
      </c>
      <c r="V361" s="38">
        <f>IF($A361=0,$V360,$V360+IF($H361=1,0,1))</f>
        <v/>
      </c>
      <c r="W361" s="38">
        <f>SUM($B361:$H361)</f>
        <v/>
      </c>
      <c r="X361" s="38">
        <f>IF(AND($A361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361=1),1,0)+IF(AND($G$1=7,$C361=1),1,0)+IF(AND($H$1=7,$D361=1),1,0)+IF(AND($I$1=7,$E361=1),1,0)+IF(AND($J$1=7,$F361=1),1,0)+IF(AND($K$1=7,$G361=1),1,0)+IF(AND($L$1=7,$H361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1" s="38">
        <f>IF($B361=1,IF($F$1&lt;7,10,IF(AND($F$1=7,$I360=0,$P360&gt;1),15,IF($I360&gt;=20,15,IF($I360&gt;=6,13,10)))),0)+IF($C361=1,IF($G$1&lt;7,10,IF(AND($G$1=7,$J360=0,$Q360&gt;1),15,IF($J360&gt;=20,15,IF($J360&gt;=6,13,10)))),0)+IF($D361=1,IF($H$1&lt;7,10,IF(AND($H$1=7,$K360=0,$R360&gt;1),15,IF($K360&gt;=20,15,IF($K360&gt;=6,13,10)))),0)+IF($E361=1,IF($I$1&lt;7,10,IF(AND($I$1=7,$L360=0,$S360&gt;1),15,IF($L360&gt;=20,15,IF($L360&gt;=6,13,10)))),0)+IF($F361=1,IF($J$1&lt;7,10,IF(AND($J$1=7,$M360=0,$T360&gt;1),15,IF($M360&gt;=20,15,IF($M360&gt;=6,13,10)))),0)+IF($G361=1,IF($K$1&lt;7,10,IF(AND($K$1=7,$N360=0,$U360&gt;1),15,IF($N360&gt;=20,15,IF($N360&gt;=6,13,10)))),0)+IF($H361=1,IF($L$1&lt;7,10,IF(AND($L$1=7,$O360=0,$V360&gt;1),15,IF($O360&gt;=20,15,IF($O360&gt;=6,13,10)))),0)</f>
        <v/>
      </c>
      <c r="Z361" s="38">
        <f>$Z360+$Y361</f>
        <v/>
      </c>
      <c r="AA361" s="38">
        <f>IF(AND($B361=1,AND($F$1=7,$I360=0,$P360&gt;1)),1,0)+IF(AND($C361=1,AND($G$1=7,$J360=0,$Q360&gt;1)),1,0)+IF(AND($D361=1,AND($H$1=7,$K360=0,$R360&gt;1)),1,0)+IF(AND($E361=1,AND($I$1=7,$L360=0,$S360&gt;1)),1,0)+IF(AND($F361=1,AND($J$1=7,$M360=0,$T360&gt;1)),1,0)+IF(AND($G361=1,AND($K$1=7,$N360=0,$U360&gt;1)),1,0)+IF(AND($H361=1,AND($L$1=7,$O360=0,$V360&gt;1)),1,0)</f>
        <v/>
      </c>
      <c r="AB361" s="38">
        <f>IF(IFERROR('Дек'!$I22,"")="",0,$AB360+1)</f>
        <v/>
      </c>
    </row>
    <row r="362" spans="1:28">
      <c r="A362" s="38">
        <f>IF($B$1&gt;=DATE(2026,12,18),1,0)</f>
        <v/>
      </c>
      <c r="B362" s="38">
        <f>IFERROR(IF('Дек'!$B23=TRUE,1,0),0)</f>
        <v/>
      </c>
      <c r="C362" s="38">
        <f>IFERROR(IF('Дек'!$C23=TRUE,1,0),0)</f>
        <v/>
      </c>
      <c r="D362" s="38">
        <f>IFERROR(IF('Дек'!$D23=TRUE,1,0),0)</f>
        <v/>
      </c>
      <c r="E362" s="38">
        <f>IFERROR(IF('Дек'!$E23=TRUE,1,0),0)</f>
        <v/>
      </c>
      <c r="F362" s="38">
        <f>IFERROR(IF('Дек'!$F23=TRUE,1,0),0)</f>
        <v/>
      </c>
      <c r="G362" s="38">
        <f>IFERROR(IF('Дек'!$G23=TRUE,1,0),0)</f>
        <v/>
      </c>
      <c r="H362" s="38">
        <f>IFERROR(IF('Дек'!$H23=TRUE,1,0),0)</f>
        <v/>
      </c>
      <c r="I362" s="38">
        <f>IF($A362=0,$I361,IF($B362=1,$I361+1,IF($P362&lt;=1,$I361,0)))</f>
        <v/>
      </c>
      <c r="J362" s="38">
        <f>IF($A362=0,$J361,IF($C362=1,$J361+1,IF($Q362&lt;=1,$J361,0)))</f>
        <v/>
      </c>
      <c r="K362" s="38">
        <f>IF($A362=0,$K361,IF($D362=1,$K361+1,IF($R362&lt;=1,$K361,0)))</f>
        <v/>
      </c>
      <c r="L362" s="38">
        <f>IF($A362=0,$L361,IF($E362=1,$L361+1,IF($S362&lt;=1,$L361,0)))</f>
        <v/>
      </c>
      <c r="M362" s="38">
        <f>IF($A362=0,$M361,IF($F362=1,$M361+1,IF($T362&lt;=1,$M361,0)))</f>
        <v/>
      </c>
      <c r="N362" s="38">
        <f>IF($A362=0,$N361,IF($G362=1,$N361+1,IF($U362&lt;=1,$N361,0)))</f>
        <v/>
      </c>
      <c r="O362" s="38">
        <f>IF($A362=0,$O361,IF($H362=1,$O361+1,IF($V362&lt;=1,$O361,0)))</f>
        <v/>
      </c>
      <c r="P362" s="38">
        <f>IF($A362=0,$P361,$P361+IF($B362=1,0,1))</f>
        <v/>
      </c>
      <c r="Q362" s="38">
        <f>IF($A362=0,$Q361,$Q361+IF($C362=1,0,1))</f>
        <v/>
      </c>
      <c r="R362" s="38">
        <f>IF($A362=0,$R361,$R361+IF($D362=1,0,1))</f>
        <v/>
      </c>
      <c r="S362" s="38">
        <f>IF($A362=0,$S361,$S361+IF($E362=1,0,1))</f>
        <v/>
      </c>
      <c r="T362" s="38">
        <f>IF($A362=0,$T361,$T361+IF($F362=1,0,1))</f>
        <v/>
      </c>
      <c r="U362" s="38">
        <f>IF($A362=0,$U361,$U361+IF($G362=1,0,1))</f>
        <v/>
      </c>
      <c r="V362" s="38">
        <f>IF($A362=0,$V361,$V361+IF($H362=1,0,1))</f>
        <v/>
      </c>
      <c r="W362" s="38">
        <f>SUM($B362:$H362)</f>
        <v/>
      </c>
      <c r="X362" s="38">
        <f>IF(AND($A362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362=1),1,0)+IF(AND($G$1=7,$C362=1),1,0)+IF(AND($H$1=7,$D362=1),1,0)+IF(AND($I$1=7,$E362=1),1,0)+IF(AND($J$1=7,$F362=1),1,0)+IF(AND($K$1=7,$G362=1),1,0)+IF(AND($L$1=7,$H362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2" s="38">
        <f>IF($B362=1,IF($F$1&lt;7,10,IF(AND($F$1=7,$I361=0,$P361&gt;1),15,IF($I361&gt;=20,15,IF($I361&gt;=6,13,10)))),0)+IF($C362=1,IF($G$1&lt;7,10,IF(AND($G$1=7,$J361=0,$Q361&gt;1),15,IF($J361&gt;=20,15,IF($J361&gt;=6,13,10)))),0)+IF($D362=1,IF($H$1&lt;7,10,IF(AND($H$1=7,$K361=0,$R361&gt;1),15,IF($K361&gt;=20,15,IF($K361&gt;=6,13,10)))),0)+IF($E362=1,IF($I$1&lt;7,10,IF(AND($I$1=7,$L361=0,$S361&gt;1),15,IF($L361&gt;=20,15,IF($L361&gt;=6,13,10)))),0)+IF($F362=1,IF($J$1&lt;7,10,IF(AND($J$1=7,$M361=0,$T361&gt;1),15,IF($M361&gt;=20,15,IF($M361&gt;=6,13,10)))),0)+IF($G362=1,IF($K$1&lt;7,10,IF(AND($K$1=7,$N361=0,$U361&gt;1),15,IF($N361&gt;=20,15,IF($N361&gt;=6,13,10)))),0)+IF($H362=1,IF($L$1&lt;7,10,IF(AND($L$1=7,$O361=0,$V361&gt;1),15,IF($O361&gt;=20,15,IF($O361&gt;=6,13,10)))),0)</f>
        <v/>
      </c>
      <c r="Z362" s="38">
        <f>$Z361+$Y362</f>
        <v/>
      </c>
      <c r="AA362" s="38">
        <f>IF(AND($B362=1,AND($F$1=7,$I361=0,$P361&gt;1)),1,0)+IF(AND($C362=1,AND($G$1=7,$J361=0,$Q361&gt;1)),1,0)+IF(AND($D362=1,AND($H$1=7,$K361=0,$R361&gt;1)),1,0)+IF(AND($E362=1,AND($I$1=7,$L361=0,$S361&gt;1)),1,0)+IF(AND($F362=1,AND($J$1=7,$M361=0,$T361&gt;1)),1,0)+IF(AND($G362=1,AND($K$1=7,$N361=0,$U361&gt;1)),1,0)+IF(AND($H362=1,AND($L$1=7,$O361=0,$V361&gt;1)),1,0)</f>
        <v/>
      </c>
      <c r="AB362" s="38">
        <f>IF(IFERROR('Дек'!$I23,"")="",0,$AB361+1)</f>
        <v/>
      </c>
    </row>
    <row r="363" spans="1:28">
      <c r="A363" s="38">
        <f>IF($B$1&gt;=DATE(2026,12,19),1,0)</f>
        <v/>
      </c>
      <c r="B363" s="38">
        <f>IFERROR(IF('Дек'!$B24=TRUE,1,0),0)</f>
        <v/>
      </c>
      <c r="C363" s="38">
        <f>IFERROR(IF('Дек'!$C24=TRUE,1,0),0)</f>
        <v/>
      </c>
      <c r="D363" s="38">
        <f>IFERROR(IF('Дек'!$D24=TRUE,1,0),0)</f>
        <v/>
      </c>
      <c r="E363" s="38">
        <f>IFERROR(IF('Дек'!$E24=TRUE,1,0),0)</f>
        <v/>
      </c>
      <c r="F363" s="38">
        <f>IFERROR(IF('Дек'!$F24=TRUE,1,0),0)</f>
        <v/>
      </c>
      <c r="G363" s="38">
        <f>IFERROR(IF('Дек'!$G24=TRUE,1,0),0)</f>
        <v/>
      </c>
      <c r="H363" s="38">
        <f>IFERROR(IF('Дек'!$H24=TRUE,1,0),0)</f>
        <v/>
      </c>
      <c r="I363" s="38">
        <f>IF($A363=0,$I362,IF($B363=1,$I362+1,IF($P363&lt;=1,$I362,0)))</f>
        <v/>
      </c>
      <c r="J363" s="38">
        <f>IF($A363=0,$J362,IF($C363=1,$J362+1,IF($Q363&lt;=1,$J362,0)))</f>
        <v/>
      </c>
      <c r="K363" s="38">
        <f>IF($A363=0,$K362,IF($D363=1,$K362+1,IF($R363&lt;=1,$K362,0)))</f>
        <v/>
      </c>
      <c r="L363" s="38">
        <f>IF($A363=0,$L362,IF($E363=1,$L362+1,IF($S363&lt;=1,$L362,0)))</f>
        <v/>
      </c>
      <c r="M363" s="38">
        <f>IF($A363=0,$M362,IF($F363=1,$M362+1,IF($T363&lt;=1,$M362,0)))</f>
        <v/>
      </c>
      <c r="N363" s="38">
        <f>IF($A363=0,$N362,IF($G363=1,$N362+1,IF($U363&lt;=1,$N362,0)))</f>
        <v/>
      </c>
      <c r="O363" s="38">
        <f>IF($A363=0,$O362,IF($H363=1,$O362+1,IF($V363&lt;=1,$O362,0)))</f>
        <v/>
      </c>
      <c r="P363" s="38">
        <f>IF($A363=0,$P362,$P362+IF($B363=1,0,1))</f>
        <v/>
      </c>
      <c r="Q363" s="38">
        <f>IF($A363=0,$Q362,$Q362+IF($C363=1,0,1))</f>
        <v/>
      </c>
      <c r="R363" s="38">
        <f>IF($A363=0,$R362,$R362+IF($D363=1,0,1))</f>
        <v/>
      </c>
      <c r="S363" s="38">
        <f>IF($A363=0,$S362,$S362+IF($E363=1,0,1))</f>
        <v/>
      </c>
      <c r="T363" s="38">
        <f>IF($A363=0,$T362,$T362+IF($F363=1,0,1))</f>
        <v/>
      </c>
      <c r="U363" s="38">
        <f>IF($A363=0,$U362,$U362+IF($G363=1,0,1))</f>
        <v/>
      </c>
      <c r="V363" s="38">
        <f>IF($A363=0,$V362,$V362+IF($H363=1,0,1))</f>
        <v/>
      </c>
      <c r="W363" s="38">
        <f>SUM($B363:$H363)</f>
        <v/>
      </c>
      <c r="X363" s="38">
        <f>IF(AND($A363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363=1),1,0)+IF(AND($G$1=7,$C363=1),1,0)+IF(AND($H$1=7,$D363=1),1,0)+IF(AND($I$1=7,$E363=1),1,0)+IF(AND($J$1=7,$F363=1),1,0)+IF(AND($K$1=7,$G363=1),1,0)+IF(AND($L$1=7,$H363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3" s="38">
        <f>IF($B363=1,IF($F$1&lt;7,10,IF(AND($F$1=7,$I362=0,$P362&gt;1),15,IF($I362&gt;=20,15,IF($I362&gt;=6,13,10)))),0)+IF($C363=1,IF($G$1&lt;7,10,IF(AND($G$1=7,$J362=0,$Q362&gt;1),15,IF($J362&gt;=20,15,IF($J362&gt;=6,13,10)))),0)+IF($D363=1,IF($H$1&lt;7,10,IF(AND($H$1=7,$K362=0,$R362&gt;1),15,IF($K362&gt;=20,15,IF($K362&gt;=6,13,10)))),0)+IF($E363=1,IF($I$1&lt;7,10,IF(AND($I$1=7,$L362=0,$S362&gt;1),15,IF($L362&gt;=20,15,IF($L362&gt;=6,13,10)))),0)+IF($F363=1,IF($J$1&lt;7,10,IF(AND($J$1=7,$M362=0,$T362&gt;1),15,IF($M362&gt;=20,15,IF($M362&gt;=6,13,10)))),0)+IF($G363=1,IF($K$1&lt;7,10,IF(AND($K$1=7,$N362=0,$U362&gt;1),15,IF($N362&gt;=20,15,IF($N362&gt;=6,13,10)))),0)+IF($H363=1,IF($L$1&lt;7,10,IF(AND($L$1=7,$O362=0,$V362&gt;1),15,IF($O362&gt;=20,15,IF($O362&gt;=6,13,10)))),0)</f>
        <v/>
      </c>
      <c r="Z363" s="38">
        <f>$Z362+$Y363</f>
        <v/>
      </c>
      <c r="AA363" s="38">
        <f>IF(AND($B363=1,AND($F$1=7,$I362=0,$P362&gt;1)),1,0)+IF(AND($C363=1,AND($G$1=7,$J362=0,$Q362&gt;1)),1,0)+IF(AND($D363=1,AND($H$1=7,$K362=0,$R362&gt;1)),1,0)+IF(AND($E363=1,AND($I$1=7,$L362=0,$S362&gt;1)),1,0)+IF(AND($F363=1,AND($J$1=7,$M362=0,$T362&gt;1)),1,0)+IF(AND($G363=1,AND($K$1=7,$N362=0,$U362&gt;1)),1,0)+IF(AND($H363=1,AND($L$1=7,$O362=0,$V362&gt;1)),1,0)</f>
        <v/>
      </c>
      <c r="AB363" s="38">
        <f>IF(IFERROR('Дек'!$I24,"")="",0,$AB362+1)</f>
        <v/>
      </c>
    </row>
    <row r="364" spans="1:28">
      <c r="A364" s="38">
        <f>IF($B$1&gt;=DATE(2026,12,20),1,0)</f>
        <v/>
      </c>
      <c r="B364" s="38">
        <f>IFERROR(IF('Дек'!$B25=TRUE,1,0),0)</f>
        <v/>
      </c>
      <c r="C364" s="38">
        <f>IFERROR(IF('Дек'!$C25=TRUE,1,0),0)</f>
        <v/>
      </c>
      <c r="D364" s="38">
        <f>IFERROR(IF('Дек'!$D25=TRUE,1,0),0)</f>
        <v/>
      </c>
      <c r="E364" s="38">
        <f>IFERROR(IF('Дек'!$E25=TRUE,1,0),0)</f>
        <v/>
      </c>
      <c r="F364" s="38">
        <f>IFERROR(IF('Дек'!$F25=TRUE,1,0),0)</f>
        <v/>
      </c>
      <c r="G364" s="38">
        <f>IFERROR(IF('Дек'!$G25=TRUE,1,0),0)</f>
        <v/>
      </c>
      <c r="H364" s="38">
        <f>IFERROR(IF('Дек'!$H25=TRUE,1,0),0)</f>
        <v/>
      </c>
      <c r="I364" s="38">
        <f>IF($A364=0,$I363,IF($B364=1,$I363+1,IF($P364&lt;=1,$I363,0)))</f>
        <v/>
      </c>
      <c r="J364" s="38">
        <f>IF($A364=0,$J363,IF($C364=1,$J363+1,IF($Q364&lt;=1,$J363,0)))</f>
        <v/>
      </c>
      <c r="K364" s="38">
        <f>IF($A364=0,$K363,IF($D364=1,$K363+1,IF($R364&lt;=1,$K363,0)))</f>
        <v/>
      </c>
      <c r="L364" s="38">
        <f>IF($A364=0,$L363,IF($E364=1,$L363+1,IF($S364&lt;=1,$L363,0)))</f>
        <v/>
      </c>
      <c r="M364" s="38">
        <f>IF($A364=0,$M363,IF($F364=1,$M363+1,IF($T364&lt;=1,$M363,0)))</f>
        <v/>
      </c>
      <c r="N364" s="38">
        <f>IF($A364=0,$N363,IF($G364=1,$N363+1,IF($U364&lt;=1,$N363,0)))</f>
        <v/>
      </c>
      <c r="O364" s="38">
        <f>IF($A364=0,$O363,IF($H364=1,$O363+1,IF($V364&lt;=1,$O363,0)))</f>
        <v/>
      </c>
      <c r="P364" s="38">
        <f>IF($A364=0,$P363,$P363+IF($B364=1,0,1))</f>
        <v/>
      </c>
      <c r="Q364" s="38">
        <f>IF($A364=0,$Q363,$Q363+IF($C364=1,0,1))</f>
        <v/>
      </c>
      <c r="R364" s="38">
        <f>IF($A364=0,$R363,$R363+IF($D364=1,0,1))</f>
        <v/>
      </c>
      <c r="S364" s="38">
        <f>IF($A364=0,$S363,$S363+IF($E364=1,0,1))</f>
        <v/>
      </c>
      <c r="T364" s="38">
        <f>IF($A364=0,$T363,$T363+IF($F364=1,0,1))</f>
        <v/>
      </c>
      <c r="U364" s="38">
        <f>IF($A364=0,$U363,$U363+IF($G364=1,0,1))</f>
        <v/>
      </c>
      <c r="V364" s="38">
        <f>IF($A364=0,$V363,$V363+IF($H364=1,0,1))</f>
        <v/>
      </c>
      <c r="W364" s="38">
        <f>SUM($B364:$H364)</f>
        <v/>
      </c>
      <c r="X364" s="38">
        <f>IF(AND($A364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364=1),1,0)+IF(AND($G$1=7,$C364=1),1,0)+IF(AND($H$1=7,$D364=1),1,0)+IF(AND($I$1=7,$E364=1),1,0)+IF(AND($J$1=7,$F364=1),1,0)+IF(AND($K$1=7,$G364=1),1,0)+IF(AND($L$1=7,$H364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4" s="38">
        <f>IF($B364=1,IF($F$1&lt;7,10,IF(AND($F$1=7,$I363=0,$P363&gt;1),15,IF($I363&gt;=20,15,IF($I363&gt;=6,13,10)))),0)+IF($C364=1,IF($G$1&lt;7,10,IF(AND($G$1=7,$J363=0,$Q363&gt;1),15,IF($J363&gt;=20,15,IF($J363&gt;=6,13,10)))),0)+IF($D364=1,IF($H$1&lt;7,10,IF(AND($H$1=7,$K363=0,$R363&gt;1),15,IF($K363&gt;=20,15,IF($K363&gt;=6,13,10)))),0)+IF($E364=1,IF($I$1&lt;7,10,IF(AND($I$1=7,$L363=0,$S363&gt;1),15,IF($L363&gt;=20,15,IF($L363&gt;=6,13,10)))),0)+IF($F364=1,IF($J$1&lt;7,10,IF(AND($J$1=7,$M363=0,$T363&gt;1),15,IF($M363&gt;=20,15,IF($M363&gt;=6,13,10)))),0)+IF($G364=1,IF($K$1&lt;7,10,IF(AND($K$1=7,$N363=0,$U363&gt;1),15,IF($N363&gt;=20,15,IF($N363&gt;=6,13,10)))),0)+IF($H364=1,IF($L$1&lt;7,10,IF(AND($L$1=7,$O363=0,$V363&gt;1),15,IF($O363&gt;=20,15,IF($O363&gt;=6,13,10)))),0)</f>
        <v/>
      </c>
      <c r="Z364" s="38">
        <f>$Z363+$Y364</f>
        <v/>
      </c>
      <c r="AA364" s="38">
        <f>IF(AND($B364=1,AND($F$1=7,$I363=0,$P363&gt;1)),1,0)+IF(AND($C364=1,AND($G$1=7,$J363=0,$Q363&gt;1)),1,0)+IF(AND($D364=1,AND($H$1=7,$K363=0,$R363&gt;1)),1,0)+IF(AND($E364=1,AND($I$1=7,$L363=0,$S363&gt;1)),1,0)+IF(AND($F364=1,AND($J$1=7,$M363=0,$T363&gt;1)),1,0)+IF(AND($G364=1,AND($K$1=7,$N363=0,$U363&gt;1)),1,0)+IF(AND($H364=1,AND($L$1=7,$O363=0,$V363&gt;1)),1,0)</f>
        <v/>
      </c>
      <c r="AB364" s="38">
        <f>IF(IFERROR('Дек'!$I25,"")="",0,$AB363+1)</f>
        <v/>
      </c>
    </row>
    <row r="365" spans="1:28">
      <c r="A365" s="38">
        <f>IF($B$1&gt;=DATE(2026,12,21),1,0)</f>
        <v/>
      </c>
      <c r="B365" s="38">
        <f>IFERROR(IF('Дек'!$B26=TRUE,1,0),0)</f>
        <v/>
      </c>
      <c r="C365" s="38">
        <f>IFERROR(IF('Дек'!$C26=TRUE,1,0),0)</f>
        <v/>
      </c>
      <c r="D365" s="38">
        <f>IFERROR(IF('Дек'!$D26=TRUE,1,0),0)</f>
        <v/>
      </c>
      <c r="E365" s="38">
        <f>IFERROR(IF('Дек'!$E26=TRUE,1,0),0)</f>
        <v/>
      </c>
      <c r="F365" s="38">
        <f>IFERROR(IF('Дек'!$F26=TRUE,1,0),0)</f>
        <v/>
      </c>
      <c r="G365" s="38">
        <f>IFERROR(IF('Дек'!$G26=TRUE,1,0),0)</f>
        <v/>
      </c>
      <c r="H365" s="38">
        <f>IFERROR(IF('Дек'!$H26=TRUE,1,0),0)</f>
        <v/>
      </c>
      <c r="I365" s="38">
        <f>IF($A365=0,$I364,IF($B365=1,$I364+1,IF($P365&lt;=1,$I364,0)))</f>
        <v/>
      </c>
      <c r="J365" s="38">
        <f>IF($A365=0,$J364,IF($C365=1,$J364+1,IF($Q365&lt;=1,$J364,0)))</f>
        <v/>
      </c>
      <c r="K365" s="38">
        <f>IF($A365=0,$K364,IF($D365=1,$K364+1,IF($R365&lt;=1,$K364,0)))</f>
        <v/>
      </c>
      <c r="L365" s="38">
        <f>IF($A365=0,$L364,IF($E365=1,$L364+1,IF($S365&lt;=1,$L364,0)))</f>
        <v/>
      </c>
      <c r="M365" s="38">
        <f>IF($A365=0,$M364,IF($F365=1,$M364+1,IF($T365&lt;=1,$M364,0)))</f>
        <v/>
      </c>
      <c r="N365" s="38">
        <f>IF($A365=0,$N364,IF($G365=1,$N364+1,IF($U365&lt;=1,$N364,0)))</f>
        <v/>
      </c>
      <c r="O365" s="38">
        <f>IF($A365=0,$O364,IF($H365=1,$O364+1,IF($V365&lt;=1,$O364,0)))</f>
        <v/>
      </c>
      <c r="P365" s="38">
        <f>IF($A365=0,$P364,$P364+IF($B365=1,0,1))</f>
        <v/>
      </c>
      <c r="Q365" s="38">
        <f>IF($A365=0,$Q364,$Q364+IF($C365=1,0,1))</f>
        <v/>
      </c>
      <c r="R365" s="38">
        <f>IF($A365=0,$R364,$R364+IF($D365=1,0,1))</f>
        <v/>
      </c>
      <c r="S365" s="38">
        <f>IF($A365=0,$S364,$S364+IF($E365=1,0,1))</f>
        <v/>
      </c>
      <c r="T365" s="38">
        <f>IF($A365=0,$T364,$T364+IF($F365=1,0,1))</f>
        <v/>
      </c>
      <c r="U365" s="38">
        <f>IF($A365=0,$U364,$U364+IF($G365=1,0,1))</f>
        <v/>
      </c>
      <c r="V365" s="38">
        <f>IF($A365=0,$V364,$V364+IF($H365=1,0,1))</f>
        <v/>
      </c>
      <c r="W365" s="38">
        <f>SUM($B365:$H365)</f>
        <v/>
      </c>
      <c r="X365" s="38">
        <f>IF(AND($A365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365=1),1,0)+IF(AND($G$1=7,$C365=1),1,0)+IF(AND($H$1=7,$D365=1),1,0)+IF(AND($I$1=7,$E365=1),1,0)+IF(AND($J$1=7,$F365=1),1,0)+IF(AND($K$1=7,$G365=1),1,0)+IF(AND($L$1=7,$H365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5" s="38">
        <f>IF($B365=1,IF($F$1&lt;7,10,IF(AND($F$1=7,$I364=0,$P364&gt;1),15,IF($I364&gt;=20,15,IF($I364&gt;=6,13,10)))),0)+IF($C365=1,IF($G$1&lt;7,10,IF(AND($G$1=7,$J364=0,$Q364&gt;1),15,IF($J364&gt;=20,15,IF($J364&gt;=6,13,10)))),0)+IF($D365=1,IF($H$1&lt;7,10,IF(AND($H$1=7,$K364=0,$R364&gt;1),15,IF($K364&gt;=20,15,IF($K364&gt;=6,13,10)))),0)+IF($E365=1,IF($I$1&lt;7,10,IF(AND($I$1=7,$L364=0,$S364&gt;1),15,IF($L364&gt;=20,15,IF($L364&gt;=6,13,10)))),0)+IF($F365=1,IF($J$1&lt;7,10,IF(AND($J$1=7,$M364=0,$T364&gt;1),15,IF($M364&gt;=20,15,IF($M364&gt;=6,13,10)))),0)+IF($G365=1,IF($K$1&lt;7,10,IF(AND($K$1=7,$N364=0,$U364&gt;1),15,IF($N364&gt;=20,15,IF($N364&gt;=6,13,10)))),0)+IF($H365=1,IF($L$1&lt;7,10,IF(AND($L$1=7,$O364=0,$V364&gt;1),15,IF($O364&gt;=20,15,IF($O364&gt;=6,13,10)))),0)</f>
        <v/>
      </c>
      <c r="Z365" s="38">
        <f>$Z364+$Y365</f>
        <v/>
      </c>
      <c r="AA365" s="38">
        <f>IF(AND($B365=1,AND($F$1=7,$I364=0,$P364&gt;1)),1,0)+IF(AND($C365=1,AND($G$1=7,$J364=0,$Q364&gt;1)),1,0)+IF(AND($D365=1,AND($H$1=7,$K364=0,$R364&gt;1)),1,0)+IF(AND($E365=1,AND($I$1=7,$L364=0,$S364&gt;1)),1,0)+IF(AND($F365=1,AND($J$1=7,$M364=0,$T364&gt;1)),1,0)+IF(AND($G365=1,AND($K$1=7,$N364=0,$U364&gt;1)),1,0)+IF(AND($H365=1,AND($L$1=7,$O364=0,$V364&gt;1)),1,0)</f>
        <v/>
      </c>
      <c r="AB365" s="38">
        <f>IF(IFERROR('Дек'!$I26,"")="",0,$AB364+1)</f>
        <v/>
      </c>
    </row>
    <row r="366" spans="1:28">
      <c r="A366" s="38">
        <f>IF($B$1&gt;=DATE(2026,12,22),1,0)</f>
        <v/>
      </c>
      <c r="B366" s="38">
        <f>IFERROR(IF('Дек'!$B27=TRUE,1,0),0)</f>
        <v/>
      </c>
      <c r="C366" s="38">
        <f>IFERROR(IF('Дек'!$C27=TRUE,1,0),0)</f>
        <v/>
      </c>
      <c r="D366" s="38">
        <f>IFERROR(IF('Дек'!$D27=TRUE,1,0),0)</f>
        <v/>
      </c>
      <c r="E366" s="38">
        <f>IFERROR(IF('Дек'!$E27=TRUE,1,0),0)</f>
        <v/>
      </c>
      <c r="F366" s="38">
        <f>IFERROR(IF('Дек'!$F27=TRUE,1,0),0)</f>
        <v/>
      </c>
      <c r="G366" s="38">
        <f>IFERROR(IF('Дек'!$G27=TRUE,1,0),0)</f>
        <v/>
      </c>
      <c r="H366" s="38">
        <f>IFERROR(IF('Дек'!$H27=TRUE,1,0),0)</f>
        <v/>
      </c>
      <c r="I366" s="38">
        <f>IF($A366=0,$I365,IF($B366=1,$I365+1,IF($P366&lt;=1,$I365,0)))</f>
        <v/>
      </c>
      <c r="J366" s="38">
        <f>IF($A366=0,$J365,IF($C366=1,$J365+1,IF($Q366&lt;=1,$J365,0)))</f>
        <v/>
      </c>
      <c r="K366" s="38">
        <f>IF($A366=0,$K365,IF($D366=1,$K365+1,IF($R366&lt;=1,$K365,0)))</f>
        <v/>
      </c>
      <c r="L366" s="38">
        <f>IF($A366=0,$L365,IF($E366=1,$L365+1,IF($S366&lt;=1,$L365,0)))</f>
        <v/>
      </c>
      <c r="M366" s="38">
        <f>IF($A366=0,$M365,IF($F366=1,$M365+1,IF($T366&lt;=1,$M365,0)))</f>
        <v/>
      </c>
      <c r="N366" s="38">
        <f>IF($A366=0,$N365,IF($G366=1,$N365+1,IF($U366&lt;=1,$N365,0)))</f>
        <v/>
      </c>
      <c r="O366" s="38">
        <f>IF($A366=0,$O365,IF($H366=1,$O365+1,IF($V366&lt;=1,$O365,0)))</f>
        <v/>
      </c>
      <c r="P366" s="38">
        <f>IF($A366=0,$P365,$P365+IF($B366=1,0,1))</f>
        <v/>
      </c>
      <c r="Q366" s="38">
        <f>IF($A366=0,$Q365,$Q365+IF($C366=1,0,1))</f>
        <v/>
      </c>
      <c r="R366" s="38">
        <f>IF($A366=0,$R365,$R365+IF($D366=1,0,1))</f>
        <v/>
      </c>
      <c r="S366" s="38">
        <f>IF($A366=0,$S365,$S365+IF($E366=1,0,1))</f>
        <v/>
      </c>
      <c r="T366" s="38">
        <f>IF($A366=0,$T365,$T365+IF($F366=1,0,1))</f>
        <v/>
      </c>
      <c r="U366" s="38">
        <f>IF($A366=0,$U365,$U365+IF($G366=1,0,1))</f>
        <v/>
      </c>
      <c r="V366" s="38">
        <f>IF($A366=0,$V365,$V365+IF($H366=1,0,1))</f>
        <v/>
      </c>
      <c r="W366" s="38">
        <f>SUM($B366:$H366)</f>
        <v/>
      </c>
      <c r="X366" s="38">
        <f>IF(AND($A366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366=1),1,0)+IF(AND($G$1=7,$C366=1),1,0)+IF(AND($H$1=7,$D366=1),1,0)+IF(AND($I$1=7,$E366=1),1,0)+IF(AND($J$1=7,$F366=1),1,0)+IF(AND($K$1=7,$G366=1),1,0)+IF(AND($L$1=7,$H366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6" s="38">
        <f>IF($B366=1,IF($F$1&lt;7,10,IF(AND($F$1=7,$I365=0,$P365&gt;1),15,IF($I365&gt;=20,15,IF($I365&gt;=6,13,10)))),0)+IF($C366=1,IF($G$1&lt;7,10,IF(AND($G$1=7,$J365=0,$Q365&gt;1),15,IF($J365&gt;=20,15,IF($J365&gt;=6,13,10)))),0)+IF($D366=1,IF($H$1&lt;7,10,IF(AND($H$1=7,$K365=0,$R365&gt;1),15,IF($K365&gt;=20,15,IF($K365&gt;=6,13,10)))),0)+IF($E366=1,IF($I$1&lt;7,10,IF(AND($I$1=7,$L365=0,$S365&gt;1),15,IF($L365&gt;=20,15,IF($L365&gt;=6,13,10)))),0)+IF($F366=1,IF($J$1&lt;7,10,IF(AND($J$1=7,$M365=0,$T365&gt;1),15,IF($M365&gt;=20,15,IF($M365&gt;=6,13,10)))),0)+IF($G366=1,IF($K$1&lt;7,10,IF(AND($K$1=7,$N365=0,$U365&gt;1),15,IF($N365&gt;=20,15,IF($N365&gt;=6,13,10)))),0)+IF($H366=1,IF($L$1&lt;7,10,IF(AND($L$1=7,$O365=0,$V365&gt;1),15,IF($O365&gt;=20,15,IF($O365&gt;=6,13,10)))),0)</f>
        <v/>
      </c>
      <c r="Z366" s="38">
        <f>$Z365+$Y366</f>
        <v/>
      </c>
      <c r="AA366" s="38">
        <f>IF(AND($B366=1,AND($F$1=7,$I365=0,$P365&gt;1)),1,0)+IF(AND($C366=1,AND($G$1=7,$J365=0,$Q365&gt;1)),1,0)+IF(AND($D366=1,AND($H$1=7,$K365=0,$R365&gt;1)),1,0)+IF(AND($E366=1,AND($I$1=7,$L365=0,$S365&gt;1)),1,0)+IF(AND($F366=1,AND($J$1=7,$M365=0,$T365&gt;1)),1,0)+IF(AND($G366=1,AND($K$1=7,$N365=0,$U365&gt;1)),1,0)+IF(AND($H366=1,AND($L$1=7,$O365=0,$V365&gt;1)),1,0)</f>
        <v/>
      </c>
      <c r="AB366" s="38">
        <f>IF(IFERROR('Дек'!$I27,"")="",0,$AB365+1)</f>
        <v/>
      </c>
    </row>
    <row r="367" spans="1:28">
      <c r="A367" s="38">
        <f>IF($B$1&gt;=DATE(2026,12,23),1,0)</f>
        <v/>
      </c>
      <c r="B367" s="38">
        <f>IFERROR(IF('Дек'!$B28=TRUE,1,0),0)</f>
        <v/>
      </c>
      <c r="C367" s="38">
        <f>IFERROR(IF('Дек'!$C28=TRUE,1,0),0)</f>
        <v/>
      </c>
      <c r="D367" s="38">
        <f>IFERROR(IF('Дек'!$D28=TRUE,1,0),0)</f>
        <v/>
      </c>
      <c r="E367" s="38">
        <f>IFERROR(IF('Дек'!$E28=TRUE,1,0),0)</f>
        <v/>
      </c>
      <c r="F367" s="38">
        <f>IFERROR(IF('Дек'!$F28=TRUE,1,0),0)</f>
        <v/>
      </c>
      <c r="G367" s="38">
        <f>IFERROR(IF('Дек'!$G28=TRUE,1,0),0)</f>
        <v/>
      </c>
      <c r="H367" s="38">
        <f>IFERROR(IF('Дек'!$H28=TRUE,1,0),0)</f>
        <v/>
      </c>
      <c r="I367" s="38">
        <f>IF($A367=0,$I366,IF($B367=1,$I366+1,IF($P367&lt;=1,$I366,0)))</f>
        <v/>
      </c>
      <c r="J367" s="38">
        <f>IF($A367=0,$J366,IF($C367=1,$J366+1,IF($Q367&lt;=1,$J366,0)))</f>
        <v/>
      </c>
      <c r="K367" s="38">
        <f>IF($A367=0,$K366,IF($D367=1,$K366+1,IF($R367&lt;=1,$K366,0)))</f>
        <v/>
      </c>
      <c r="L367" s="38">
        <f>IF($A367=0,$L366,IF($E367=1,$L366+1,IF($S367&lt;=1,$L366,0)))</f>
        <v/>
      </c>
      <c r="M367" s="38">
        <f>IF($A367=0,$M366,IF($F367=1,$M366+1,IF($T367&lt;=1,$M366,0)))</f>
        <v/>
      </c>
      <c r="N367" s="38">
        <f>IF($A367=0,$N366,IF($G367=1,$N366+1,IF($U367&lt;=1,$N366,0)))</f>
        <v/>
      </c>
      <c r="O367" s="38">
        <f>IF($A367=0,$O366,IF($H367=1,$O366+1,IF($V367&lt;=1,$O366,0)))</f>
        <v/>
      </c>
      <c r="P367" s="38">
        <f>IF($A367=0,$P366,$P366+IF($B367=1,0,1))</f>
        <v/>
      </c>
      <c r="Q367" s="38">
        <f>IF($A367=0,$Q366,$Q366+IF($C367=1,0,1))</f>
        <v/>
      </c>
      <c r="R367" s="38">
        <f>IF($A367=0,$R366,$R366+IF($D367=1,0,1))</f>
        <v/>
      </c>
      <c r="S367" s="38">
        <f>IF($A367=0,$S366,$S366+IF($E367=1,0,1))</f>
        <v/>
      </c>
      <c r="T367" s="38">
        <f>IF($A367=0,$T366,$T366+IF($F367=1,0,1))</f>
        <v/>
      </c>
      <c r="U367" s="38">
        <f>IF($A367=0,$U366,$U366+IF($G367=1,0,1))</f>
        <v/>
      </c>
      <c r="V367" s="38">
        <f>IF($A367=0,$V366,$V366+IF($H367=1,0,1))</f>
        <v/>
      </c>
      <c r="W367" s="38">
        <f>SUM($B367:$H367)</f>
        <v/>
      </c>
      <c r="X367" s="38">
        <f>IF(AND($A367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367=1),1,0)+IF(AND($G$1=7,$C367=1),1,0)+IF(AND($H$1=7,$D367=1),1,0)+IF(AND($I$1=7,$E367=1),1,0)+IF(AND($J$1=7,$F367=1),1,0)+IF(AND($K$1=7,$G367=1),1,0)+IF(AND($L$1=7,$H367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7" s="38">
        <f>IF($B367=1,IF($F$1&lt;7,10,IF(AND($F$1=7,$I366=0,$P366&gt;1),15,IF($I366&gt;=20,15,IF($I366&gt;=6,13,10)))),0)+IF($C367=1,IF($G$1&lt;7,10,IF(AND($G$1=7,$J366=0,$Q366&gt;1),15,IF($J366&gt;=20,15,IF($J366&gt;=6,13,10)))),0)+IF($D367=1,IF($H$1&lt;7,10,IF(AND($H$1=7,$K366=0,$R366&gt;1),15,IF($K366&gt;=20,15,IF($K366&gt;=6,13,10)))),0)+IF($E367=1,IF($I$1&lt;7,10,IF(AND($I$1=7,$L366=0,$S366&gt;1),15,IF($L366&gt;=20,15,IF($L366&gt;=6,13,10)))),0)+IF($F367=1,IF($J$1&lt;7,10,IF(AND($J$1=7,$M366=0,$T366&gt;1),15,IF($M366&gt;=20,15,IF($M366&gt;=6,13,10)))),0)+IF($G367=1,IF($K$1&lt;7,10,IF(AND($K$1=7,$N366=0,$U366&gt;1),15,IF($N366&gt;=20,15,IF($N366&gt;=6,13,10)))),0)+IF($H367=1,IF($L$1&lt;7,10,IF(AND($L$1=7,$O366=0,$V366&gt;1),15,IF($O366&gt;=20,15,IF($O366&gt;=6,13,10)))),0)</f>
        <v/>
      </c>
      <c r="Z367" s="38">
        <f>$Z366+$Y367</f>
        <v/>
      </c>
      <c r="AA367" s="38">
        <f>IF(AND($B367=1,AND($F$1=7,$I366=0,$P366&gt;1)),1,0)+IF(AND($C367=1,AND($G$1=7,$J366=0,$Q366&gt;1)),1,0)+IF(AND($D367=1,AND($H$1=7,$K366=0,$R366&gt;1)),1,0)+IF(AND($E367=1,AND($I$1=7,$L366=0,$S366&gt;1)),1,0)+IF(AND($F367=1,AND($J$1=7,$M366=0,$T366&gt;1)),1,0)+IF(AND($G367=1,AND($K$1=7,$N366=0,$U366&gt;1)),1,0)+IF(AND($H367=1,AND($L$1=7,$O366=0,$V366&gt;1)),1,0)</f>
        <v/>
      </c>
      <c r="AB367" s="38">
        <f>IF(IFERROR('Дек'!$I28,"")="",0,$AB366+1)</f>
        <v/>
      </c>
    </row>
    <row r="368" spans="1:28">
      <c r="A368" s="38">
        <f>IF($B$1&gt;=DATE(2026,12,24),1,0)</f>
        <v/>
      </c>
      <c r="B368" s="38">
        <f>IFERROR(IF('Дек'!$B29=TRUE,1,0),0)</f>
        <v/>
      </c>
      <c r="C368" s="38">
        <f>IFERROR(IF('Дек'!$C29=TRUE,1,0),0)</f>
        <v/>
      </c>
      <c r="D368" s="38">
        <f>IFERROR(IF('Дек'!$D29=TRUE,1,0),0)</f>
        <v/>
      </c>
      <c r="E368" s="38">
        <f>IFERROR(IF('Дек'!$E29=TRUE,1,0),0)</f>
        <v/>
      </c>
      <c r="F368" s="38">
        <f>IFERROR(IF('Дек'!$F29=TRUE,1,0),0)</f>
        <v/>
      </c>
      <c r="G368" s="38">
        <f>IFERROR(IF('Дек'!$G29=TRUE,1,0),0)</f>
        <v/>
      </c>
      <c r="H368" s="38">
        <f>IFERROR(IF('Дек'!$H29=TRUE,1,0),0)</f>
        <v/>
      </c>
      <c r="I368" s="38">
        <f>IF($A368=0,$I367,IF($B368=1,$I367+1,IF($P368&lt;=1,$I367,0)))</f>
        <v/>
      </c>
      <c r="J368" s="38">
        <f>IF($A368=0,$J367,IF($C368=1,$J367+1,IF($Q368&lt;=1,$J367,0)))</f>
        <v/>
      </c>
      <c r="K368" s="38">
        <f>IF($A368=0,$K367,IF($D368=1,$K367+1,IF($R368&lt;=1,$K367,0)))</f>
        <v/>
      </c>
      <c r="L368" s="38">
        <f>IF($A368=0,$L367,IF($E368=1,$L367+1,IF($S368&lt;=1,$L367,0)))</f>
        <v/>
      </c>
      <c r="M368" s="38">
        <f>IF($A368=0,$M367,IF($F368=1,$M367+1,IF($T368&lt;=1,$M367,0)))</f>
        <v/>
      </c>
      <c r="N368" s="38">
        <f>IF($A368=0,$N367,IF($G368=1,$N367+1,IF($U368&lt;=1,$N367,0)))</f>
        <v/>
      </c>
      <c r="O368" s="38">
        <f>IF($A368=0,$O367,IF($H368=1,$O367+1,IF($V368&lt;=1,$O367,0)))</f>
        <v/>
      </c>
      <c r="P368" s="38">
        <f>IF($A368=0,$P367,$P367+IF($B368=1,0,1))</f>
        <v/>
      </c>
      <c r="Q368" s="38">
        <f>IF($A368=0,$Q367,$Q367+IF($C368=1,0,1))</f>
        <v/>
      </c>
      <c r="R368" s="38">
        <f>IF($A368=0,$R367,$R367+IF($D368=1,0,1))</f>
        <v/>
      </c>
      <c r="S368" s="38">
        <f>IF($A368=0,$S367,$S367+IF($E368=1,0,1))</f>
        <v/>
      </c>
      <c r="T368" s="38">
        <f>IF($A368=0,$T367,$T367+IF($F368=1,0,1))</f>
        <v/>
      </c>
      <c r="U368" s="38">
        <f>IF($A368=0,$U367,$U367+IF($G368=1,0,1))</f>
        <v/>
      </c>
      <c r="V368" s="38">
        <f>IF($A368=0,$V367,$V367+IF($H368=1,0,1))</f>
        <v/>
      </c>
      <c r="W368" s="38">
        <f>SUM($B368:$H368)</f>
        <v/>
      </c>
      <c r="X368" s="38">
        <f>IF(AND($A368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368=1),1,0)+IF(AND($G$1=7,$C368=1),1,0)+IF(AND($H$1=7,$D368=1),1,0)+IF(AND($I$1=7,$E368=1),1,0)+IF(AND($J$1=7,$F368=1),1,0)+IF(AND($K$1=7,$G368=1),1,0)+IF(AND($L$1=7,$H368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8" s="38">
        <f>IF($B368=1,IF($F$1&lt;7,10,IF(AND($F$1=7,$I367=0,$P367&gt;1),15,IF($I367&gt;=20,15,IF($I367&gt;=6,13,10)))),0)+IF($C368=1,IF($G$1&lt;7,10,IF(AND($G$1=7,$J367=0,$Q367&gt;1),15,IF($J367&gt;=20,15,IF($J367&gt;=6,13,10)))),0)+IF($D368=1,IF($H$1&lt;7,10,IF(AND($H$1=7,$K367=0,$R367&gt;1),15,IF($K367&gt;=20,15,IF($K367&gt;=6,13,10)))),0)+IF($E368=1,IF($I$1&lt;7,10,IF(AND($I$1=7,$L367=0,$S367&gt;1),15,IF($L367&gt;=20,15,IF($L367&gt;=6,13,10)))),0)+IF($F368=1,IF($J$1&lt;7,10,IF(AND($J$1=7,$M367=0,$T367&gt;1),15,IF($M367&gt;=20,15,IF($M367&gt;=6,13,10)))),0)+IF($G368=1,IF($K$1&lt;7,10,IF(AND($K$1=7,$N367=0,$U367&gt;1),15,IF($N367&gt;=20,15,IF($N367&gt;=6,13,10)))),0)+IF($H368=1,IF($L$1&lt;7,10,IF(AND($L$1=7,$O367=0,$V367&gt;1),15,IF($O367&gt;=20,15,IF($O367&gt;=6,13,10)))),0)</f>
        <v/>
      </c>
      <c r="Z368" s="38">
        <f>$Z367+$Y368</f>
        <v/>
      </c>
      <c r="AA368" s="38">
        <f>IF(AND($B368=1,AND($F$1=7,$I367=0,$P367&gt;1)),1,0)+IF(AND($C368=1,AND($G$1=7,$J367=0,$Q367&gt;1)),1,0)+IF(AND($D368=1,AND($H$1=7,$K367=0,$R367&gt;1)),1,0)+IF(AND($E368=1,AND($I$1=7,$L367=0,$S367&gt;1)),1,0)+IF(AND($F368=1,AND($J$1=7,$M367=0,$T367&gt;1)),1,0)+IF(AND($G368=1,AND($K$1=7,$N367=0,$U367&gt;1)),1,0)+IF(AND($H368=1,AND($L$1=7,$O367=0,$V367&gt;1)),1,0)</f>
        <v/>
      </c>
      <c r="AB368" s="38">
        <f>IF(IFERROR('Дек'!$I29,"")="",0,$AB367+1)</f>
        <v/>
      </c>
    </row>
    <row r="369" spans="1:28">
      <c r="A369" s="38">
        <f>IF($B$1&gt;=DATE(2026,12,25),1,0)</f>
        <v/>
      </c>
      <c r="B369" s="38">
        <f>IFERROR(IF('Дек'!$B30=TRUE,1,0),0)</f>
        <v/>
      </c>
      <c r="C369" s="38">
        <f>IFERROR(IF('Дек'!$C30=TRUE,1,0),0)</f>
        <v/>
      </c>
      <c r="D369" s="38">
        <f>IFERROR(IF('Дек'!$D30=TRUE,1,0),0)</f>
        <v/>
      </c>
      <c r="E369" s="38">
        <f>IFERROR(IF('Дек'!$E30=TRUE,1,0),0)</f>
        <v/>
      </c>
      <c r="F369" s="38">
        <f>IFERROR(IF('Дек'!$F30=TRUE,1,0),0)</f>
        <v/>
      </c>
      <c r="G369" s="38">
        <f>IFERROR(IF('Дек'!$G30=TRUE,1,0),0)</f>
        <v/>
      </c>
      <c r="H369" s="38">
        <f>IFERROR(IF('Дек'!$H30=TRUE,1,0),0)</f>
        <v/>
      </c>
      <c r="I369" s="38">
        <f>IF($A369=0,$I368,IF($B369=1,$I368+1,IF($P369&lt;=1,$I368,0)))</f>
        <v/>
      </c>
      <c r="J369" s="38">
        <f>IF($A369=0,$J368,IF($C369=1,$J368+1,IF($Q369&lt;=1,$J368,0)))</f>
        <v/>
      </c>
      <c r="K369" s="38">
        <f>IF($A369=0,$K368,IF($D369=1,$K368+1,IF($R369&lt;=1,$K368,0)))</f>
        <v/>
      </c>
      <c r="L369" s="38">
        <f>IF($A369=0,$L368,IF($E369=1,$L368+1,IF($S369&lt;=1,$L368,0)))</f>
        <v/>
      </c>
      <c r="M369" s="38">
        <f>IF($A369=0,$M368,IF($F369=1,$M368+1,IF($T369&lt;=1,$M368,0)))</f>
        <v/>
      </c>
      <c r="N369" s="38">
        <f>IF($A369=0,$N368,IF($G369=1,$N368+1,IF($U369&lt;=1,$N368,0)))</f>
        <v/>
      </c>
      <c r="O369" s="38">
        <f>IF($A369=0,$O368,IF($H369=1,$O368+1,IF($V369&lt;=1,$O368,0)))</f>
        <v/>
      </c>
      <c r="P369" s="38">
        <f>IF($A369=0,$P368,$P368+IF($B369=1,0,1))</f>
        <v/>
      </c>
      <c r="Q369" s="38">
        <f>IF($A369=0,$Q368,$Q368+IF($C369=1,0,1))</f>
        <v/>
      </c>
      <c r="R369" s="38">
        <f>IF($A369=0,$R368,$R368+IF($D369=1,0,1))</f>
        <v/>
      </c>
      <c r="S369" s="38">
        <f>IF($A369=0,$S368,$S368+IF($E369=1,0,1))</f>
        <v/>
      </c>
      <c r="T369" s="38">
        <f>IF($A369=0,$T368,$T368+IF($F369=1,0,1))</f>
        <v/>
      </c>
      <c r="U369" s="38">
        <f>IF($A369=0,$U368,$U368+IF($G369=1,0,1))</f>
        <v/>
      </c>
      <c r="V369" s="38">
        <f>IF($A369=0,$V368,$V368+IF($H369=1,0,1))</f>
        <v/>
      </c>
      <c r="W369" s="38">
        <f>SUM($B369:$H369)</f>
        <v/>
      </c>
      <c r="X369" s="38">
        <f>IF(AND($A369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369=1),1,0)+IF(AND($G$1=7,$C369=1),1,0)+IF(AND($H$1=7,$D369=1),1,0)+IF(AND($I$1=7,$E369=1),1,0)+IF(AND($J$1=7,$F369=1),1,0)+IF(AND($K$1=7,$G369=1),1,0)+IF(AND($L$1=7,$H369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9" s="38">
        <f>IF($B369=1,IF($F$1&lt;7,10,IF(AND($F$1=7,$I368=0,$P368&gt;1),15,IF($I368&gt;=20,15,IF($I368&gt;=6,13,10)))),0)+IF($C369=1,IF($G$1&lt;7,10,IF(AND($G$1=7,$J368=0,$Q368&gt;1),15,IF($J368&gt;=20,15,IF($J368&gt;=6,13,10)))),0)+IF($D369=1,IF($H$1&lt;7,10,IF(AND($H$1=7,$K368=0,$R368&gt;1),15,IF($K368&gt;=20,15,IF($K368&gt;=6,13,10)))),0)+IF($E369=1,IF($I$1&lt;7,10,IF(AND($I$1=7,$L368=0,$S368&gt;1),15,IF($L368&gt;=20,15,IF($L368&gt;=6,13,10)))),0)+IF($F369=1,IF($J$1&lt;7,10,IF(AND($J$1=7,$M368=0,$T368&gt;1),15,IF($M368&gt;=20,15,IF($M368&gt;=6,13,10)))),0)+IF($G369=1,IF($K$1&lt;7,10,IF(AND($K$1=7,$N368=0,$U368&gt;1),15,IF($N368&gt;=20,15,IF($N368&gt;=6,13,10)))),0)+IF($H369=1,IF($L$1&lt;7,10,IF(AND($L$1=7,$O368=0,$V368&gt;1),15,IF($O368&gt;=20,15,IF($O368&gt;=6,13,10)))),0)</f>
        <v/>
      </c>
      <c r="Z369" s="38">
        <f>$Z368+$Y369</f>
        <v/>
      </c>
      <c r="AA369" s="38">
        <f>IF(AND($B369=1,AND($F$1=7,$I368=0,$P368&gt;1)),1,0)+IF(AND($C369=1,AND($G$1=7,$J368=0,$Q368&gt;1)),1,0)+IF(AND($D369=1,AND($H$1=7,$K368=0,$R368&gt;1)),1,0)+IF(AND($E369=1,AND($I$1=7,$L368=0,$S368&gt;1)),1,0)+IF(AND($F369=1,AND($J$1=7,$M368=0,$T368&gt;1)),1,0)+IF(AND($G369=1,AND($K$1=7,$N368=0,$U368&gt;1)),1,0)+IF(AND($H369=1,AND($L$1=7,$O368=0,$V368&gt;1)),1,0)</f>
        <v/>
      </c>
      <c r="AB369" s="38">
        <f>IF(IFERROR('Дек'!$I30,"")="",0,$AB368+1)</f>
        <v/>
      </c>
    </row>
    <row r="370" spans="1:28">
      <c r="A370" s="38">
        <f>IF($B$1&gt;=DATE(2026,12,26),1,0)</f>
        <v/>
      </c>
      <c r="B370" s="38">
        <f>IFERROR(IF('Дек'!$B31=TRUE,1,0),0)</f>
        <v/>
      </c>
      <c r="C370" s="38">
        <f>IFERROR(IF('Дек'!$C31=TRUE,1,0),0)</f>
        <v/>
      </c>
      <c r="D370" s="38">
        <f>IFERROR(IF('Дек'!$D31=TRUE,1,0),0)</f>
        <v/>
      </c>
      <c r="E370" s="38">
        <f>IFERROR(IF('Дек'!$E31=TRUE,1,0),0)</f>
        <v/>
      </c>
      <c r="F370" s="38">
        <f>IFERROR(IF('Дек'!$F31=TRUE,1,0),0)</f>
        <v/>
      </c>
      <c r="G370" s="38">
        <f>IFERROR(IF('Дек'!$G31=TRUE,1,0),0)</f>
        <v/>
      </c>
      <c r="H370" s="38">
        <f>IFERROR(IF('Дек'!$H31=TRUE,1,0),0)</f>
        <v/>
      </c>
      <c r="I370" s="38">
        <f>IF($A370=0,$I369,IF($B370=1,$I369+1,IF($P370&lt;=1,$I369,0)))</f>
        <v/>
      </c>
      <c r="J370" s="38">
        <f>IF($A370=0,$J369,IF($C370=1,$J369+1,IF($Q370&lt;=1,$J369,0)))</f>
        <v/>
      </c>
      <c r="K370" s="38">
        <f>IF($A370=0,$K369,IF($D370=1,$K369+1,IF($R370&lt;=1,$K369,0)))</f>
        <v/>
      </c>
      <c r="L370" s="38">
        <f>IF($A370=0,$L369,IF($E370=1,$L369+1,IF($S370&lt;=1,$L369,0)))</f>
        <v/>
      </c>
      <c r="M370" s="38">
        <f>IF($A370=0,$M369,IF($F370=1,$M369+1,IF($T370&lt;=1,$M369,0)))</f>
        <v/>
      </c>
      <c r="N370" s="38">
        <f>IF($A370=0,$N369,IF($G370=1,$N369+1,IF($U370&lt;=1,$N369,0)))</f>
        <v/>
      </c>
      <c r="O370" s="38">
        <f>IF($A370=0,$O369,IF($H370=1,$O369+1,IF($V370&lt;=1,$O369,0)))</f>
        <v/>
      </c>
      <c r="P370" s="38">
        <f>IF($A370=0,$P369,$P369+IF($B370=1,0,1))</f>
        <v/>
      </c>
      <c r="Q370" s="38">
        <f>IF($A370=0,$Q369,$Q369+IF($C370=1,0,1))</f>
        <v/>
      </c>
      <c r="R370" s="38">
        <f>IF($A370=0,$R369,$R369+IF($D370=1,0,1))</f>
        <v/>
      </c>
      <c r="S370" s="38">
        <f>IF($A370=0,$S369,$S369+IF($E370=1,0,1))</f>
        <v/>
      </c>
      <c r="T370" s="38">
        <f>IF($A370=0,$T369,$T369+IF($F370=1,0,1))</f>
        <v/>
      </c>
      <c r="U370" s="38">
        <f>IF($A370=0,$U369,$U369+IF($G370=1,0,1))</f>
        <v/>
      </c>
      <c r="V370" s="38">
        <f>IF($A370=0,$V369,$V369+IF($H370=1,0,1))</f>
        <v/>
      </c>
      <c r="W370" s="38">
        <f>SUM($B370:$H370)</f>
        <v/>
      </c>
      <c r="X370" s="38">
        <f>IF(AND($A370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370=1),1,0)+IF(AND($G$1=7,$C370=1),1,0)+IF(AND($H$1=7,$D370=1),1,0)+IF(AND($I$1=7,$E370=1),1,0)+IF(AND($J$1=7,$F370=1),1,0)+IF(AND($K$1=7,$G370=1),1,0)+IF(AND($L$1=7,$H370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0" s="38">
        <f>IF($B370=1,IF($F$1&lt;7,10,IF(AND($F$1=7,$I369=0,$P369&gt;1),15,IF($I369&gt;=20,15,IF($I369&gt;=6,13,10)))),0)+IF($C370=1,IF($G$1&lt;7,10,IF(AND($G$1=7,$J369=0,$Q369&gt;1),15,IF($J369&gt;=20,15,IF($J369&gt;=6,13,10)))),0)+IF($D370=1,IF($H$1&lt;7,10,IF(AND($H$1=7,$K369=0,$R369&gt;1),15,IF($K369&gt;=20,15,IF($K369&gt;=6,13,10)))),0)+IF($E370=1,IF($I$1&lt;7,10,IF(AND($I$1=7,$L369=0,$S369&gt;1),15,IF($L369&gt;=20,15,IF($L369&gt;=6,13,10)))),0)+IF($F370=1,IF($J$1&lt;7,10,IF(AND($J$1=7,$M369=0,$T369&gt;1),15,IF($M369&gt;=20,15,IF($M369&gt;=6,13,10)))),0)+IF($G370=1,IF($K$1&lt;7,10,IF(AND($K$1=7,$N369=0,$U369&gt;1),15,IF($N369&gt;=20,15,IF($N369&gt;=6,13,10)))),0)+IF($H370=1,IF($L$1&lt;7,10,IF(AND($L$1=7,$O369=0,$V369&gt;1),15,IF($O369&gt;=20,15,IF($O369&gt;=6,13,10)))),0)</f>
        <v/>
      </c>
      <c r="Z370" s="38">
        <f>$Z369+$Y370</f>
        <v/>
      </c>
      <c r="AA370" s="38">
        <f>IF(AND($B370=1,AND($F$1=7,$I369=0,$P369&gt;1)),1,0)+IF(AND($C370=1,AND($G$1=7,$J369=0,$Q369&gt;1)),1,0)+IF(AND($D370=1,AND($H$1=7,$K369=0,$R369&gt;1)),1,0)+IF(AND($E370=1,AND($I$1=7,$L369=0,$S369&gt;1)),1,0)+IF(AND($F370=1,AND($J$1=7,$M369=0,$T369&gt;1)),1,0)+IF(AND($G370=1,AND($K$1=7,$N369=0,$U369&gt;1)),1,0)+IF(AND($H370=1,AND($L$1=7,$O369=0,$V369&gt;1)),1,0)</f>
        <v/>
      </c>
      <c r="AB370" s="38">
        <f>IF(IFERROR('Дек'!$I31,"")="",0,$AB369+1)</f>
        <v/>
      </c>
    </row>
    <row r="371" spans="1:28">
      <c r="A371" s="38">
        <f>IF($B$1&gt;=DATE(2026,12,27),1,0)</f>
        <v/>
      </c>
      <c r="B371" s="38">
        <f>IFERROR(IF('Дек'!$B32=TRUE,1,0),0)</f>
        <v/>
      </c>
      <c r="C371" s="38">
        <f>IFERROR(IF('Дек'!$C32=TRUE,1,0),0)</f>
        <v/>
      </c>
      <c r="D371" s="38">
        <f>IFERROR(IF('Дек'!$D32=TRUE,1,0),0)</f>
        <v/>
      </c>
      <c r="E371" s="38">
        <f>IFERROR(IF('Дек'!$E32=TRUE,1,0),0)</f>
        <v/>
      </c>
      <c r="F371" s="38">
        <f>IFERROR(IF('Дек'!$F32=TRUE,1,0),0)</f>
        <v/>
      </c>
      <c r="G371" s="38">
        <f>IFERROR(IF('Дек'!$G32=TRUE,1,0),0)</f>
        <v/>
      </c>
      <c r="H371" s="38">
        <f>IFERROR(IF('Дек'!$H32=TRUE,1,0),0)</f>
        <v/>
      </c>
      <c r="I371" s="38">
        <f>IF($A371=0,$I370,IF($B371=1,$I370+1,IF($P371&lt;=1,$I370,0)))</f>
        <v/>
      </c>
      <c r="J371" s="38">
        <f>IF($A371=0,$J370,IF($C371=1,$J370+1,IF($Q371&lt;=1,$J370,0)))</f>
        <v/>
      </c>
      <c r="K371" s="38">
        <f>IF($A371=0,$K370,IF($D371=1,$K370+1,IF($R371&lt;=1,$K370,0)))</f>
        <v/>
      </c>
      <c r="L371" s="38">
        <f>IF($A371=0,$L370,IF($E371=1,$L370+1,IF($S371&lt;=1,$L370,0)))</f>
        <v/>
      </c>
      <c r="M371" s="38">
        <f>IF($A371=0,$M370,IF($F371=1,$M370+1,IF($T371&lt;=1,$M370,0)))</f>
        <v/>
      </c>
      <c r="N371" s="38">
        <f>IF($A371=0,$N370,IF($G371=1,$N370+1,IF($U371&lt;=1,$N370,0)))</f>
        <v/>
      </c>
      <c r="O371" s="38">
        <f>IF($A371=0,$O370,IF($H371=1,$O370+1,IF($V371&lt;=1,$O370,0)))</f>
        <v/>
      </c>
      <c r="P371" s="38">
        <f>IF($A371=0,$P370,$P370+IF($B371=1,0,1))</f>
        <v/>
      </c>
      <c r="Q371" s="38">
        <f>IF($A371=0,$Q370,$Q370+IF($C371=1,0,1))</f>
        <v/>
      </c>
      <c r="R371" s="38">
        <f>IF($A371=0,$R370,$R370+IF($D371=1,0,1))</f>
        <v/>
      </c>
      <c r="S371" s="38">
        <f>IF($A371=0,$S370,$S370+IF($E371=1,0,1))</f>
        <v/>
      </c>
      <c r="T371" s="38">
        <f>IF($A371=0,$T370,$T370+IF($F371=1,0,1))</f>
        <v/>
      </c>
      <c r="U371" s="38">
        <f>IF($A371=0,$U370,$U370+IF($G371=1,0,1))</f>
        <v/>
      </c>
      <c r="V371" s="38">
        <f>IF($A371=0,$V370,$V370+IF($H371=1,0,1))</f>
        <v/>
      </c>
      <c r="W371" s="38">
        <f>SUM($B371:$H371)</f>
        <v/>
      </c>
      <c r="X371" s="38">
        <f>IF(AND($A371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371=1),1,0)+IF(AND($G$1=7,$C371=1),1,0)+IF(AND($H$1=7,$D371=1),1,0)+IF(AND($I$1=7,$E371=1),1,0)+IF(AND($J$1=7,$F371=1),1,0)+IF(AND($K$1=7,$G371=1),1,0)+IF(AND($L$1=7,$H371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1" s="38">
        <f>IF($B371=1,IF($F$1&lt;7,10,IF(AND($F$1=7,$I370=0,$P370&gt;1),15,IF($I370&gt;=20,15,IF($I370&gt;=6,13,10)))),0)+IF($C371=1,IF($G$1&lt;7,10,IF(AND($G$1=7,$J370=0,$Q370&gt;1),15,IF($J370&gt;=20,15,IF($J370&gt;=6,13,10)))),0)+IF($D371=1,IF($H$1&lt;7,10,IF(AND($H$1=7,$K370=0,$R370&gt;1),15,IF($K370&gt;=20,15,IF($K370&gt;=6,13,10)))),0)+IF($E371=1,IF($I$1&lt;7,10,IF(AND($I$1=7,$L370=0,$S370&gt;1),15,IF($L370&gt;=20,15,IF($L370&gt;=6,13,10)))),0)+IF($F371=1,IF($J$1&lt;7,10,IF(AND($J$1=7,$M370=0,$T370&gt;1),15,IF($M370&gt;=20,15,IF($M370&gt;=6,13,10)))),0)+IF($G371=1,IF($K$1&lt;7,10,IF(AND($K$1=7,$N370=0,$U370&gt;1),15,IF($N370&gt;=20,15,IF($N370&gt;=6,13,10)))),0)+IF($H371=1,IF($L$1&lt;7,10,IF(AND($L$1=7,$O370=0,$V370&gt;1),15,IF($O370&gt;=20,15,IF($O370&gt;=6,13,10)))),0)</f>
        <v/>
      </c>
      <c r="Z371" s="38">
        <f>$Z370+$Y371</f>
        <v/>
      </c>
      <c r="AA371" s="38">
        <f>IF(AND($B371=1,AND($F$1=7,$I370=0,$P370&gt;1)),1,0)+IF(AND($C371=1,AND($G$1=7,$J370=0,$Q370&gt;1)),1,0)+IF(AND($D371=1,AND($H$1=7,$K370=0,$R370&gt;1)),1,0)+IF(AND($E371=1,AND($I$1=7,$L370=0,$S370&gt;1)),1,0)+IF(AND($F371=1,AND($J$1=7,$M370=0,$T370&gt;1)),1,0)+IF(AND($G371=1,AND($K$1=7,$N370=0,$U370&gt;1)),1,0)+IF(AND($H371=1,AND($L$1=7,$O370=0,$V370&gt;1)),1,0)</f>
        <v/>
      </c>
      <c r="AB371" s="38">
        <f>IF(IFERROR('Дек'!$I32,"")="",0,$AB370+1)</f>
        <v/>
      </c>
    </row>
    <row r="372" spans="1:28">
      <c r="A372" s="38">
        <f>IF($B$1&gt;=DATE(2026,12,28),1,0)</f>
        <v/>
      </c>
      <c r="B372" s="38">
        <f>IFERROR(IF('Дек'!$B33=TRUE,1,0),0)</f>
        <v/>
      </c>
      <c r="C372" s="38">
        <f>IFERROR(IF('Дек'!$C33=TRUE,1,0),0)</f>
        <v/>
      </c>
      <c r="D372" s="38">
        <f>IFERROR(IF('Дек'!$D33=TRUE,1,0),0)</f>
        <v/>
      </c>
      <c r="E372" s="38">
        <f>IFERROR(IF('Дек'!$E33=TRUE,1,0),0)</f>
        <v/>
      </c>
      <c r="F372" s="38">
        <f>IFERROR(IF('Дек'!$F33=TRUE,1,0),0)</f>
        <v/>
      </c>
      <c r="G372" s="38">
        <f>IFERROR(IF('Дек'!$G33=TRUE,1,0),0)</f>
        <v/>
      </c>
      <c r="H372" s="38">
        <f>IFERROR(IF('Дек'!$H33=TRUE,1,0),0)</f>
        <v/>
      </c>
      <c r="I372" s="38">
        <f>IF($A372=0,$I371,IF($B372=1,$I371+1,IF($P372&lt;=1,$I371,0)))</f>
        <v/>
      </c>
      <c r="J372" s="38">
        <f>IF($A372=0,$J371,IF($C372=1,$J371+1,IF($Q372&lt;=1,$J371,0)))</f>
        <v/>
      </c>
      <c r="K372" s="38">
        <f>IF($A372=0,$K371,IF($D372=1,$K371+1,IF($R372&lt;=1,$K371,0)))</f>
        <v/>
      </c>
      <c r="L372" s="38">
        <f>IF($A372=0,$L371,IF($E372=1,$L371+1,IF($S372&lt;=1,$L371,0)))</f>
        <v/>
      </c>
      <c r="M372" s="38">
        <f>IF($A372=0,$M371,IF($F372=1,$M371+1,IF($T372&lt;=1,$M371,0)))</f>
        <v/>
      </c>
      <c r="N372" s="38">
        <f>IF($A372=0,$N371,IF($G372=1,$N371+1,IF($U372&lt;=1,$N371,0)))</f>
        <v/>
      </c>
      <c r="O372" s="38">
        <f>IF($A372=0,$O371,IF($H372=1,$O371+1,IF($V372&lt;=1,$O371,0)))</f>
        <v/>
      </c>
      <c r="P372" s="38">
        <f>IF($A372=0,$P371,$P371+IF($B372=1,0,1))</f>
        <v/>
      </c>
      <c r="Q372" s="38">
        <f>IF($A372=0,$Q371,$Q371+IF($C372=1,0,1))</f>
        <v/>
      </c>
      <c r="R372" s="38">
        <f>IF($A372=0,$R371,$R371+IF($D372=1,0,1))</f>
        <v/>
      </c>
      <c r="S372" s="38">
        <f>IF($A372=0,$S371,$S371+IF($E372=1,0,1))</f>
        <v/>
      </c>
      <c r="T372" s="38">
        <f>IF($A372=0,$T371,$T371+IF($F372=1,0,1))</f>
        <v/>
      </c>
      <c r="U372" s="38">
        <f>IF($A372=0,$U371,$U371+IF($G372=1,0,1))</f>
        <v/>
      </c>
      <c r="V372" s="38">
        <f>IF($A372=0,$V371,$V371+IF($H372=1,0,1))</f>
        <v/>
      </c>
      <c r="W372" s="38">
        <f>SUM($B372:$H372)</f>
        <v/>
      </c>
      <c r="X372" s="38">
        <f>IF(AND($A372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372=1),1,0)+IF(AND($G$1=7,$C372=1),1,0)+IF(AND($H$1=7,$D372=1),1,0)+IF(AND($I$1=7,$E372=1),1,0)+IF(AND($J$1=7,$F372=1),1,0)+IF(AND($K$1=7,$G372=1),1,0)+IF(AND($L$1=7,$H372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2" s="38">
        <f>IF($B372=1,IF($F$1&lt;7,10,IF(AND($F$1=7,$I371=0,$P371&gt;1),15,IF($I371&gt;=20,15,IF($I371&gt;=6,13,10)))),0)+IF($C372=1,IF($G$1&lt;7,10,IF(AND($G$1=7,$J371=0,$Q371&gt;1),15,IF($J371&gt;=20,15,IF($J371&gt;=6,13,10)))),0)+IF($D372=1,IF($H$1&lt;7,10,IF(AND($H$1=7,$K371=0,$R371&gt;1),15,IF($K371&gt;=20,15,IF($K371&gt;=6,13,10)))),0)+IF($E372=1,IF($I$1&lt;7,10,IF(AND($I$1=7,$L371=0,$S371&gt;1),15,IF($L371&gt;=20,15,IF($L371&gt;=6,13,10)))),0)+IF($F372=1,IF($J$1&lt;7,10,IF(AND($J$1=7,$M371=0,$T371&gt;1),15,IF($M371&gt;=20,15,IF($M371&gt;=6,13,10)))),0)+IF($G372=1,IF($K$1&lt;7,10,IF(AND($K$1=7,$N371=0,$U371&gt;1),15,IF($N371&gt;=20,15,IF($N371&gt;=6,13,10)))),0)+IF($H372=1,IF($L$1&lt;7,10,IF(AND($L$1=7,$O371=0,$V371&gt;1),15,IF($O371&gt;=20,15,IF($O371&gt;=6,13,10)))),0)</f>
        <v/>
      </c>
      <c r="Z372" s="38">
        <f>$Z371+$Y372</f>
        <v/>
      </c>
      <c r="AA372" s="38">
        <f>IF(AND($B372=1,AND($F$1=7,$I371=0,$P371&gt;1)),1,0)+IF(AND($C372=1,AND($G$1=7,$J371=0,$Q371&gt;1)),1,0)+IF(AND($D372=1,AND($H$1=7,$K371=0,$R371&gt;1)),1,0)+IF(AND($E372=1,AND($I$1=7,$L371=0,$S371&gt;1)),1,0)+IF(AND($F372=1,AND($J$1=7,$M371=0,$T371&gt;1)),1,0)+IF(AND($G372=1,AND($K$1=7,$N371=0,$U371&gt;1)),1,0)+IF(AND($H372=1,AND($L$1=7,$O371=0,$V371&gt;1)),1,0)</f>
        <v/>
      </c>
      <c r="AB372" s="38">
        <f>IF(IFERROR('Дек'!$I33,"")="",0,$AB371+1)</f>
        <v/>
      </c>
    </row>
    <row r="373" spans="1:28">
      <c r="A373" s="38">
        <f>IF($B$1&gt;=DATE(2026,12,29),1,0)</f>
        <v/>
      </c>
      <c r="B373" s="38">
        <f>IFERROR(IF('Дек'!$B34=TRUE,1,0),0)</f>
        <v/>
      </c>
      <c r="C373" s="38">
        <f>IFERROR(IF('Дек'!$C34=TRUE,1,0),0)</f>
        <v/>
      </c>
      <c r="D373" s="38">
        <f>IFERROR(IF('Дек'!$D34=TRUE,1,0),0)</f>
        <v/>
      </c>
      <c r="E373" s="38">
        <f>IFERROR(IF('Дек'!$E34=TRUE,1,0),0)</f>
        <v/>
      </c>
      <c r="F373" s="38">
        <f>IFERROR(IF('Дек'!$F34=TRUE,1,0),0)</f>
        <v/>
      </c>
      <c r="G373" s="38">
        <f>IFERROR(IF('Дек'!$G34=TRUE,1,0),0)</f>
        <v/>
      </c>
      <c r="H373" s="38">
        <f>IFERROR(IF('Дек'!$H34=TRUE,1,0),0)</f>
        <v/>
      </c>
      <c r="I373" s="38">
        <f>IF($A373=0,$I372,IF($B373=1,$I372+1,IF($P373&lt;=1,$I372,0)))</f>
        <v/>
      </c>
      <c r="J373" s="38">
        <f>IF($A373=0,$J372,IF($C373=1,$J372+1,IF($Q373&lt;=1,$J372,0)))</f>
        <v/>
      </c>
      <c r="K373" s="38">
        <f>IF($A373=0,$K372,IF($D373=1,$K372+1,IF($R373&lt;=1,$K372,0)))</f>
        <v/>
      </c>
      <c r="L373" s="38">
        <f>IF($A373=0,$L372,IF($E373=1,$L372+1,IF($S373&lt;=1,$L372,0)))</f>
        <v/>
      </c>
      <c r="M373" s="38">
        <f>IF($A373=0,$M372,IF($F373=1,$M372+1,IF($T373&lt;=1,$M372,0)))</f>
        <v/>
      </c>
      <c r="N373" s="38">
        <f>IF($A373=0,$N372,IF($G373=1,$N372+1,IF($U373&lt;=1,$N372,0)))</f>
        <v/>
      </c>
      <c r="O373" s="38">
        <f>IF($A373=0,$O372,IF($H373=1,$O372+1,IF($V373&lt;=1,$O372,0)))</f>
        <v/>
      </c>
      <c r="P373" s="38">
        <f>IF($A373=0,$P372,$P372+IF($B373=1,0,1))</f>
        <v/>
      </c>
      <c r="Q373" s="38">
        <f>IF($A373=0,$Q372,$Q372+IF($C373=1,0,1))</f>
        <v/>
      </c>
      <c r="R373" s="38">
        <f>IF($A373=0,$R372,$R372+IF($D373=1,0,1))</f>
        <v/>
      </c>
      <c r="S373" s="38">
        <f>IF($A373=0,$S372,$S372+IF($E373=1,0,1))</f>
        <v/>
      </c>
      <c r="T373" s="38">
        <f>IF($A373=0,$T372,$T372+IF($F373=1,0,1))</f>
        <v/>
      </c>
      <c r="U373" s="38">
        <f>IF($A373=0,$U372,$U372+IF($G373=1,0,1))</f>
        <v/>
      </c>
      <c r="V373" s="38">
        <f>IF($A373=0,$V372,$V372+IF($H373=1,0,1))</f>
        <v/>
      </c>
      <c r="W373" s="38">
        <f>SUM($B373:$H373)</f>
        <v/>
      </c>
      <c r="X373" s="38">
        <f>IF(AND($A373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373=1),1,0)+IF(AND($G$1=7,$C373=1),1,0)+IF(AND($H$1=7,$D373=1),1,0)+IF(AND($I$1=7,$E373=1),1,0)+IF(AND($J$1=7,$F373=1),1,0)+IF(AND($K$1=7,$G373=1),1,0)+IF(AND($L$1=7,$H373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3" s="38">
        <f>IF($B373=1,IF($F$1&lt;7,10,IF(AND($F$1=7,$I372=0,$P372&gt;1),15,IF($I372&gt;=20,15,IF($I372&gt;=6,13,10)))),0)+IF($C373=1,IF($G$1&lt;7,10,IF(AND($G$1=7,$J372=0,$Q372&gt;1),15,IF($J372&gt;=20,15,IF($J372&gt;=6,13,10)))),0)+IF($D373=1,IF($H$1&lt;7,10,IF(AND($H$1=7,$K372=0,$R372&gt;1),15,IF($K372&gt;=20,15,IF($K372&gt;=6,13,10)))),0)+IF($E373=1,IF($I$1&lt;7,10,IF(AND($I$1=7,$L372=0,$S372&gt;1),15,IF($L372&gt;=20,15,IF($L372&gt;=6,13,10)))),0)+IF($F373=1,IF($J$1&lt;7,10,IF(AND($J$1=7,$M372=0,$T372&gt;1),15,IF($M372&gt;=20,15,IF($M372&gt;=6,13,10)))),0)+IF($G373=1,IF($K$1&lt;7,10,IF(AND($K$1=7,$N372=0,$U372&gt;1),15,IF($N372&gt;=20,15,IF($N372&gt;=6,13,10)))),0)+IF($H373=1,IF($L$1&lt;7,10,IF(AND($L$1=7,$O372=0,$V372&gt;1),15,IF($O372&gt;=20,15,IF($O372&gt;=6,13,10)))),0)</f>
        <v/>
      </c>
      <c r="Z373" s="38">
        <f>$Z372+$Y373</f>
        <v/>
      </c>
      <c r="AA373" s="38">
        <f>IF(AND($B373=1,AND($F$1=7,$I372=0,$P372&gt;1)),1,0)+IF(AND($C373=1,AND($G$1=7,$J372=0,$Q372&gt;1)),1,0)+IF(AND($D373=1,AND($H$1=7,$K372=0,$R372&gt;1)),1,0)+IF(AND($E373=1,AND($I$1=7,$L372=0,$S372&gt;1)),1,0)+IF(AND($F373=1,AND($J$1=7,$M372=0,$T372&gt;1)),1,0)+IF(AND($G373=1,AND($K$1=7,$N372=0,$U372&gt;1)),1,0)+IF(AND($H373=1,AND($L$1=7,$O372=0,$V372&gt;1)),1,0)</f>
        <v/>
      </c>
      <c r="AB373" s="38">
        <f>IF(IFERROR('Дек'!$I34,"")="",0,$AB372+1)</f>
        <v/>
      </c>
    </row>
    <row r="374" spans="1:28">
      <c r="A374" s="38">
        <f>IF($B$1&gt;=DATE(2026,12,30),1,0)</f>
        <v/>
      </c>
      <c r="B374" s="38">
        <f>IFERROR(IF('Дек'!$B35=TRUE,1,0),0)</f>
        <v/>
      </c>
      <c r="C374" s="38">
        <f>IFERROR(IF('Дек'!$C35=TRUE,1,0),0)</f>
        <v/>
      </c>
      <c r="D374" s="38">
        <f>IFERROR(IF('Дек'!$D35=TRUE,1,0),0)</f>
        <v/>
      </c>
      <c r="E374" s="38">
        <f>IFERROR(IF('Дек'!$E35=TRUE,1,0),0)</f>
        <v/>
      </c>
      <c r="F374" s="38">
        <f>IFERROR(IF('Дек'!$F35=TRUE,1,0),0)</f>
        <v/>
      </c>
      <c r="G374" s="38">
        <f>IFERROR(IF('Дек'!$G35=TRUE,1,0),0)</f>
        <v/>
      </c>
      <c r="H374" s="38">
        <f>IFERROR(IF('Дек'!$H35=TRUE,1,0),0)</f>
        <v/>
      </c>
      <c r="I374" s="38">
        <f>IF($A374=0,$I373,IF($B374=1,$I373+1,IF($P374&lt;=1,$I373,0)))</f>
        <v/>
      </c>
      <c r="J374" s="38">
        <f>IF($A374=0,$J373,IF($C374=1,$J373+1,IF($Q374&lt;=1,$J373,0)))</f>
        <v/>
      </c>
      <c r="K374" s="38">
        <f>IF($A374=0,$K373,IF($D374=1,$K373+1,IF($R374&lt;=1,$K373,0)))</f>
        <v/>
      </c>
      <c r="L374" s="38">
        <f>IF($A374=0,$L373,IF($E374=1,$L373+1,IF($S374&lt;=1,$L373,0)))</f>
        <v/>
      </c>
      <c r="M374" s="38">
        <f>IF($A374=0,$M373,IF($F374=1,$M373+1,IF($T374&lt;=1,$M373,0)))</f>
        <v/>
      </c>
      <c r="N374" s="38">
        <f>IF($A374=0,$N373,IF($G374=1,$N373+1,IF($U374&lt;=1,$N373,0)))</f>
        <v/>
      </c>
      <c r="O374" s="38">
        <f>IF($A374=0,$O373,IF($H374=1,$O373+1,IF($V374&lt;=1,$O373,0)))</f>
        <v/>
      </c>
      <c r="P374" s="38">
        <f>IF($A374=0,$P373,$P373+IF($B374=1,0,1))</f>
        <v/>
      </c>
      <c r="Q374" s="38">
        <f>IF($A374=0,$Q373,$Q373+IF($C374=1,0,1))</f>
        <v/>
      </c>
      <c r="R374" s="38">
        <f>IF($A374=0,$R373,$R373+IF($D374=1,0,1))</f>
        <v/>
      </c>
      <c r="S374" s="38">
        <f>IF($A374=0,$S373,$S373+IF($E374=1,0,1))</f>
        <v/>
      </c>
      <c r="T374" s="38">
        <f>IF($A374=0,$T373,$T373+IF($F374=1,0,1))</f>
        <v/>
      </c>
      <c r="U374" s="38">
        <f>IF($A374=0,$U373,$U373+IF($G374=1,0,1))</f>
        <v/>
      </c>
      <c r="V374" s="38">
        <f>IF($A374=0,$V373,$V373+IF($H374=1,0,1))</f>
        <v/>
      </c>
      <c r="W374" s="38">
        <f>SUM($B374:$H374)</f>
        <v/>
      </c>
      <c r="X374" s="38">
        <f>IF(AND($A374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374=1),1,0)+IF(AND($G$1=7,$C374=1),1,0)+IF(AND($H$1=7,$D374=1),1,0)+IF(AND($I$1=7,$E374=1),1,0)+IF(AND($J$1=7,$F374=1),1,0)+IF(AND($K$1=7,$G374=1),1,0)+IF(AND($L$1=7,$H374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4" s="38">
        <f>IF($B374=1,IF($F$1&lt;7,10,IF(AND($F$1=7,$I373=0,$P373&gt;1),15,IF($I373&gt;=20,15,IF($I373&gt;=6,13,10)))),0)+IF($C374=1,IF($G$1&lt;7,10,IF(AND($G$1=7,$J373=0,$Q373&gt;1),15,IF($J373&gt;=20,15,IF($J373&gt;=6,13,10)))),0)+IF($D374=1,IF($H$1&lt;7,10,IF(AND($H$1=7,$K373=0,$R373&gt;1),15,IF($K373&gt;=20,15,IF($K373&gt;=6,13,10)))),0)+IF($E374=1,IF($I$1&lt;7,10,IF(AND($I$1=7,$L373=0,$S373&gt;1),15,IF($L373&gt;=20,15,IF($L373&gt;=6,13,10)))),0)+IF($F374=1,IF($J$1&lt;7,10,IF(AND($J$1=7,$M373=0,$T373&gt;1),15,IF($M373&gt;=20,15,IF($M373&gt;=6,13,10)))),0)+IF($G374=1,IF($K$1&lt;7,10,IF(AND($K$1=7,$N373=0,$U373&gt;1),15,IF($N373&gt;=20,15,IF($N373&gt;=6,13,10)))),0)+IF($H374=1,IF($L$1&lt;7,10,IF(AND($L$1=7,$O373=0,$V373&gt;1),15,IF($O373&gt;=20,15,IF($O373&gt;=6,13,10)))),0)</f>
        <v/>
      </c>
      <c r="Z374" s="38">
        <f>$Z373+$Y374</f>
        <v/>
      </c>
      <c r="AA374" s="38">
        <f>IF(AND($B374=1,AND($F$1=7,$I373=0,$P373&gt;1)),1,0)+IF(AND($C374=1,AND($G$1=7,$J373=0,$Q373&gt;1)),1,0)+IF(AND($D374=1,AND($H$1=7,$K373=0,$R373&gt;1)),1,0)+IF(AND($E374=1,AND($I$1=7,$L373=0,$S373&gt;1)),1,0)+IF(AND($F374=1,AND($J$1=7,$M373=0,$T373&gt;1)),1,0)+IF(AND($G374=1,AND($K$1=7,$N373=0,$U373&gt;1)),1,0)+IF(AND($H374=1,AND($L$1=7,$O373=0,$V373&gt;1)),1,0)</f>
        <v/>
      </c>
      <c r="AB374" s="38">
        <f>IF(IFERROR('Дек'!$I35,"")="",0,$AB373+1)</f>
        <v/>
      </c>
    </row>
    <row r="375" spans="1:28">
      <c r="A375" s="38">
        <f>IF($B$1&gt;=DATE(2026,12,31),1,0)</f>
        <v/>
      </c>
      <c r="B375" s="38">
        <f>IFERROR(IF('Дек'!$B36=TRUE,1,0),0)</f>
        <v/>
      </c>
      <c r="C375" s="38">
        <f>IFERROR(IF('Дек'!$C36=TRUE,1,0),0)</f>
        <v/>
      </c>
      <c r="D375" s="38">
        <f>IFERROR(IF('Дек'!$D36=TRUE,1,0),0)</f>
        <v/>
      </c>
      <c r="E375" s="38">
        <f>IFERROR(IF('Дек'!$E36=TRUE,1,0),0)</f>
        <v/>
      </c>
      <c r="F375" s="38">
        <f>IFERROR(IF('Дек'!$F36=TRUE,1,0),0)</f>
        <v/>
      </c>
      <c r="G375" s="38">
        <f>IFERROR(IF('Дек'!$G36=TRUE,1,0),0)</f>
        <v/>
      </c>
      <c r="H375" s="38">
        <f>IFERROR(IF('Дек'!$H36=TRUE,1,0),0)</f>
        <v/>
      </c>
      <c r="I375" s="38">
        <f>IF($A375=0,$I374,IF($B375=1,$I374+1,IF($P375&lt;=1,$I374,0)))</f>
        <v/>
      </c>
      <c r="J375" s="38">
        <f>IF($A375=0,$J374,IF($C375=1,$J374+1,IF($Q375&lt;=1,$J374,0)))</f>
        <v/>
      </c>
      <c r="K375" s="38">
        <f>IF($A375=0,$K374,IF($D375=1,$K374+1,IF($R375&lt;=1,$K374,0)))</f>
        <v/>
      </c>
      <c r="L375" s="38">
        <f>IF($A375=0,$L374,IF($E375=1,$L374+1,IF($S375&lt;=1,$L374,0)))</f>
        <v/>
      </c>
      <c r="M375" s="38">
        <f>IF($A375=0,$M374,IF($F375=1,$M374+1,IF($T375&lt;=1,$M374,0)))</f>
        <v/>
      </c>
      <c r="N375" s="38">
        <f>IF($A375=0,$N374,IF($G375=1,$N374+1,IF($U375&lt;=1,$N374,0)))</f>
        <v/>
      </c>
      <c r="O375" s="38">
        <f>IF($A375=0,$O374,IF($H375=1,$O374+1,IF($V375&lt;=1,$O374,0)))</f>
        <v/>
      </c>
      <c r="P375" s="38">
        <f>IF($A375=0,$P374,$P374+IF($B375=1,0,1))</f>
        <v/>
      </c>
      <c r="Q375" s="38">
        <f>IF($A375=0,$Q374,$Q374+IF($C375=1,0,1))</f>
        <v/>
      </c>
      <c r="R375" s="38">
        <f>IF($A375=0,$R374,$R374+IF($D375=1,0,1))</f>
        <v/>
      </c>
      <c r="S375" s="38">
        <f>IF($A375=0,$S374,$S374+IF($E375=1,0,1))</f>
        <v/>
      </c>
      <c r="T375" s="38">
        <f>IF($A375=0,$T374,$T374+IF($F375=1,0,1))</f>
        <v/>
      </c>
      <c r="U375" s="38">
        <f>IF($A375=0,$U374,$U374+IF($G375=1,0,1))</f>
        <v/>
      </c>
      <c r="V375" s="38">
        <f>IF($A375=0,$V374,$V374+IF($H375=1,0,1))</f>
        <v/>
      </c>
      <c r="W375" s="38">
        <f>SUM($B375:$H375)</f>
        <v/>
      </c>
      <c r="X375" s="38">
        <f>IF(AND($A375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375=1),1,0)+IF(AND($G$1=7,$C375=1),1,0)+IF(AND($H$1=7,$D375=1),1,0)+IF(AND($I$1=7,$E375=1),1,0)+IF(AND($J$1=7,$F375=1),1,0)+IF(AND($K$1=7,$G375=1),1,0)+IF(AND($L$1=7,$H375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5" s="38">
        <f>IF($B375=1,IF($F$1&lt;7,10,IF(AND($F$1=7,$I374=0,$P374&gt;1),15,IF($I374&gt;=20,15,IF($I374&gt;=6,13,10)))),0)+IF($C375=1,IF($G$1&lt;7,10,IF(AND($G$1=7,$J374=0,$Q374&gt;1),15,IF($J374&gt;=20,15,IF($J374&gt;=6,13,10)))),0)+IF($D375=1,IF($H$1&lt;7,10,IF(AND($H$1=7,$K374=0,$R374&gt;1),15,IF($K374&gt;=20,15,IF($K374&gt;=6,13,10)))),0)+IF($E375=1,IF($I$1&lt;7,10,IF(AND($I$1=7,$L374=0,$S374&gt;1),15,IF($L374&gt;=20,15,IF($L374&gt;=6,13,10)))),0)+IF($F375=1,IF($J$1&lt;7,10,IF(AND($J$1=7,$M374=0,$T374&gt;1),15,IF($M374&gt;=20,15,IF($M374&gt;=6,13,10)))),0)+IF($G375=1,IF($K$1&lt;7,10,IF(AND($K$1=7,$N374=0,$U374&gt;1),15,IF($N374&gt;=20,15,IF($N374&gt;=6,13,10)))),0)+IF($H375=1,IF($L$1&lt;7,10,IF(AND($L$1=7,$O374=0,$V374&gt;1),15,IF($O374&gt;=20,15,IF($O374&gt;=6,13,10)))),0)</f>
        <v/>
      </c>
      <c r="Z375" s="38">
        <f>$Z374+$Y375</f>
        <v/>
      </c>
      <c r="AA375" s="38">
        <f>IF(AND($B375=1,AND($F$1=7,$I374=0,$P374&gt;1)),1,0)+IF(AND($C375=1,AND($G$1=7,$J374=0,$Q374&gt;1)),1,0)+IF(AND($D375=1,AND($H$1=7,$K374=0,$R374&gt;1)),1,0)+IF(AND($E375=1,AND($I$1=7,$L374=0,$S374&gt;1)),1,0)+IF(AND($F375=1,AND($J$1=7,$M374=0,$T374&gt;1)),1,0)+IF(AND($G375=1,AND($K$1=7,$N374=0,$U374&gt;1)),1,0)+IF(AND($H375=1,AND($L$1=7,$O374=0,$V374&gt;1)),1,0)</f>
        <v/>
      </c>
      <c r="AB375" s="38">
        <f>IF(IFERROR('Дек'!$I36,"")="",0,$AB374+1)</f>
        <v/>
      </c>
    </row>
    <row r="378" spans="1:28">
      <c r="A378" s="39" t="s">
        <v>64</v>
      </c>
    </row>
    <row r="379" spans="1:28">
      <c r="A379" s="38">
        <v>1</v>
      </c>
      <c r="B379" s="38">
        <v>31</v>
      </c>
      <c r="C379" s="38">
        <f>SUM(A11:A41)</f>
        <v/>
      </c>
      <c r="D379" s="38">
        <f>SUM(W11:W41)</f>
        <v/>
      </c>
      <c r="E379" s="38">
        <f>IF($C379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379/31)</f>
        <v/>
      </c>
      <c r="F379" s="38">
        <f>IF($E379=0,0,MIN(1,$D379/$E379))</f>
        <v/>
      </c>
      <c r="G379" s="38">
        <f>SUM(X11:X41)</f>
        <v/>
      </c>
      <c r="H379" s="38">
        <f>MAX(MAX(I11:I41),MAX(J11:J41),MAX(K11:K41),MAX(L11:L41),MAX(M11:M41),MAX(N11:N41),MAX(O11:O41))</f>
        <v/>
      </c>
      <c r="I379" s="38">
        <f>SUM(Y11:Y41)</f>
        <v/>
      </c>
    </row>
    <row r="380" spans="1:28">
      <c r="A380" s="38">
        <v>2</v>
      </c>
      <c r="B380" s="38">
        <v>28</v>
      </c>
      <c r="C380" s="38">
        <f>SUM(A42:A69)</f>
        <v/>
      </c>
      <c r="D380" s="38">
        <f>SUM(W42:W69)</f>
        <v/>
      </c>
      <c r="E380" s="38">
        <f>IF($C380=0,0,(IF('Старт'!$B$12="",0,ROUND($F$1*28/7,0))+IF('Старт'!$B$13="",0,ROUND($G$1*28/7,0))+IF('Старт'!$B$14="",0,ROUND($H$1*28/7,0))+IF('Старт'!$B$15="",0,ROUND($I$1*28/7,0))+IF('Старт'!$B$16="",0,ROUND($J$1*28/7,0))+IF('Старт'!$B$17="",0,ROUND($K$1*28/7,0))+IF('Старт'!$B$18="",0,ROUND($L$1*28/7,0)))*$C380/28)</f>
        <v/>
      </c>
      <c r="F380" s="38">
        <f>IF($E380=0,0,MIN(1,$D380/$E380))</f>
        <v/>
      </c>
      <c r="G380" s="38">
        <f>SUM(X42:X69)</f>
        <v/>
      </c>
      <c r="H380" s="38">
        <f>MAX(MAX(I42:I69),MAX(J42:J69),MAX(K42:K69),MAX(L42:L69),MAX(M42:M69),MAX(N42:N69),MAX(O42:O69))</f>
        <v/>
      </c>
      <c r="I380" s="38">
        <f>SUM(Y42:Y69)</f>
        <v/>
      </c>
    </row>
    <row r="381" spans="1:28">
      <c r="A381" s="38">
        <v>3</v>
      </c>
      <c r="B381" s="38">
        <v>31</v>
      </c>
      <c r="C381" s="38">
        <f>SUM(A70:A100)</f>
        <v/>
      </c>
      <c r="D381" s="38">
        <f>SUM(W70:W100)</f>
        <v/>
      </c>
      <c r="E381" s="38">
        <f>IF($C381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381/31)</f>
        <v/>
      </c>
      <c r="F381" s="38">
        <f>IF($E381=0,0,MIN(1,$D381/$E381))</f>
        <v/>
      </c>
      <c r="G381" s="38">
        <f>SUM(X70:X100)</f>
        <v/>
      </c>
      <c r="H381" s="38">
        <f>MAX(MAX(I70:I100),MAX(J70:J100),MAX(K70:K100),MAX(L70:L100),MAX(M70:M100),MAX(N70:N100),MAX(O70:O100))</f>
        <v/>
      </c>
      <c r="I381" s="38">
        <f>SUM(Y70:Y100)</f>
        <v/>
      </c>
    </row>
    <row r="382" spans="1:28">
      <c r="A382" s="38">
        <v>4</v>
      </c>
      <c r="B382" s="38">
        <v>30</v>
      </c>
      <c r="C382" s="38">
        <f>SUM(A101:A130)</f>
        <v/>
      </c>
      <c r="D382" s="38">
        <f>SUM(W101:W130)</f>
        <v/>
      </c>
      <c r="E382" s="38">
        <f>IF($C382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382/30)</f>
        <v/>
      </c>
      <c r="F382" s="38">
        <f>IF($E382=0,0,MIN(1,$D382/$E382))</f>
        <v/>
      </c>
      <c r="G382" s="38">
        <f>SUM(X101:X130)</f>
        <v/>
      </c>
      <c r="H382" s="38">
        <f>MAX(MAX(I101:I130),MAX(J101:J130),MAX(K101:K130),MAX(L101:L130),MAX(M101:M130),MAX(N101:N130),MAX(O101:O130))</f>
        <v/>
      </c>
      <c r="I382" s="38">
        <f>SUM(Y101:Y130)</f>
        <v/>
      </c>
    </row>
    <row r="383" spans="1:28">
      <c r="A383" s="38">
        <v>5</v>
      </c>
      <c r="B383" s="38">
        <v>31</v>
      </c>
      <c r="C383" s="38">
        <f>SUM(A131:A161)</f>
        <v/>
      </c>
      <c r="D383" s="38">
        <f>SUM(W131:W161)</f>
        <v/>
      </c>
      <c r="E383" s="38">
        <f>IF($C383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383/31)</f>
        <v/>
      </c>
      <c r="F383" s="38">
        <f>IF($E383=0,0,MIN(1,$D383/$E383))</f>
        <v/>
      </c>
      <c r="G383" s="38">
        <f>SUM(X131:X161)</f>
        <v/>
      </c>
      <c r="H383" s="38">
        <f>MAX(MAX(I131:I161),MAX(J131:J161),MAX(K131:K161),MAX(L131:L161),MAX(M131:M161),MAX(N131:N161),MAX(O131:O161))</f>
        <v/>
      </c>
      <c r="I383" s="38">
        <f>SUM(Y131:Y161)</f>
        <v/>
      </c>
    </row>
    <row r="384" spans="1:28">
      <c r="A384" s="38">
        <v>6</v>
      </c>
      <c r="B384" s="38">
        <v>30</v>
      </c>
      <c r="C384" s="38">
        <f>SUM(A162:A191)</f>
        <v/>
      </c>
      <c r="D384" s="38">
        <f>SUM(W162:W191)</f>
        <v/>
      </c>
      <c r="E384" s="38">
        <f>IF($C384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384/30)</f>
        <v/>
      </c>
      <c r="F384" s="38">
        <f>IF($E384=0,0,MIN(1,$D384/$E384))</f>
        <v/>
      </c>
      <c r="G384" s="38">
        <f>SUM(X162:X191)</f>
        <v/>
      </c>
      <c r="H384" s="38">
        <f>MAX(MAX(I162:I191),MAX(J162:J191),MAX(K162:K191),MAX(L162:L191),MAX(M162:M191),MAX(N162:N191),MAX(O162:O191))</f>
        <v/>
      </c>
      <c r="I384" s="38">
        <f>SUM(Y162:Y191)</f>
        <v/>
      </c>
    </row>
    <row r="385" spans="1:16">
      <c r="A385" s="38">
        <v>7</v>
      </c>
      <c r="B385" s="38">
        <v>31</v>
      </c>
      <c r="C385" s="38">
        <f>SUM(A192:A222)</f>
        <v/>
      </c>
      <c r="D385" s="38">
        <f>SUM(W192:W222)</f>
        <v/>
      </c>
      <c r="E385" s="38">
        <f>IF($C385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385/31)</f>
        <v/>
      </c>
      <c r="F385" s="38">
        <f>IF($E385=0,0,MIN(1,$D385/$E385))</f>
        <v/>
      </c>
      <c r="G385" s="38">
        <f>SUM(X192:X222)</f>
        <v/>
      </c>
      <c r="H385" s="38">
        <f>MAX(MAX(I192:I222),MAX(J192:J222),MAX(K192:K222),MAX(L192:L222),MAX(M192:M222),MAX(N192:N222),MAX(O192:O222))</f>
        <v/>
      </c>
      <c r="I385" s="38">
        <f>SUM(Y192:Y222)</f>
        <v/>
      </c>
    </row>
    <row r="386" spans="1:16">
      <c r="A386" s="38">
        <v>8</v>
      </c>
      <c r="B386" s="38">
        <v>31</v>
      </c>
      <c r="C386" s="38">
        <f>SUM(A223:A253)</f>
        <v/>
      </c>
      <c r="D386" s="38">
        <f>SUM(W223:W253)</f>
        <v/>
      </c>
      <c r="E386" s="38">
        <f>IF($C386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386/31)</f>
        <v/>
      </c>
      <c r="F386" s="38">
        <f>IF($E386=0,0,MIN(1,$D386/$E386))</f>
        <v/>
      </c>
      <c r="G386" s="38">
        <f>SUM(X223:X253)</f>
        <v/>
      </c>
      <c r="H386" s="38">
        <f>MAX(MAX(I223:I253),MAX(J223:J253),MAX(K223:K253),MAX(L223:L253),MAX(M223:M253),MAX(N223:N253),MAX(O223:O253))</f>
        <v/>
      </c>
      <c r="I386" s="38">
        <f>SUM(Y223:Y253)</f>
        <v/>
      </c>
    </row>
    <row r="387" spans="1:16">
      <c r="A387" s="38">
        <v>9</v>
      </c>
      <c r="B387" s="38">
        <v>30</v>
      </c>
      <c r="C387" s="38">
        <f>SUM(A254:A283)</f>
        <v/>
      </c>
      <c r="D387" s="38">
        <f>SUM(W254:W283)</f>
        <v/>
      </c>
      <c r="E387" s="38">
        <f>IF($C387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387/30)</f>
        <v/>
      </c>
      <c r="F387" s="38">
        <f>IF($E387=0,0,MIN(1,$D387/$E387))</f>
        <v/>
      </c>
      <c r="G387" s="38">
        <f>SUM(X254:X283)</f>
        <v/>
      </c>
      <c r="H387" s="38">
        <f>MAX(MAX(I254:I283),MAX(J254:J283),MAX(K254:K283),MAX(L254:L283),MAX(M254:M283),MAX(N254:N283),MAX(O254:O283))</f>
        <v/>
      </c>
      <c r="I387" s="38">
        <f>SUM(Y254:Y283)</f>
        <v/>
      </c>
    </row>
    <row r="388" spans="1:16">
      <c r="A388" s="38">
        <v>10</v>
      </c>
      <c r="B388" s="38">
        <v>31</v>
      </c>
      <c r="C388" s="38">
        <f>SUM(A284:A314)</f>
        <v/>
      </c>
      <c r="D388" s="38">
        <f>SUM(W284:W314)</f>
        <v/>
      </c>
      <c r="E388" s="38">
        <f>IF($C388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388/31)</f>
        <v/>
      </c>
      <c r="F388" s="38">
        <f>IF($E388=0,0,MIN(1,$D388/$E388))</f>
        <v/>
      </c>
      <c r="G388" s="38">
        <f>SUM(X284:X314)</f>
        <v/>
      </c>
      <c r="H388" s="38">
        <f>MAX(MAX(I284:I314),MAX(J284:J314),MAX(K284:K314),MAX(L284:L314),MAX(M284:M314),MAX(N284:N314),MAX(O284:O314))</f>
        <v/>
      </c>
      <c r="I388" s="38">
        <f>SUM(Y284:Y314)</f>
        <v/>
      </c>
    </row>
    <row r="389" spans="1:16">
      <c r="A389" s="38">
        <v>11</v>
      </c>
      <c r="B389" s="38">
        <v>30</v>
      </c>
      <c r="C389" s="38">
        <f>SUM(A315:A344)</f>
        <v/>
      </c>
      <c r="D389" s="38">
        <f>SUM(W315:W344)</f>
        <v/>
      </c>
      <c r="E389" s="38">
        <f>IF($C389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389/30)</f>
        <v/>
      </c>
      <c r="F389" s="38">
        <f>IF($E389=0,0,MIN(1,$D389/$E389))</f>
        <v/>
      </c>
      <c r="G389" s="38">
        <f>SUM(X315:X344)</f>
        <v/>
      </c>
      <c r="H389" s="38">
        <f>MAX(MAX(I315:I344),MAX(J315:J344),MAX(K315:K344),MAX(L315:L344),MAX(M315:M344),MAX(N315:N344),MAX(O315:O344))</f>
        <v/>
      </c>
      <c r="I389" s="38">
        <f>SUM(Y315:Y344)</f>
        <v/>
      </c>
    </row>
    <row r="390" spans="1:16">
      <c r="A390" s="38">
        <v>12</v>
      </c>
      <c r="B390" s="38">
        <v>31</v>
      </c>
      <c r="C390" s="38">
        <f>SUM(A345:A375)</f>
        <v/>
      </c>
      <c r="D390" s="38">
        <f>SUM(W345:W375)</f>
        <v/>
      </c>
      <c r="E390" s="38">
        <f>IF($C390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390/31)</f>
        <v/>
      </c>
      <c r="F390" s="38">
        <f>IF($E390=0,0,MIN(1,$D390/$E390))</f>
        <v/>
      </c>
      <c r="G390" s="38">
        <f>SUM(X345:X375)</f>
        <v/>
      </c>
      <c r="H390" s="38">
        <f>MAX(MAX(I345:I375),MAX(J345:J375),MAX(K345:K375),MAX(L345:L375),MAX(M345:M375),MAX(N345:N375),MAX(O345:O375))</f>
        <v/>
      </c>
      <c r="I390" s="38">
        <f>SUM(Y345:Y375)</f>
        <v/>
      </c>
    </row>
    <row r="392" spans="1:16">
      <c r="A392" s="39" t="s">
        <v>65</v>
      </c>
    </row>
    <row r="393" spans="1:16">
      <c r="A393" s="38">
        <v>1</v>
      </c>
      <c r="B393" s="38">
        <v>11</v>
      </c>
      <c r="C393" s="38">
        <v>14</v>
      </c>
      <c r="D393" s="38">
        <f>0</f>
        <v/>
      </c>
      <c r="E393" s="38">
        <f>IF($D393=0,0,IF($D393=1,$J393,0)+IF($D393=2,$K393,0)+IF($D393=3,$L393,0)+IF($D393=4,$M393,0)+IF($D393=5,$N393,0)+IF($D393=6,$O393,0)+IF($D393=7,$P393,0))</f>
        <v/>
      </c>
      <c r="F393" s="38">
        <f>IF(AND($D393&gt;0,$E393&gt;=5),1,0)</f>
        <v/>
      </c>
      <c r="G393" s="38">
        <f>SUM(W11:W14)</f>
        <v/>
      </c>
      <c r="H393" s="38">
        <f>ROUND((IF('Старт'!$B$12="",0,$F$1)+IF('Старт'!$B$13="",0,$G$1)+IF('Старт'!$B$14="",0,$H$1)+IF('Старт'!$B$15="",0,$I$1)+IF('Старт'!$B$16="",0,$J$1)+IF('Старт'!$B$17="",0,$K$1)+IF('Старт'!$B$18="",0,$L$1))*SUM(A11:A14)/7,0)</f>
        <v/>
      </c>
      <c r="I393" s="38">
        <f>0</f>
        <v/>
      </c>
      <c r="J393" s="38">
        <f>IF('Старт'!$B$12="",99,SUM(B11:B14))</f>
        <v/>
      </c>
      <c r="K393" s="38">
        <f>IF('Старт'!$B$13="",99,SUM(C11:C14))</f>
        <v/>
      </c>
      <c r="L393" s="38">
        <f>IF('Старт'!$B$14="",99,SUM(D11:D14))</f>
        <v/>
      </c>
      <c r="M393" s="38">
        <f>IF('Старт'!$B$15="",99,SUM(E11:E14))</f>
        <v/>
      </c>
      <c r="N393" s="38">
        <f>IF('Старт'!$B$16="",99,SUM(F11:F14))</f>
        <v/>
      </c>
      <c r="O393" s="38">
        <f>IF('Старт'!$B$17="",99,SUM(G11:G14))</f>
        <v/>
      </c>
      <c r="P393" s="38">
        <f>IF('Старт'!$B$18="",99,SUM(H11:H14))</f>
        <v/>
      </c>
    </row>
    <row r="394" spans="1:16">
      <c r="A394" s="38">
        <v>2</v>
      </c>
      <c r="B394" s="38">
        <v>15</v>
      </c>
      <c r="C394" s="38">
        <v>21</v>
      </c>
      <c r="D394" s="38">
        <f>IF(MIN($J393:$P393)=99,0,MATCH(MIN($J393:$P393),$J393:$P393,0))</f>
        <v/>
      </c>
      <c r="E394" s="38">
        <f>IF($D394=0,0,IF($D394=1,$J394,0)+IF($D394=2,$K394,0)+IF($D394=3,$L394,0)+IF($D394=4,$M394,0)+IF($D394=5,$N394,0)+IF($D394=6,$O394,0)+IF($D394=7,$P394,0))</f>
        <v/>
      </c>
      <c r="F394" s="38">
        <f>IF(AND($D394&gt;0,$E394&gt;=5),1,0)</f>
        <v/>
      </c>
      <c r="G394" s="38">
        <f>SUM(W15:W21)</f>
        <v/>
      </c>
      <c r="H394" s="38">
        <f>ROUND((IF('Старт'!$B$12="",0,$F$1)+IF('Старт'!$B$13="",0,$G$1)+IF('Старт'!$B$14="",0,$H$1)+IF('Старт'!$B$15="",0,$I$1)+IF('Старт'!$B$16="",0,$J$1)+IF('Старт'!$B$17="",0,$K$1)+IF('Старт'!$B$18="",0,$L$1))*SUM(A15:A21)/7,0)</f>
        <v/>
      </c>
      <c r="I394" s="38">
        <f>$G393</f>
        <v/>
      </c>
      <c r="J394" s="38">
        <f>IF('Старт'!$B$12="",99,SUM(B15:B21))</f>
        <v/>
      </c>
      <c r="K394" s="38">
        <f>IF('Старт'!$B$13="",99,SUM(C15:C21))</f>
        <v/>
      </c>
      <c r="L394" s="38">
        <f>IF('Старт'!$B$14="",99,SUM(D15:D21))</f>
        <v/>
      </c>
      <c r="M394" s="38">
        <f>IF('Старт'!$B$15="",99,SUM(E15:E21))</f>
        <v/>
      </c>
      <c r="N394" s="38">
        <f>IF('Старт'!$B$16="",99,SUM(F15:F21))</f>
        <v/>
      </c>
      <c r="O394" s="38">
        <f>IF('Старт'!$B$17="",99,SUM(G15:G21))</f>
        <v/>
      </c>
      <c r="P394" s="38">
        <f>IF('Старт'!$B$18="",99,SUM(H15:H21))</f>
        <v/>
      </c>
    </row>
    <row r="395" spans="1:16">
      <c r="A395" s="38">
        <v>3</v>
      </c>
      <c r="B395" s="38">
        <v>22</v>
      </c>
      <c r="C395" s="38">
        <v>28</v>
      </c>
      <c r="D395" s="38">
        <f>IF(MIN($J394:$P394)=99,0,MATCH(MIN($J394:$P394),$J394:$P394,0))</f>
        <v/>
      </c>
      <c r="E395" s="38">
        <f>IF($D395=0,0,IF($D395=1,$J395,0)+IF($D395=2,$K395,0)+IF($D395=3,$L395,0)+IF($D395=4,$M395,0)+IF($D395=5,$N395,0)+IF($D395=6,$O395,0)+IF($D395=7,$P395,0))</f>
        <v/>
      </c>
      <c r="F395" s="38">
        <f>IF(AND($D395&gt;0,$E395&gt;=5),1,0)</f>
        <v/>
      </c>
      <c r="G395" s="38">
        <f>SUM(W22:W28)</f>
        <v/>
      </c>
      <c r="H395" s="38">
        <f>ROUND((IF('Старт'!$B$12="",0,$F$1)+IF('Старт'!$B$13="",0,$G$1)+IF('Старт'!$B$14="",0,$H$1)+IF('Старт'!$B$15="",0,$I$1)+IF('Старт'!$B$16="",0,$J$1)+IF('Старт'!$B$17="",0,$K$1)+IF('Старт'!$B$18="",0,$L$1))*SUM(A22:A28)/7,0)</f>
        <v/>
      </c>
      <c r="I395" s="38">
        <f>$G394</f>
        <v/>
      </c>
      <c r="J395" s="38">
        <f>IF('Старт'!$B$12="",99,SUM(B22:B28))</f>
        <v/>
      </c>
      <c r="K395" s="38">
        <f>IF('Старт'!$B$13="",99,SUM(C22:C28))</f>
        <v/>
      </c>
      <c r="L395" s="38">
        <f>IF('Старт'!$B$14="",99,SUM(D22:D28))</f>
        <v/>
      </c>
      <c r="M395" s="38">
        <f>IF('Старт'!$B$15="",99,SUM(E22:E28))</f>
        <v/>
      </c>
      <c r="N395" s="38">
        <f>IF('Старт'!$B$16="",99,SUM(F22:F28))</f>
        <v/>
      </c>
      <c r="O395" s="38">
        <f>IF('Старт'!$B$17="",99,SUM(G22:G28))</f>
        <v/>
      </c>
      <c r="P395" s="38">
        <f>IF('Старт'!$B$18="",99,SUM(H22:H28))</f>
        <v/>
      </c>
    </row>
    <row r="396" spans="1:16">
      <c r="A396" s="38">
        <v>4</v>
      </c>
      <c r="B396" s="38">
        <v>29</v>
      </c>
      <c r="C396" s="38">
        <v>35</v>
      </c>
      <c r="D396" s="38">
        <f>IF(MIN($J395:$P395)=99,0,MATCH(MIN($J395:$P395),$J395:$P395,0))</f>
        <v/>
      </c>
      <c r="E396" s="38">
        <f>IF($D396=0,0,IF($D396=1,$J396,0)+IF($D396=2,$K396,0)+IF($D396=3,$L396,0)+IF($D396=4,$M396,0)+IF($D396=5,$N396,0)+IF($D396=6,$O396,0)+IF($D396=7,$P396,0))</f>
        <v/>
      </c>
      <c r="F396" s="38">
        <f>IF(AND($D396&gt;0,$E396&gt;=5),1,0)</f>
        <v/>
      </c>
      <c r="G396" s="38">
        <f>SUM(W29:W35)</f>
        <v/>
      </c>
      <c r="H396" s="38">
        <f>ROUND((IF('Старт'!$B$12="",0,$F$1)+IF('Старт'!$B$13="",0,$G$1)+IF('Старт'!$B$14="",0,$H$1)+IF('Старт'!$B$15="",0,$I$1)+IF('Старт'!$B$16="",0,$J$1)+IF('Старт'!$B$17="",0,$K$1)+IF('Старт'!$B$18="",0,$L$1))*SUM(A29:A35)/7,0)</f>
        <v/>
      </c>
      <c r="I396" s="38">
        <f>$G395</f>
        <v/>
      </c>
      <c r="J396" s="38">
        <f>IF('Старт'!$B$12="",99,SUM(B29:B35))</f>
        <v/>
      </c>
      <c r="K396" s="38">
        <f>IF('Старт'!$B$13="",99,SUM(C29:C35))</f>
        <v/>
      </c>
      <c r="L396" s="38">
        <f>IF('Старт'!$B$14="",99,SUM(D29:D35))</f>
        <v/>
      </c>
      <c r="M396" s="38">
        <f>IF('Старт'!$B$15="",99,SUM(E29:E35))</f>
        <v/>
      </c>
      <c r="N396" s="38">
        <f>IF('Старт'!$B$16="",99,SUM(F29:F35))</f>
        <v/>
      </c>
      <c r="O396" s="38">
        <f>IF('Старт'!$B$17="",99,SUM(G29:G35))</f>
        <v/>
      </c>
      <c r="P396" s="38">
        <f>IF('Старт'!$B$18="",99,SUM(H29:H35))</f>
        <v/>
      </c>
    </row>
    <row r="397" spans="1:16">
      <c r="A397" s="38">
        <v>5</v>
      </c>
      <c r="B397" s="38">
        <v>36</v>
      </c>
      <c r="C397" s="38">
        <v>42</v>
      </c>
      <c r="D397" s="38">
        <f>IF(MIN($J396:$P396)=99,0,MATCH(MIN($J396:$P396),$J396:$P396,0))</f>
        <v/>
      </c>
      <c r="E397" s="38">
        <f>IF($D397=0,0,IF($D397=1,$J397,0)+IF($D397=2,$K397,0)+IF($D397=3,$L397,0)+IF($D397=4,$M397,0)+IF($D397=5,$N397,0)+IF($D397=6,$O397,0)+IF($D397=7,$P397,0))</f>
        <v/>
      </c>
      <c r="F397" s="38">
        <f>IF(AND($D397&gt;0,$E397&gt;=5),1,0)</f>
        <v/>
      </c>
      <c r="G397" s="38">
        <f>SUM(W36:W42)</f>
        <v/>
      </c>
      <c r="H397" s="38">
        <f>ROUND((IF('Старт'!$B$12="",0,$F$1)+IF('Старт'!$B$13="",0,$G$1)+IF('Старт'!$B$14="",0,$H$1)+IF('Старт'!$B$15="",0,$I$1)+IF('Старт'!$B$16="",0,$J$1)+IF('Старт'!$B$17="",0,$K$1)+IF('Старт'!$B$18="",0,$L$1))*SUM(A36:A42)/7,0)</f>
        <v/>
      </c>
      <c r="I397" s="38">
        <f>$G396</f>
        <v/>
      </c>
      <c r="J397" s="38">
        <f>IF('Старт'!$B$12="",99,SUM(B36:B42))</f>
        <v/>
      </c>
      <c r="K397" s="38">
        <f>IF('Старт'!$B$13="",99,SUM(C36:C42))</f>
        <v/>
      </c>
      <c r="L397" s="38">
        <f>IF('Старт'!$B$14="",99,SUM(D36:D42))</f>
        <v/>
      </c>
      <c r="M397" s="38">
        <f>IF('Старт'!$B$15="",99,SUM(E36:E42))</f>
        <v/>
      </c>
      <c r="N397" s="38">
        <f>IF('Старт'!$B$16="",99,SUM(F36:F42))</f>
        <v/>
      </c>
      <c r="O397" s="38">
        <f>IF('Старт'!$B$17="",99,SUM(G36:G42))</f>
        <v/>
      </c>
      <c r="P397" s="38">
        <f>IF('Старт'!$B$18="",99,SUM(H36:H42))</f>
        <v/>
      </c>
    </row>
    <row r="398" spans="1:16">
      <c r="A398" s="38">
        <v>6</v>
      </c>
      <c r="B398" s="38">
        <v>43</v>
      </c>
      <c r="C398" s="38">
        <v>49</v>
      </c>
      <c r="D398" s="38">
        <f>IF(MIN($J397:$P397)=99,0,MATCH(MIN($J397:$P397),$J397:$P397,0))</f>
        <v/>
      </c>
      <c r="E398" s="38">
        <f>IF($D398=0,0,IF($D398=1,$J398,0)+IF($D398=2,$K398,0)+IF($D398=3,$L398,0)+IF($D398=4,$M398,0)+IF($D398=5,$N398,0)+IF($D398=6,$O398,0)+IF($D398=7,$P398,0))</f>
        <v/>
      </c>
      <c r="F398" s="38">
        <f>IF(AND($D398&gt;0,$E398&gt;=5),1,0)</f>
        <v/>
      </c>
      <c r="G398" s="38">
        <f>SUM(W43:W49)</f>
        <v/>
      </c>
      <c r="H398" s="38">
        <f>ROUND((IF('Старт'!$B$12="",0,$F$1)+IF('Старт'!$B$13="",0,$G$1)+IF('Старт'!$B$14="",0,$H$1)+IF('Старт'!$B$15="",0,$I$1)+IF('Старт'!$B$16="",0,$J$1)+IF('Старт'!$B$17="",0,$K$1)+IF('Старт'!$B$18="",0,$L$1))*SUM(A43:A49)/7,0)</f>
        <v/>
      </c>
      <c r="I398" s="38">
        <f>$G397</f>
        <v/>
      </c>
      <c r="J398" s="38">
        <f>IF('Старт'!$B$12="",99,SUM(B43:B49))</f>
        <v/>
      </c>
      <c r="K398" s="38">
        <f>IF('Старт'!$B$13="",99,SUM(C43:C49))</f>
        <v/>
      </c>
      <c r="L398" s="38">
        <f>IF('Старт'!$B$14="",99,SUM(D43:D49))</f>
        <v/>
      </c>
      <c r="M398" s="38">
        <f>IF('Старт'!$B$15="",99,SUM(E43:E49))</f>
        <v/>
      </c>
      <c r="N398" s="38">
        <f>IF('Старт'!$B$16="",99,SUM(F43:F49))</f>
        <v/>
      </c>
      <c r="O398" s="38">
        <f>IF('Старт'!$B$17="",99,SUM(G43:G49))</f>
        <v/>
      </c>
      <c r="P398" s="38">
        <f>IF('Старт'!$B$18="",99,SUM(H43:H49))</f>
        <v/>
      </c>
    </row>
    <row r="399" spans="1:16">
      <c r="A399" s="38">
        <v>7</v>
      </c>
      <c r="B399" s="38">
        <v>50</v>
      </c>
      <c r="C399" s="38">
        <v>56</v>
      </c>
      <c r="D399" s="38">
        <f>IF(MIN($J398:$P398)=99,0,MATCH(MIN($J398:$P398),$J398:$P398,0))</f>
        <v/>
      </c>
      <c r="E399" s="38">
        <f>IF($D399=0,0,IF($D399=1,$J399,0)+IF($D399=2,$K399,0)+IF($D399=3,$L399,0)+IF($D399=4,$M399,0)+IF($D399=5,$N399,0)+IF($D399=6,$O399,0)+IF($D399=7,$P399,0))</f>
        <v/>
      </c>
      <c r="F399" s="38">
        <f>IF(AND($D399&gt;0,$E399&gt;=5),1,0)</f>
        <v/>
      </c>
      <c r="G399" s="38">
        <f>SUM(W50:W56)</f>
        <v/>
      </c>
      <c r="H399" s="38">
        <f>ROUND((IF('Старт'!$B$12="",0,$F$1)+IF('Старт'!$B$13="",0,$G$1)+IF('Старт'!$B$14="",0,$H$1)+IF('Старт'!$B$15="",0,$I$1)+IF('Старт'!$B$16="",0,$J$1)+IF('Старт'!$B$17="",0,$K$1)+IF('Старт'!$B$18="",0,$L$1))*SUM(A50:A56)/7,0)</f>
        <v/>
      </c>
      <c r="I399" s="38">
        <f>$G398</f>
        <v/>
      </c>
      <c r="J399" s="38">
        <f>IF('Старт'!$B$12="",99,SUM(B50:B56))</f>
        <v/>
      </c>
      <c r="K399" s="38">
        <f>IF('Старт'!$B$13="",99,SUM(C50:C56))</f>
        <v/>
      </c>
      <c r="L399" s="38">
        <f>IF('Старт'!$B$14="",99,SUM(D50:D56))</f>
        <v/>
      </c>
      <c r="M399" s="38">
        <f>IF('Старт'!$B$15="",99,SUM(E50:E56))</f>
        <v/>
      </c>
      <c r="N399" s="38">
        <f>IF('Старт'!$B$16="",99,SUM(F50:F56))</f>
        <v/>
      </c>
      <c r="O399" s="38">
        <f>IF('Старт'!$B$17="",99,SUM(G50:G56))</f>
        <v/>
      </c>
      <c r="P399" s="38">
        <f>IF('Старт'!$B$18="",99,SUM(H50:H56))</f>
        <v/>
      </c>
    </row>
    <row r="400" spans="1:16">
      <c r="A400" s="38">
        <v>8</v>
      </c>
      <c r="B400" s="38">
        <v>57</v>
      </c>
      <c r="C400" s="38">
        <v>63</v>
      </c>
      <c r="D400" s="38">
        <f>IF(MIN($J399:$P399)=99,0,MATCH(MIN($J399:$P399),$J399:$P399,0))</f>
        <v/>
      </c>
      <c r="E400" s="38">
        <f>IF($D400=0,0,IF($D400=1,$J400,0)+IF($D400=2,$K400,0)+IF($D400=3,$L400,0)+IF($D400=4,$M400,0)+IF($D400=5,$N400,0)+IF($D400=6,$O400,0)+IF($D400=7,$P400,0))</f>
        <v/>
      </c>
      <c r="F400" s="38">
        <f>IF(AND($D400&gt;0,$E400&gt;=5),1,0)</f>
        <v/>
      </c>
      <c r="G400" s="38">
        <f>SUM(W57:W63)</f>
        <v/>
      </c>
      <c r="H400" s="38">
        <f>ROUND((IF('Старт'!$B$12="",0,$F$1)+IF('Старт'!$B$13="",0,$G$1)+IF('Старт'!$B$14="",0,$H$1)+IF('Старт'!$B$15="",0,$I$1)+IF('Старт'!$B$16="",0,$J$1)+IF('Старт'!$B$17="",0,$K$1)+IF('Старт'!$B$18="",0,$L$1))*SUM(A57:A63)/7,0)</f>
        <v/>
      </c>
      <c r="I400" s="38">
        <f>$G399</f>
        <v/>
      </c>
      <c r="J400" s="38">
        <f>IF('Старт'!$B$12="",99,SUM(B57:B63))</f>
        <v/>
      </c>
      <c r="K400" s="38">
        <f>IF('Старт'!$B$13="",99,SUM(C57:C63))</f>
        <v/>
      </c>
      <c r="L400" s="38">
        <f>IF('Старт'!$B$14="",99,SUM(D57:D63))</f>
        <v/>
      </c>
      <c r="M400" s="38">
        <f>IF('Старт'!$B$15="",99,SUM(E57:E63))</f>
        <v/>
      </c>
      <c r="N400" s="38">
        <f>IF('Старт'!$B$16="",99,SUM(F57:F63))</f>
        <v/>
      </c>
      <c r="O400" s="38">
        <f>IF('Старт'!$B$17="",99,SUM(G57:G63))</f>
        <v/>
      </c>
      <c r="P400" s="38">
        <f>IF('Старт'!$B$18="",99,SUM(H57:H63))</f>
        <v/>
      </c>
    </row>
    <row r="401" spans="1:16">
      <c r="A401" s="38">
        <v>9</v>
      </c>
      <c r="B401" s="38">
        <v>64</v>
      </c>
      <c r="C401" s="38">
        <v>70</v>
      </c>
      <c r="D401" s="38">
        <f>IF(MIN($J400:$P400)=99,0,MATCH(MIN($J400:$P400),$J400:$P400,0))</f>
        <v/>
      </c>
      <c r="E401" s="38">
        <f>IF($D401=0,0,IF($D401=1,$J401,0)+IF($D401=2,$K401,0)+IF($D401=3,$L401,0)+IF($D401=4,$M401,0)+IF($D401=5,$N401,0)+IF($D401=6,$O401,0)+IF($D401=7,$P401,0))</f>
        <v/>
      </c>
      <c r="F401" s="38">
        <f>IF(AND($D401&gt;0,$E401&gt;=5),1,0)</f>
        <v/>
      </c>
      <c r="G401" s="38">
        <f>SUM(W64:W70)</f>
        <v/>
      </c>
      <c r="H401" s="38">
        <f>ROUND((IF('Старт'!$B$12="",0,$F$1)+IF('Старт'!$B$13="",0,$G$1)+IF('Старт'!$B$14="",0,$H$1)+IF('Старт'!$B$15="",0,$I$1)+IF('Старт'!$B$16="",0,$J$1)+IF('Старт'!$B$17="",0,$K$1)+IF('Старт'!$B$18="",0,$L$1))*SUM(A64:A70)/7,0)</f>
        <v/>
      </c>
      <c r="I401" s="38">
        <f>$G400</f>
        <v/>
      </c>
      <c r="J401" s="38">
        <f>IF('Старт'!$B$12="",99,SUM(B64:B70))</f>
        <v/>
      </c>
      <c r="K401" s="38">
        <f>IF('Старт'!$B$13="",99,SUM(C64:C70))</f>
        <v/>
      </c>
      <c r="L401" s="38">
        <f>IF('Старт'!$B$14="",99,SUM(D64:D70))</f>
        <v/>
      </c>
      <c r="M401" s="38">
        <f>IF('Старт'!$B$15="",99,SUM(E64:E70))</f>
        <v/>
      </c>
      <c r="N401" s="38">
        <f>IF('Старт'!$B$16="",99,SUM(F64:F70))</f>
        <v/>
      </c>
      <c r="O401" s="38">
        <f>IF('Старт'!$B$17="",99,SUM(G64:G70))</f>
        <v/>
      </c>
      <c r="P401" s="38">
        <f>IF('Старт'!$B$18="",99,SUM(H64:H70))</f>
        <v/>
      </c>
    </row>
    <row r="402" spans="1:16">
      <c r="A402" s="38">
        <v>10</v>
      </c>
      <c r="B402" s="38">
        <v>71</v>
      </c>
      <c r="C402" s="38">
        <v>77</v>
      </c>
      <c r="D402" s="38">
        <f>IF(MIN($J401:$P401)=99,0,MATCH(MIN($J401:$P401),$J401:$P401,0))</f>
        <v/>
      </c>
      <c r="E402" s="38">
        <f>IF($D402=0,0,IF($D402=1,$J402,0)+IF($D402=2,$K402,0)+IF($D402=3,$L402,0)+IF($D402=4,$M402,0)+IF($D402=5,$N402,0)+IF($D402=6,$O402,0)+IF($D402=7,$P402,0))</f>
        <v/>
      </c>
      <c r="F402" s="38">
        <f>IF(AND($D402&gt;0,$E402&gt;=5),1,0)</f>
        <v/>
      </c>
      <c r="G402" s="38">
        <f>SUM(W71:W77)</f>
        <v/>
      </c>
      <c r="H402" s="38">
        <f>ROUND((IF('Старт'!$B$12="",0,$F$1)+IF('Старт'!$B$13="",0,$G$1)+IF('Старт'!$B$14="",0,$H$1)+IF('Старт'!$B$15="",0,$I$1)+IF('Старт'!$B$16="",0,$J$1)+IF('Старт'!$B$17="",0,$K$1)+IF('Старт'!$B$18="",0,$L$1))*SUM(A71:A77)/7,0)</f>
        <v/>
      </c>
      <c r="I402" s="38">
        <f>$G401</f>
        <v/>
      </c>
      <c r="J402" s="38">
        <f>IF('Старт'!$B$12="",99,SUM(B71:B77))</f>
        <v/>
      </c>
      <c r="K402" s="38">
        <f>IF('Старт'!$B$13="",99,SUM(C71:C77))</f>
        <v/>
      </c>
      <c r="L402" s="38">
        <f>IF('Старт'!$B$14="",99,SUM(D71:D77))</f>
        <v/>
      </c>
      <c r="M402" s="38">
        <f>IF('Старт'!$B$15="",99,SUM(E71:E77))</f>
        <v/>
      </c>
      <c r="N402" s="38">
        <f>IF('Старт'!$B$16="",99,SUM(F71:F77))</f>
        <v/>
      </c>
      <c r="O402" s="38">
        <f>IF('Старт'!$B$17="",99,SUM(G71:G77))</f>
        <v/>
      </c>
      <c r="P402" s="38">
        <f>IF('Старт'!$B$18="",99,SUM(H71:H77))</f>
        <v/>
      </c>
    </row>
    <row r="403" spans="1:16">
      <c r="A403" s="38">
        <v>11</v>
      </c>
      <c r="B403" s="38">
        <v>78</v>
      </c>
      <c r="C403" s="38">
        <v>84</v>
      </c>
      <c r="D403" s="38">
        <f>IF(MIN($J402:$P402)=99,0,MATCH(MIN($J402:$P402),$J402:$P402,0))</f>
        <v/>
      </c>
      <c r="E403" s="38">
        <f>IF($D403=0,0,IF($D403=1,$J403,0)+IF($D403=2,$K403,0)+IF($D403=3,$L403,0)+IF($D403=4,$M403,0)+IF($D403=5,$N403,0)+IF($D403=6,$O403,0)+IF($D403=7,$P403,0))</f>
        <v/>
      </c>
      <c r="F403" s="38">
        <f>IF(AND($D403&gt;0,$E403&gt;=5),1,0)</f>
        <v/>
      </c>
      <c r="G403" s="38">
        <f>SUM(W78:W84)</f>
        <v/>
      </c>
      <c r="H403" s="38">
        <f>ROUND((IF('Старт'!$B$12="",0,$F$1)+IF('Старт'!$B$13="",0,$G$1)+IF('Старт'!$B$14="",0,$H$1)+IF('Старт'!$B$15="",0,$I$1)+IF('Старт'!$B$16="",0,$J$1)+IF('Старт'!$B$17="",0,$K$1)+IF('Старт'!$B$18="",0,$L$1))*SUM(A78:A84)/7,0)</f>
        <v/>
      </c>
      <c r="I403" s="38">
        <f>$G402</f>
        <v/>
      </c>
      <c r="J403" s="38">
        <f>IF('Старт'!$B$12="",99,SUM(B78:B84))</f>
        <v/>
      </c>
      <c r="K403" s="38">
        <f>IF('Старт'!$B$13="",99,SUM(C78:C84))</f>
        <v/>
      </c>
      <c r="L403" s="38">
        <f>IF('Старт'!$B$14="",99,SUM(D78:D84))</f>
        <v/>
      </c>
      <c r="M403" s="38">
        <f>IF('Старт'!$B$15="",99,SUM(E78:E84))</f>
        <v/>
      </c>
      <c r="N403" s="38">
        <f>IF('Старт'!$B$16="",99,SUM(F78:F84))</f>
        <v/>
      </c>
      <c r="O403" s="38">
        <f>IF('Старт'!$B$17="",99,SUM(G78:G84))</f>
        <v/>
      </c>
      <c r="P403" s="38">
        <f>IF('Старт'!$B$18="",99,SUM(H78:H84))</f>
        <v/>
      </c>
    </row>
    <row r="404" spans="1:16">
      <c r="A404" s="38">
        <v>12</v>
      </c>
      <c r="B404" s="38">
        <v>85</v>
      </c>
      <c r="C404" s="38">
        <v>91</v>
      </c>
      <c r="D404" s="38">
        <f>IF(MIN($J403:$P403)=99,0,MATCH(MIN($J403:$P403),$J403:$P403,0))</f>
        <v/>
      </c>
      <c r="E404" s="38">
        <f>IF($D404=0,0,IF($D404=1,$J404,0)+IF($D404=2,$K404,0)+IF($D404=3,$L404,0)+IF($D404=4,$M404,0)+IF($D404=5,$N404,0)+IF($D404=6,$O404,0)+IF($D404=7,$P404,0))</f>
        <v/>
      </c>
      <c r="F404" s="38">
        <f>IF(AND($D404&gt;0,$E404&gt;=5),1,0)</f>
        <v/>
      </c>
      <c r="G404" s="38">
        <f>SUM(W85:W91)</f>
        <v/>
      </c>
      <c r="H404" s="38">
        <f>ROUND((IF('Старт'!$B$12="",0,$F$1)+IF('Старт'!$B$13="",0,$G$1)+IF('Старт'!$B$14="",0,$H$1)+IF('Старт'!$B$15="",0,$I$1)+IF('Старт'!$B$16="",0,$J$1)+IF('Старт'!$B$17="",0,$K$1)+IF('Старт'!$B$18="",0,$L$1))*SUM(A85:A91)/7,0)</f>
        <v/>
      </c>
      <c r="I404" s="38">
        <f>$G403</f>
        <v/>
      </c>
      <c r="J404" s="38">
        <f>IF('Старт'!$B$12="",99,SUM(B85:B91))</f>
        <v/>
      </c>
      <c r="K404" s="38">
        <f>IF('Старт'!$B$13="",99,SUM(C85:C91))</f>
        <v/>
      </c>
      <c r="L404" s="38">
        <f>IF('Старт'!$B$14="",99,SUM(D85:D91))</f>
        <v/>
      </c>
      <c r="M404" s="38">
        <f>IF('Старт'!$B$15="",99,SUM(E85:E91))</f>
        <v/>
      </c>
      <c r="N404" s="38">
        <f>IF('Старт'!$B$16="",99,SUM(F85:F91))</f>
        <v/>
      </c>
      <c r="O404" s="38">
        <f>IF('Старт'!$B$17="",99,SUM(G85:G91))</f>
        <v/>
      </c>
      <c r="P404" s="38">
        <f>IF('Старт'!$B$18="",99,SUM(H85:H91))</f>
        <v/>
      </c>
    </row>
    <row r="405" spans="1:16">
      <c r="A405" s="38">
        <v>13</v>
      </c>
      <c r="B405" s="38">
        <v>92</v>
      </c>
      <c r="C405" s="38">
        <v>98</v>
      </c>
      <c r="D405" s="38">
        <f>IF(MIN($J404:$P404)=99,0,MATCH(MIN($J404:$P404),$J404:$P404,0))</f>
        <v/>
      </c>
      <c r="E405" s="38">
        <f>IF($D405=0,0,IF($D405=1,$J405,0)+IF($D405=2,$K405,0)+IF($D405=3,$L405,0)+IF($D405=4,$M405,0)+IF($D405=5,$N405,0)+IF($D405=6,$O405,0)+IF($D405=7,$P405,0))</f>
        <v/>
      </c>
      <c r="F405" s="38">
        <f>IF(AND($D405&gt;0,$E405&gt;=5),1,0)</f>
        <v/>
      </c>
      <c r="G405" s="38">
        <f>SUM(W92:W98)</f>
        <v/>
      </c>
      <c r="H405" s="38">
        <f>ROUND((IF('Старт'!$B$12="",0,$F$1)+IF('Старт'!$B$13="",0,$G$1)+IF('Старт'!$B$14="",0,$H$1)+IF('Старт'!$B$15="",0,$I$1)+IF('Старт'!$B$16="",0,$J$1)+IF('Старт'!$B$17="",0,$K$1)+IF('Старт'!$B$18="",0,$L$1))*SUM(A92:A98)/7,0)</f>
        <v/>
      </c>
      <c r="I405" s="38">
        <f>$G404</f>
        <v/>
      </c>
      <c r="J405" s="38">
        <f>IF('Старт'!$B$12="",99,SUM(B92:B98))</f>
        <v/>
      </c>
      <c r="K405" s="38">
        <f>IF('Старт'!$B$13="",99,SUM(C92:C98))</f>
        <v/>
      </c>
      <c r="L405" s="38">
        <f>IF('Старт'!$B$14="",99,SUM(D92:D98))</f>
        <v/>
      </c>
      <c r="M405" s="38">
        <f>IF('Старт'!$B$15="",99,SUM(E92:E98))</f>
        <v/>
      </c>
      <c r="N405" s="38">
        <f>IF('Старт'!$B$16="",99,SUM(F92:F98))</f>
        <v/>
      </c>
      <c r="O405" s="38">
        <f>IF('Старт'!$B$17="",99,SUM(G92:G98))</f>
        <v/>
      </c>
      <c r="P405" s="38">
        <f>IF('Старт'!$B$18="",99,SUM(H92:H98))</f>
        <v/>
      </c>
    </row>
    <row r="406" spans="1:16">
      <c r="A406" s="38">
        <v>14</v>
      </c>
      <c r="B406" s="38">
        <v>99</v>
      </c>
      <c r="C406" s="38">
        <v>105</v>
      </c>
      <c r="D406" s="38">
        <f>IF(MIN($J405:$P405)=99,0,MATCH(MIN($J405:$P405),$J405:$P405,0))</f>
        <v/>
      </c>
      <c r="E406" s="38">
        <f>IF($D406=0,0,IF($D406=1,$J406,0)+IF($D406=2,$K406,0)+IF($D406=3,$L406,0)+IF($D406=4,$M406,0)+IF($D406=5,$N406,0)+IF($D406=6,$O406,0)+IF($D406=7,$P406,0))</f>
        <v/>
      </c>
      <c r="F406" s="38">
        <f>IF(AND($D406&gt;0,$E406&gt;=5),1,0)</f>
        <v/>
      </c>
      <c r="G406" s="38">
        <f>SUM(W99:W105)</f>
        <v/>
      </c>
      <c r="H406" s="38">
        <f>ROUND((IF('Старт'!$B$12="",0,$F$1)+IF('Старт'!$B$13="",0,$G$1)+IF('Старт'!$B$14="",0,$H$1)+IF('Старт'!$B$15="",0,$I$1)+IF('Старт'!$B$16="",0,$J$1)+IF('Старт'!$B$17="",0,$K$1)+IF('Старт'!$B$18="",0,$L$1))*SUM(A99:A105)/7,0)</f>
        <v/>
      </c>
      <c r="I406" s="38">
        <f>$G405</f>
        <v/>
      </c>
      <c r="J406" s="38">
        <f>IF('Старт'!$B$12="",99,SUM(B99:B105))</f>
        <v/>
      </c>
      <c r="K406" s="38">
        <f>IF('Старт'!$B$13="",99,SUM(C99:C105))</f>
        <v/>
      </c>
      <c r="L406" s="38">
        <f>IF('Старт'!$B$14="",99,SUM(D99:D105))</f>
        <v/>
      </c>
      <c r="M406" s="38">
        <f>IF('Старт'!$B$15="",99,SUM(E99:E105))</f>
        <v/>
      </c>
      <c r="N406" s="38">
        <f>IF('Старт'!$B$16="",99,SUM(F99:F105))</f>
        <v/>
      </c>
      <c r="O406" s="38">
        <f>IF('Старт'!$B$17="",99,SUM(G99:G105))</f>
        <v/>
      </c>
      <c r="P406" s="38">
        <f>IF('Старт'!$B$18="",99,SUM(H99:H105))</f>
        <v/>
      </c>
    </row>
    <row r="407" spans="1:16">
      <c r="A407" s="38">
        <v>15</v>
      </c>
      <c r="B407" s="38">
        <v>106</v>
      </c>
      <c r="C407" s="38">
        <v>112</v>
      </c>
      <c r="D407" s="38">
        <f>IF(MIN($J406:$P406)=99,0,MATCH(MIN($J406:$P406),$J406:$P406,0))</f>
        <v/>
      </c>
      <c r="E407" s="38">
        <f>IF($D407=0,0,IF($D407=1,$J407,0)+IF($D407=2,$K407,0)+IF($D407=3,$L407,0)+IF($D407=4,$M407,0)+IF($D407=5,$N407,0)+IF($D407=6,$O407,0)+IF($D407=7,$P407,0))</f>
        <v/>
      </c>
      <c r="F407" s="38">
        <f>IF(AND($D407&gt;0,$E407&gt;=5),1,0)</f>
        <v/>
      </c>
      <c r="G407" s="38">
        <f>SUM(W106:W112)</f>
        <v/>
      </c>
      <c r="H407" s="38">
        <f>ROUND((IF('Старт'!$B$12="",0,$F$1)+IF('Старт'!$B$13="",0,$G$1)+IF('Старт'!$B$14="",0,$H$1)+IF('Старт'!$B$15="",0,$I$1)+IF('Старт'!$B$16="",0,$J$1)+IF('Старт'!$B$17="",0,$K$1)+IF('Старт'!$B$18="",0,$L$1))*SUM(A106:A112)/7,0)</f>
        <v/>
      </c>
      <c r="I407" s="38">
        <f>$G406</f>
        <v/>
      </c>
      <c r="J407" s="38">
        <f>IF('Старт'!$B$12="",99,SUM(B106:B112))</f>
        <v/>
      </c>
      <c r="K407" s="38">
        <f>IF('Старт'!$B$13="",99,SUM(C106:C112))</f>
        <v/>
      </c>
      <c r="L407" s="38">
        <f>IF('Старт'!$B$14="",99,SUM(D106:D112))</f>
        <v/>
      </c>
      <c r="M407" s="38">
        <f>IF('Старт'!$B$15="",99,SUM(E106:E112))</f>
        <v/>
      </c>
      <c r="N407" s="38">
        <f>IF('Старт'!$B$16="",99,SUM(F106:F112))</f>
        <v/>
      </c>
      <c r="O407" s="38">
        <f>IF('Старт'!$B$17="",99,SUM(G106:G112))</f>
        <v/>
      </c>
      <c r="P407" s="38">
        <f>IF('Старт'!$B$18="",99,SUM(H106:H112))</f>
        <v/>
      </c>
    </row>
    <row r="408" spans="1:16">
      <c r="A408" s="38">
        <v>16</v>
      </c>
      <c r="B408" s="38">
        <v>113</v>
      </c>
      <c r="C408" s="38">
        <v>119</v>
      </c>
      <c r="D408" s="38">
        <f>IF(MIN($J407:$P407)=99,0,MATCH(MIN($J407:$P407),$J407:$P407,0))</f>
        <v/>
      </c>
      <c r="E408" s="38">
        <f>IF($D408=0,0,IF($D408=1,$J408,0)+IF($D408=2,$K408,0)+IF($D408=3,$L408,0)+IF($D408=4,$M408,0)+IF($D408=5,$N408,0)+IF($D408=6,$O408,0)+IF($D408=7,$P408,0))</f>
        <v/>
      </c>
      <c r="F408" s="38">
        <f>IF(AND($D408&gt;0,$E408&gt;=5),1,0)</f>
        <v/>
      </c>
      <c r="G408" s="38">
        <f>SUM(W113:W119)</f>
        <v/>
      </c>
      <c r="H408" s="38">
        <f>ROUND((IF('Старт'!$B$12="",0,$F$1)+IF('Старт'!$B$13="",0,$G$1)+IF('Старт'!$B$14="",0,$H$1)+IF('Старт'!$B$15="",0,$I$1)+IF('Старт'!$B$16="",0,$J$1)+IF('Старт'!$B$17="",0,$K$1)+IF('Старт'!$B$18="",0,$L$1))*SUM(A113:A119)/7,0)</f>
        <v/>
      </c>
      <c r="I408" s="38">
        <f>$G407</f>
        <v/>
      </c>
      <c r="J408" s="38">
        <f>IF('Старт'!$B$12="",99,SUM(B113:B119))</f>
        <v/>
      </c>
      <c r="K408" s="38">
        <f>IF('Старт'!$B$13="",99,SUM(C113:C119))</f>
        <v/>
      </c>
      <c r="L408" s="38">
        <f>IF('Старт'!$B$14="",99,SUM(D113:D119))</f>
        <v/>
      </c>
      <c r="M408" s="38">
        <f>IF('Старт'!$B$15="",99,SUM(E113:E119))</f>
        <v/>
      </c>
      <c r="N408" s="38">
        <f>IF('Старт'!$B$16="",99,SUM(F113:F119))</f>
        <v/>
      </c>
      <c r="O408" s="38">
        <f>IF('Старт'!$B$17="",99,SUM(G113:G119))</f>
        <v/>
      </c>
      <c r="P408" s="38">
        <f>IF('Старт'!$B$18="",99,SUM(H113:H119))</f>
        <v/>
      </c>
    </row>
    <row r="409" spans="1:16">
      <c r="A409" s="38">
        <v>17</v>
      </c>
      <c r="B409" s="38">
        <v>120</v>
      </c>
      <c r="C409" s="38">
        <v>126</v>
      </c>
      <c r="D409" s="38">
        <f>IF(MIN($J408:$P408)=99,0,MATCH(MIN($J408:$P408),$J408:$P408,0))</f>
        <v/>
      </c>
      <c r="E409" s="38">
        <f>IF($D409=0,0,IF($D409=1,$J409,0)+IF($D409=2,$K409,0)+IF($D409=3,$L409,0)+IF($D409=4,$M409,0)+IF($D409=5,$N409,0)+IF($D409=6,$O409,0)+IF($D409=7,$P409,0))</f>
        <v/>
      </c>
      <c r="F409" s="38">
        <f>IF(AND($D409&gt;0,$E409&gt;=5),1,0)</f>
        <v/>
      </c>
      <c r="G409" s="38">
        <f>SUM(W120:W126)</f>
        <v/>
      </c>
      <c r="H409" s="38">
        <f>ROUND((IF('Старт'!$B$12="",0,$F$1)+IF('Старт'!$B$13="",0,$G$1)+IF('Старт'!$B$14="",0,$H$1)+IF('Старт'!$B$15="",0,$I$1)+IF('Старт'!$B$16="",0,$J$1)+IF('Старт'!$B$17="",0,$K$1)+IF('Старт'!$B$18="",0,$L$1))*SUM(A120:A126)/7,0)</f>
        <v/>
      </c>
      <c r="I409" s="38">
        <f>$G408</f>
        <v/>
      </c>
      <c r="J409" s="38">
        <f>IF('Старт'!$B$12="",99,SUM(B120:B126))</f>
        <v/>
      </c>
      <c r="K409" s="38">
        <f>IF('Старт'!$B$13="",99,SUM(C120:C126))</f>
        <v/>
      </c>
      <c r="L409" s="38">
        <f>IF('Старт'!$B$14="",99,SUM(D120:D126))</f>
        <v/>
      </c>
      <c r="M409" s="38">
        <f>IF('Старт'!$B$15="",99,SUM(E120:E126))</f>
        <v/>
      </c>
      <c r="N409" s="38">
        <f>IF('Старт'!$B$16="",99,SUM(F120:F126))</f>
        <v/>
      </c>
      <c r="O409" s="38">
        <f>IF('Старт'!$B$17="",99,SUM(G120:G126))</f>
        <v/>
      </c>
      <c r="P409" s="38">
        <f>IF('Старт'!$B$18="",99,SUM(H120:H126))</f>
        <v/>
      </c>
    </row>
    <row r="410" spans="1:16">
      <c r="A410" s="38">
        <v>18</v>
      </c>
      <c r="B410" s="38">
        <v>127</v>
      </c>
      <c r="C410" s="38">
        <v>133</v>
      </c>
      <c r="D410" s="38">
        <f>IF(MIN($J409:$P409)=99,0,MATCH(MIN($J409:$P409),$J409:$P409,0))</f>
        <v/>
      </c>
      <c r="E410" s="38">
        <f>IF($D410=0,0,IF($D410=1,$J410,0)+IF($D410=2,$K410,0)+IF($D410=3,$L410,0)+IF($D410=4,$M410,0)+IF($D410=5,$N410,0)+IF($D410=6,$O410,0)+IF($D410=7,$P410,0))</f>
        <v/>
      </c>
      <c r="F410" s="38">
        <f>IF(AND($D410&gt;0,$E410&gt;=5),1,0)</f>
        <v/>
      </c>
      <c r="G410" s="38">
        <f>SUM(W127:W133)</f>
        <v/>
      </c>
      <c r="H410" s="38">
        <f>ROUND((IF('Старт'!$B$12="",0,$F$1)+IF('Старт'!$B$13="",0,$G$1)+IF('Старт'!$B$14="",0,$H$1)+IF('Старт'!$B$15="",0,$I$1)+IF('Старт'!$B$16="",0,$J$1)+IF('Старт'!$B$17="",0,$K$1)+IF('Старт'!$B$18="",0,$L$1))*SUM(A127:A133)/7,0)</f>
        <v/>
      </c>
      <c r="I410" s="38">
        <f>$G409</f>
        <v/>
      </c>
      <c r="J410" s="38">
        <f>IF('Старт'!$B$12="",99,SUM(B127:B133))</f>
        <v/>
      </c>
      <c r="K410" s="38">
        <f>IF('Старт'!$B$13="",99,SUM(C127:C133))</f>
        <v/>
      </c>
      <c r="L410" s="38">
        <f>IF('Старт'!$B$14="",99,SUM(D127:D133))</f>
        <v/>
      </c>
      <c r="M410" s="38">
        <f>IF('Старт'!$B$15="",99,SUM(E127:E133))</f>
        <v/>
      </c>
      <c r="N410" s="38">
        <f>IF('Старт'!$B$16="",99,SUM(F127:F133))</f>
        <v/>
      </c>
      <c r="O410" s="38">
        <f>IF('Старт'!$B$17="",99,SUM(G127:G133))</f>
        <v/>
      </c>
      <c r="P410" s="38">
        <f>IF('Старт'!$B$18="",99,SUM(H127:H133))</f>
        <v/>
      </c>
    </row>
    <row r="411" spans="1:16">
      <c r="A411" s="38">
        <v>19</v>
      </c>
      <c r="B411" s="38">
        <v>134</v>
      </c>
      <c r="C411" s="38">
        <v>140</v>
      </c>
      <c r="D411" s="38">
        <f>IF(MIN($J410:$P410)=99,0,MATCH(MIN($J410:$P410),$J410:$P410,0))</f>
        <v/>
      </c>
      <c r="E411" s="38">
        <f>IF($D411=0,0,IF($D411=1,$J411,0)+IF($D411=2,$K411,0)+IF($D411=3,$L411,0)+IF($D411=4,$M411,0)+IF($D411=5,$N411,0)+IF($D411=6,$O411,0)+IF($D411=7,$P411,0))</f>
        <v/>
      </c>
      <c r="F411" s="38">
        <f>IF(AND($D411&gt;0,$E411&gt;=5),1,0)</f>
        <v/>
      </c>
      <c r="G411" s="38">
        <f>SUM(W134:W140)</f>
        <v/>
      </c>
      <c r="H411" s="38">
        <f>ROUND((IF('Старт'!$B$12="",0,$F$1)+IF('Старт'!$B$13="",0,$G$1)+IF('Старт'!$B$14="",0,$H$1)+IF('Старт'!$B$15="",0,$I$1)+IF('Старт'!$B$16="",0,$J$1)+IF('Старт'!$B$17="",0,$K$1)+IF('Старт'!$B$18="",0,$L$1))*SUM(A134:A140)/7,0)</f>
        <v/>
      </c>
      <c r="I411" s="38">
        <f>$G410</f>
        <v/>
      </c>
      <c r="J411" s="38">
        <f>IF('Старт'!$B$12="",99,SUM(B134:B140))</f>
        <v/>
      </c>
      <c r="K411" s="38">
        <f>IF('Старт'!$B$13="",99,SUM(C134:C140))</f>
        <v/>
      </c>
      <c r="L411" s="38">
        <f>IF('Старт'!$B$14="",99,SUM(D134:D140))</f>
        <v/>
      </c>
      <c r="M411" s="38">
        <f>IF('Старт'!$B$15="",99,SUM(E134:E140))</f>
        <v/>
      </c>
      <c r="N411" s="38">
        <f>IF('Старт'!$B$16="",99,SUM(F134:F140))</f>
        <v/>
      </c>
      <c r="O411" s="38">
        <f>IF('Старт'!$B$17="",99,SUM(G134:G140))</f>
        <v/>
      </c>
      <c r="P411" s="38">
        <f>IF('Старт'!$B$18="",99,SUM(H134:H140))</f>
        <v/>
      </c>
    </row>
    <row r="412" spans="1:16">
      <c r="A412" s="38">
        <v>20</v>
      </c>
      <c r="B412" s="38">
        <v>141</v>
      </c>
      <c r="C412" s="38">
        <v>147</v>
      </c>
      <c r="D412" s="38">
        <f>IF(MIN($J411:$P411)=99,0,MATCH(MIN($J411:$P411),$J411:$P411,0))</f>
        <v/>
      </c>
      <c r="E412" s="38">
        <f>IF($D412=0,0,IF($D412=1,$J412,0)+IF($D412=2,$K412,0)+IF($D412=3,$L412,0)+IF($D412=4,$M412,0)+IF($D412=5,$N412,0)+IF($D412=6,$O412,0)+IF($D412=7,$P412,0))</f>
        <v/>
      </c>
      <c r="F412" s="38">
        <f>IF(AND($D412&gt;0,$E412&gt;=5),1,0)</f>
        <v/>
      </c>
      <c r="G412" s="38">
        <f>SUM(W141:W147)</f>
        <v/>
      </c>
      <c r="H412" s="38">
        <f>ROUND((IF('Старт'!$B$12="",0,$F$1)+IF('Старт'!$B$13="",0,$G$1)+IF('Старт'!$B$14="",0,$H$1)+IF('Старт'!$B$15="",0,$I$1)+IF('Старт'!$B$16="",0,$J$1)+IF('Старт'!$B$17="",0,$K$1)+IF('Старт'!$B$18="",0,$L$1))*SUM(A141:A147)/7,0)</f>
        <v/>
      </c>
      <c r="I412" s="38">
        <f>$G411</f>
        <v/>
      </c>
      <c r="J412" s="38">
        <f>IF('Старт'!$B$12="",99,SUM(B141:B147))</f>
        <v/>
      </c>
      <c r="K412" s="38">
        <f>IF('Старт'!$B$13="",99,SUM(C141:C147))</f>
        <v/>
      </c>
      <c r="L412" s="38">
        <f>IF('Старт'!$B$14="",99,SUM(D141:D147))</f>
        <v/>
      </c>
      <c r="M412" s="38">
        <f>IF('Старт'!$B$15="",99,SUM(E141:E147))</f>
        <v/>
      </c>
      <c r="N412" s="38">
        <f>IF('Старт'!$B$16="",99,SUM(F141:F147))</f>
        <v/>
      </c>
      <c r="O412" s="38">
        <f>IF('Старт'!$B$17="",99,SUM(G141:G147))</f>
        <v/>
      </c>
      <c r="P412" s="38">
        <f>IF('Старт'!$B$18="",99,SUM(H141:H147))</f>
        <v/>
      </c>
    </row>
    <row r="413" spans="1:16">
      <c r="A413" s="38">
        <v>21</v>
      </c>
      <c r="B413" s="38">
        <v>148</v>
      </c>
      <c r="C413" s="38">
        <v>154</v>
      </c>
      <c r="D413" s="38">
        <f>IF(MIN($J412:$P412)=99,0,MATCH(MIN($J412:$P412),$J412:$P412,0))</f>
        <v/>
      </c>
      <c r="E413" s="38">
        <f>IF($D413=0,0,IF($D413=1,$J413,0)+IF($D413=2,$K413,0)+IF($D413=3,$L413,0)+IF($D413=4,$M413,0)+IF($D413=5,$N413,0)+IF($D413=6,$O413,0)+IF($D413=7,$P413,0))</f>
        <v/>
      </c>
      <c r="F413" s="38">
        <f>IF(AND($D413&gt;0,$E413&gt;=5),1,0)</f>
        <v/>
      </c>
      <c r="G413" s="38">
        <f>SUM(W148:W154)</f>
        <v/>
      </c>
      <c r="H413" s="38">
        <f>ROUND((IF('Старт'!$B$12="",0,$F$1)+IF('Старт'!$B$13="",0,$G$1)+IF('Старт'!$B$14="",0,$H$1)+IF('Старт'!$B$15="",0,$I$1)+IF('Старт'!$B$16="",0,$J$1)+IF('Старт'!$B$17="",0,$K$1)+IF('Старт'!$B$18="",0,$L$1))*SUM(A148:A154)/7,0)</f>
        <v/>
      </c>
      <c r="I413" s="38">
        <f>$G412</f>
        <v/>
      </c>
      <c r="J413" s="38">
        <f>IF('Старт'!$B$12="",99,SUM(B148:B154))</f>
        <v/>
      </c>
      <c r="K413" s="38">
        <f>IF('Старт'!$B$13="",99,SUM(C148:C154))</f>
        <v/>
      </c>
      <c r="L413" s="38">
        <f>IF('Старт'!$B$14="",99,SUM(D148:D154))</f>
        <v/>
      </c>
      <c r="M413" s="38">
        <f>IF('Старт'!$B$15="",99,SUM(E148:E154))</f>
        <v/>
      </c>
      <c r="N413" s="38">
        <f>IF('Старт'!$B$16="",99,SUM(F148:F154))</f>
        <v/>
      </c>
      <c r="O413" s="38">
        <f>IF('Старт'!$B$17="",99,SUM(G148:G154))</f>
        <v/>
      </c>
      <c r="P413" s="38">
        <f>IF('Старт'!$B$18="",99,SUM(H148:H154))</f>
        <v/>
      </c>
    </row>
    <row r="414" spans="1:16">
      <c r="A414" s="38">
        <v>22</v>
      </c>
      <c r="B414" s="38">
        <v>155</v>
      </c>
      <c r="C414" s="38">
        <v>161</v>
      </c>
      <c r="D414" s="38">
        <f>IF(MIN($J413:$P413)=99,0,MATCH(MIN($J413:$P413),$J413:$P413,0))</f>
        <v/>
      </c>
      <c r="E414" s="38">
        <f>IF($D414=0,0,IF($D414=1,$J414,0)+IF($D414=2,$K414,0)+IF($D414=3,$L414,0)+IF($D414=4,$M414,0)+IF($D414=5,$N414,0)+IF($D414=6,$O414,0)+IF($D414=7,$P414,0))</f>
        <v/>
      </c>
      <c r="F414" s="38">
        <f>IF(AND($D414&gt;0,$E414&gt;=5),1,0)</f>
        <v/>
      </c>
      <c r="G414" s="38">
        <f>SUM(W155:W161)</f>
        <v/>
      </c>
      <c r="H414" s="38">
        <f>ROUND((IF('Старт'!$B$12="",0,$F$1)+IF('Старт'!$B$13="",0,$G$1)+IF('Старт'!$B$14="",0,$H$1)+IF('Старт'!$B$15="",0,$I$1)+IF('Старт'!$B$16="",0,$J$1)+IF('Старт'!$B$17="",0,$K$1)+IF('Старт'!$B$18="",0,$L$1))*SUM(A155:A161)/7,0)</f>
        <v/>
      </c>
      <c r="I414" s="38">
        <f>$G413</f>
        <v/>
      </c>
      <c r="J414" s="38">
        <f>IF('Старт'!$B$12="",99,SUM(B155:B161))</f>
        <v/>
      </c>
      <c r="K414" s="38">
        <f>IF('Старт'!$B$13="",99,SUM(C155:C161))</f>
        <v/>
      </c>
      <c r="L414" s="38">
        <f>IF('Старт'!$B$14="",99,SUM(D155:D161))</f>
        <v/>
      </c>
      <c r="M414" s="38">
        <f>IF('Старт'!$B$15="",99,SUM(E155:E161))</f>
        <v/>
      </c>
      <c r="N414" s="38">
        <f>IF('Старт'!$B$16="",99,SUM(F155:F161))</f>
        <v/>
      </c>
      <c r="O414" s="38">
        <f>IF('Старт'!$B$17="",99,SUM(G155:G161))</f>
        <v/>
      </c>
      <c r="P414" s="38">
        <f>IF('Старт'!$B$18="",99,SUM(H155:H161))</f>
        <v/>
      </c>
    </row>
    <row r="415" spans="1:16">
      <c r="A415" s="38">
        <v>23</v>
      </c>
      <c r="B415" s="38">
        <v>162</v>
      </c>
      <c r="C415" s="38">
        <v>168</v>
      </c>
      <c r="D415" s="38">
        <f>IF(MIN($J414:$P414)=99,0,MATCH(MIN($J414:$P414),$J414:$P414,0))</f>
        <v/>
      </c>
      <c r="E415" s="38">
        <f>IF($D415=0,0,IF($D415=1,$J415,0)+IF($D415=2,$K415,0)+IF($D415=3,$L415,0)+IF($D415=4,$M415,0)+IF($D415=5,$N415,0)+IF($D415=6,$O415,0)+IF($D415=7,$P415,0))</f>
        <v/>
      </c>
      <c r="F415" s="38">
        <f>IF(AND($D415&gt;0,$E415&gt;=5),1,0)</f>
        <v/>
      </c>
      <c r="G415" s="38">
        <f>SUM(W162:W168)</f>
        <v/>
      </c>
      <c r="H415" s="38">
        <f>ROUND((IF('Старт'!$B$12="",0,$F$1)+IF('Старт'!$B$13="",0,$G$1)+IF('Старт'!$B$14="",0,$H$1)+IF('Старт'!$B$15="",0,$I$1)+IF('Старт'!$B$16="",0,$J$1)+IF('Старт'!$B$17="",0,$K$1)+IF('Старт'!$B$18="",0,$L$1))*SUM(A162:A168)/7,0)</f>
        <v/>
      </c>
      <c r="I415" s="38">
        <f>$G414</f>
        <v/>
      </c>
      <c r="J415" s="38">
        <f>IF('Старт'!$B$12="",99,SUM(B162:B168))</f>
        <v/>
      </c>
      <c r="K415" s="38">
        <f>IF('Старт'!$B$13="",99,SUM(C162:C168))</f>
        <v/>
      </c>
      <c r="L415" s="38">
        <f>IF('Старт'!$B$14="",99,SUM(D162:D168))</f>
        <v/>
      </c>
      <c r="M415" s="38">
        <f>IF('Старт'!$B$15="",99,SUM(E162:E168))</f>
        <v/>
      </c>
      <c r="N415" s="38">
        <f>IF('Старт'!$B$16="",99,SUM(F162:F168))</f>
        <v/>
      </c>
      <c r="O415" s="38">
        <f>IF('Старт'!$B$17="",99,SUM(G162:G168))</f>
        <v/>
      </c>
      <c r="P415" s="38">
        <f>IF('Старт'!$B$18="",99,SUM(H162:H168))</f>
        <v/>
      </c>
    </row>
    <row r="416" spans="1:16">
      <c r="A416" s="38">
        <v>24</v>
      </c>
      <c r="B416" s="38">
        <v>169</v>
      </c>
      <c r="C416" s="38">
        <v>175</v>
      </c>
      <c r="D416" s="38">
        <f>IF(MIN($J415:$P415)=99,0,MATCH(MIN($J415:$P415),$J415:$P415,0))</f>
        <v/>
      </c>
      <c r="E416" s="38">
        <f>IF($D416=0,0,IF($D416=1,$J416,0)+IF($D416=2,$K416,0)+IF($D416=3,$L416,0)+IF($D416=4,$M416,0)+IF($D416=5,$N416,0)+IF($D416=6,$O416,0)+IF($D416=7,$P416,0))</f>
        <v/>
      </c>
      <c r="F416" s="38">
        <f>IF(AND($D416&gt;0,$E416&gt;=5),1,0)</f>
        <v/>
      </c>
      <c r="G416" s="38">
        <f>SUM(W169:W175)</f>
        <v/>
      </c>
      <c r="H416" s="38">
        <f>ROUND((IF('Старт'!$B$12="",0,$F$1)+IF('Старт'!$B$13="",0,$G$1)+IF('Старт'!$B$14="",0,$H$1)+IF('Старт'!$B$15="",0,$I$1)+IF('Старт'!$B$16="",0,$J$1)+IF('Старт'!$B$17="",0,$K$1)+IF('Старт'!$B$18="",0,$L$1))*SUM(A169:A175)/7,0)</f>
        <v/>
      </c>
      <c r="I416" s="38">
        <f>$G415</f>
        <v/>
      </c>
      <c r="J416" s="38">
        <f>IF('Старт'!$B$12="",99,SUM(B169:B175))</f>
        <v/>
      </c>
      <c r="K416" s="38">
        <f>IF('Старт'!$B$13="",99,SUM(C169:C175))</f>
        <v/>
      </c>
      <c r="L416" s="38">
        <f>IF('Старт'!$B$14="",99,SUM(D169:D175))</f>
        <v/>
      </c>
      <c r="M416" s="38">
        <f>IF('Старт'!$B$15="",99,SUM(E169:E175))</f>
        <v/>
      </c>
      <c r="N416" s="38">
        <f>IF('Старт'!$B$16="",99,SUM(F169:F175))</f>
        <v/>
      </c>
      <c r="O416" s="38">
        <f>IF('Старт'!$B$17="",99,SUM(G169:G175))</f>
        <v/>
      </c>
      <c r="P416" s="38">
        <f>IF('Старт'!$B$18="",99,SUM(H169:H175))</f>
        <v/>
      </c>
    </row>
    <row r="417" spans="1:16">
      <c r="A417" s="38">
        <v>25</v>
      </c>
      <c r="B417" s="38">
        <v>176</v>
      </c>
      <c r="C417" s="38">
        <v>182</v>
      </c>
      <c r="D417" s="38">
        <f>IF(MIN($J416:$P416)=99,0,MATCH(MIN($J416:$P416),$J416:$P416,0))</f>
        <v/>
      </c>
      <c r="E417" s="38">
        <f>IF($D417=0,0,IF($D417=1,$J417,0)+IF($D417=2,$K417,0)+IF($D417=3,$L417,0)+IF($D417=4,$M417,0)+IF($D417=5,$N417,0)+IF($D417=6,$O417,0)+IF($D417=7,$P417,0))</f>
        <v/>
      </c>
      <c r="F417" s="38">
        <f>IF(AND($D417&gt;0,$E417&gt;=5),1,0)</f>
        <v/>
      </c>
      <c r="G417" s="38">
        <f>SUM(W176:W182)</f>
        <v/>
      </c>
      <c r="H417" s="38">
        <f>ROUND((IF('Старт'!$B$12="",0,$F$1)+IF('Старт'!$B$13="",0,$G$1)+IF('Старт'!$B$14="",0,$H$1)+IF('Старт'!$B$15="",0,$I$1)+IF('Старт'!$B$16="",0,$J$1)+IF('Старт'!$B$17="",0,$K$1)+IF('Старт'!$B$18="",0,$L$1))*SUM(A176:A182)/7,0)</f>
        <v/>
      </c>
      <c r="I417" s="38">
        <f>$G416</f>
        <v/>
      </c>
      <c r="J417" s="38">
        <f>IF('Старт'!$B$12="",99,SUM(B176:B182))</f>
        <v/>
      </c>
      <c r="K417" s="38">
        <f>IF('Старт'!$B$13="",99,SUM(C176:C182))</f>
        <v/>
      </c>
      <c r="L417" s="38">
        <f>IF('Старт'!$B$14="",99,SUM(D176:D182))</f>
        <v/>
      </c>
      <c r="M417" s="38">
        <f>IF('Старт'!$B$15="",99,SUM(E176:E182))</f>
        <v/>
      </c>
      <c r="N417" s="38">
        <f>IF('Старт'!$B$16="",99,SUM(F176:F182))</f>
        <v/>
      </c>
      <c r="O417" s="38">
        <f>IF('Старт'!$B$17="",99,SUM(G176:G182))</f>
        <v/>
      </c>
      <c r="P417" s="38">
        <f>IF('Старт'!$B$18="",99,SUM(H176:H182))</f>
        <v/>
      </c>
    </row>
    <row r="418" spans="1:16">
      <c r="A418" s="38">
        <v>26</v>
      </c>
      <c r="B418" s="38">
        <v>183</v>
      </c>
      <c r="C418" s="38">
        <v>189</v>
      </c>
      <c r="D418" s="38">
        <f>IF(MIN($J417:$P417)=99,0,MATCH(MIN($J417:$P417),$J417:$P417,0))</f>
        <v/>
      </c>
      <c r="E418" s="38">
        <f>IF($D418=0,0,IF($D418=1,$J418,0)+IF($D418=2,$K418,0)+IF($D418=3,$L418,0)+IF($D418=4,$M418,0)+IF($D418=5,$N418,0)+IF($D418=6,$O418,0)+IF($D418=7,$P418,0))</f>
        <v/>
      </c>
      <c r="F418" s="38">
        <f>IF(AND($D418&gt;0,$E418&gt;=5),1,0)</f>
        <v/>
      </c>
      <c r="G418" s="38">
        <f>SUM(W183:W189)</f>
        <v/>
      </c>
      <c r="H418" s="38">
        <f>ROUND((IF('Старт'!$B$12="",0,$F$1)+IF('Старт'!$B$13="",0,$G$1)+IF('Старт'!$B$14="",0,$H$1)+IF('Старт'!$B$15="",0,$I$1)+IF('Старт'!$B$16="",0,$J$1)+IF('Старт'!$B$17="",0,$K$1)+IF('Старт'!$B$18="",0,$L$1))*SUM(A183:A189)/7,0)</f>
        <v/>
      </c>
      <c r="I418" s="38">
        <f>$G417</f>
        <v/>
      </c>
      <c r="J418" s="38">
        <f>IF('Старт'!$B$12="",99,SUM(B183:B189))</f>
        <v/>
      </c>
      <c r="K418" s="38">
        <f>IF('Старт'!$B$13="",99,SUM(C183:C189))</f>
        <v/>
      </c>
      <c r="L418" s="38">
        <f>IF('Старт'!$B$14="",99,SUM(D183:D189))</f>
        <v/>
      </c>
      <c r="M418" s="38">
        <f>IF('Старт'!$B$15="",99,SUM(E183:E189))</f>
        <v/>
      </c>
      <c r="N418" s="38">
        <f>IF('Старт'!$B$16="",99,SUM(F183:F189))</f>
        <v/>
      </c>
      <c r="O418" s="38">
        <f>IF('Старт'!$B$17="",99,SUM(G183:G189))</f>
        <v/>
      </c>
      <c r="P418" s="38">
        <f>IF('Старт'!$B$18="",99,SUM(H183:H189))</f>
        <v/>
      </c>
    </row>
    <row r="419" spans="1:16">
      <c r="A419" s="38">
        <v>27</v>
      </c>
      <c r="B419" s="38">
        <v>190</v>
      </c>
      <c r="C419" s="38">
        <v>196</v>
      </c>
      <c r="D419" s="38">
        <f>IF(MIN($J418:$P418)=99,0,MATCH(MIN($J418:$P418),$J418:$P418,0))</f>
        <v/>
      </c>
      <c r="E419" s="38">
        <f>IF($D419=0,0,IF($D419=1,$J419,0)+IF($D419=2,$K419,0)+IF($D419=3,$L419,0)+IF($D419=4,$M419,0)+IF($D419=5,$N419,0)+IF($D419=6,$O419,0)+IF($D419=7,$P419,0))</f>
        <v/>
      </c>
      <c r="F419" s="38">
        <f>IF(AND($D419&gt;0,$E419&gt;=5),1,0)</f>
        <v/>
      </c>
      <c r="G419" s="38">
        <f>SUM(W190:W196)</f>
        <v/>
      </c>
      <c r="H419" s="38">
        <f>ROUND((IF('Старт'!$B$12="",0,$F$1)+IF('Старт'!$B$13="",0,$G$1)+IF('Старт'!$B$14="",0,$H$1)+IF('Старт'!$B$15="",0,$I$1)+IF('Старт'!$B$16="",0,$J$1)+IF('Старт'!$B$17="",0,$K$1)+IF('Старт'!$B$18="",0,$L$1))*SUM(A190:A196)/7,0)</f>
        <v/>
      </c>
      <c r="I419" s="38">
        <f>$G418</f>
        <v/>
      </c>
      <c r="J419" s="38">
        <f>IF('Старт'!$B$12="",99,SUM(B190:B196))</f>
        <v/>
      </c>
      <c r="K419" s="38">
        <f>IF('Старт'!$B$13="",99,SUM(C190:C196))</f>
        <v/>
      </c>
      <c r="L419" s="38">
        <f>IF('Старт'!$B$14="",99,SUM(D190:D196))</f>
        <v/>
      </c>
      <c r="M419" s="38">
        <f>IF('Старт'!$B$15="",99,SUM(E190:E196))</f>
        <v/>
      </c>
      <c r="N419" s="38">
        <f>IF('Старт'!$B$16="",99,SUM(F190:F196))</f>
        <v/>
      </c>
      <c r="O419" s="38">
        <f>IF('Старт'!$B$17="",99,SUM(G190:G196))</f>
        <v/>
      </c>
      <c r="P419" s="38">
        <f>IF('Старт'!$B$18="",99,SUM(H190:H196))</f>
        <v/>
      </c>
    </row>
    <row r="420" spans="1:16">
      <c r="A420" s="38">
        <v>28</v>
      </c>
      <c r="B420" s="38">
        <v>197</v>
      </c>
      <c r="C420" s="38">
        <v>203</v>
      </c>
      <c r="D420" s="38">
        <f>IF(MIN($J419:$P419)=99,0,MATCH(MIN($J419:$P419),$J419:$P419,0))</f>
        <v/>
      </c>
      <c r="E420" s="38">
        <f>IF($D420=0,0,IF($D420=1,$J420,0)+IF($D420=2,$K420,0)+IF($D420=3,$L420,0)+IF($D420=4,$M420,0)+IF($D420=5,$N420,0)+IF($D420=6,$O420,0)+IF($D420=7,$P420,0))</f>
        <v/>
      </c>
      <c r="F420" s="38">
        <f>IF(AND($D420&gt;0,$E420&gt;=5),1,0)</f>
        <v/>
      </c>
      <c r="G420" s="38">
        <f>SUM(W197:W203)</f>
        <v/>
      </c>
      <c r="H420" s="38">
        <f>ROUND((IF('Старт'!$B$12="",0,$F$1)+IF('Старт'!$B$13="",0,$G$1)+IF('Старт'!$B$14="",0,$H$1)+IF('Старт'!$B$15="",0,$I$1)+IF('Старт'!$B$16="",0,$J$1)+IF('Старт'!$B$17="",0,$K$1)+IF('Старт'!$B$18="",0,$L$1))*SUM(A197:A203)/7,0)</f>
        <v/>
      </c>
      <c r="I420" s="38">
        <f>$G419</f>
        <v/>
      </c>
      <c r="J420" s="38">
        <f>IF('Старт'!$B$12="",99,SUM(B197:B203))</f>
        <v/>
      </c>
      <c r="K420" s="38">
        <f>IF('Старт'!$B$13="",99,SUM(C197:C203))</f>
        <v/>
      </c>
      <c r="L420" s="38">
        <f>IF('Старт'!$B$14="",99,SUM(D197:D203))</f>
        <v/>
      </c>
      <c r="M420" s="38">
        <f>IF('Старт'!$B$15="",99,SUM(E197:E203))</f>
        <v/>
      </c>
      <c r="N420" s="38">
        <f>IF('Старт'!$B$16="",99,SUM(F197:F203))</f>
        <v/>
      </c>
      <c r="O420" s="38">
        <f>IF('Старт'!$B$17="",99,SUM(G197:G203))</f>
        <v/>
      </c>
      <c r="P420" s="38">
        <f>IF('Старт'!$B$18="",99,SUM(H197:H203))</f>
        <v/>
      </c>
    </row>
    <row r="421" spans="1:16">
      <c r="A421" s="38">
        <v>29</v>
      </c>
      <c r="B421" s="38">
        <v>204</v>
      </c>
      <c r="C421" s="38">
        <v>210</v>
      </c>
      <c r="D421" s="38">
        <f>IF(MIN($J420:$P420)=99,0,MATCH(MIN($J420:$P420),$J420:$P420,0))</f>
        <v/>
      </c>
      <c r="E421" s="38">
        <f>IF($D421=0,0,IF($D421=1,$J421,0)+IF($D421=2,$K421,0)+IF($D421=3,$L421,0)+IF($D421=4,$M421,0)+IF($D421=5,$N421,0)+IF($D421=6,$O421,0)+IF($D421=7,$P421,0))</f>
        <v/>
      </c>
      <c r="F421" s="38">
        <f>IF(AND($D421&gt;0,$E421&gt;=5),1,0)</f>
        <v/>
      </c>
      <c r="G421" s="38">
        <f>SUM(W204:W210)</f>
        <v/>
      </c>
      <c r="H421" s="38">
        <f>ROUND((IF('Старт'!$B$12="",0,$F$1)+IF('Старт'!$B$13="",0,$G$1)+IF('Старт'!$B$14="",0,$H$1)+IF('Старт'!$B$15="",0,$I$1)+IF('Старт'!$B$16="",0,$J$1)+IF('Старт'!$B$17="",0,$K$1)+IF('Старт'!$B$18="",0,$L$1))*SUM(A204:A210)/7,0)</f>
        <v/>
      </c>
      <c r="I421" s="38">
        <f>$G420</f>
        <v/>
      </c>
      <c r="J421" s="38">
        <f>IF('Старт'!$B$12="",99,SUM(B204:B210))</f>
        <v/>
      </c>
      <c r="K421" s="38">
        <f>IF('Старт'!$B$13="",99,SUM(C204:C210))</f>
        <v/>
      </c>
      <c r="L421" s="38">
        <f>IF('Старт'!$B$14="",99,SUM(D204:D210))</f>
        <v/>
      </c>
      <c r="M421" s="38">
        <f>IF('Старт'!$B$15="",99,SUM(E204:E210))</f>
        <v/>
      </c>
      <c r="N421" s="38">
        <f>IF('Старт'!$B$16="",99,SUM(F204:F210))</f>
        <v/>
      </c>
      <c r="O421" s="38">
        <f>IF('Старт'!$B$17="",99,SUM(G204:G210))</f>
        <v/>
      </c>
      <c r="P421" s="38">
        <f>IF('Старт'!$B$18="",99,SUM(H204:H210))</f>
        <v/>
      </c>
    </row>
    <row r="422" spans="1:16">
      <c r="A422" s="38">
        <v>30</v>
      </c>
      <c r="B422" s="38">
        <v>211</v>
      </c>
      <c r="C422" s="38">
        <v>217</v>
      </c>
      <c r="D422" s="38">
        <f>IF(MIN($J421:$P421)=99,0,MATCH(MIN($J421:$P421),$J421:$P421,0))</f>
        <v/>
      </c>
      <c r="E422" s="38">
        <f>IF($D422=0,0,IF($D422=1,$J422,0)+IF($D422=2,$K422,0)+IF($D422=3,$L422,0)+IF($D422=4,$M422,0)+IF($D422=5,$N422,0)+IF($D422=6,$O422,0)+IF($D422=7,$P422,0))</f>
        <v/>
      </c>
      <c r="F422" s="38">
        <f>IF(AND($D422&gt;0,$E422&gt;=5),1,0)</f>
        <v/>
      </c>
      <c r="G422" s="38">
        <f>SUM(W211:W217)</f>
        <v/>
      </c>
      <c r="H422" s="38">
        <f>ROUND((IF('Старт'!$B$12="",0,$F$1)+IF('Старт'!$B$13="",0,$G$1)+IF('Старт'!$B$14="",0,$H$1)+IF('Старт'!$B$15="",0,$I$1)+IF('Старт'!$B$16="",0,$J$1)+IF('Старт'!$B$17="",0,$K$1)+IF('Старт'!$B$18="",0,$L$1))*SUM(A211:A217)/7,0)</f>
        <v/>
      </c>
      <c r="I422" s="38">
        <f>$G421</f>
        <v/>
      </c>
      <c r="J422" s="38">
        <f>IF('Старт'!$B$12="",99,SUM(B211:B217))</f>
        <v/>
      </c>
      <c r="K422" s="38">
        <f>IF('Старт'!$B$13="",99,SUM(C211:C217))</f>
        <v/>
      </c>
      <c r="L422" s="38">
        <f>IF('Старт'!$B$14="",99,SUM(D211:D217))</f>
        <v/>
      </c>
      <c r="M422" s="38">
        <f>IF('Старт'!$B$15="",99,SUM(E211:E217))</f>
        <v/>
      </c>
      <c r="N422" s="38">
        <f>IF('Старт'!$B$16="",99,SUM(F211:F217))</f>
        <v/>
      </c>
      <c r="O422" s="38">
        <f>IF('Старт'!$B$17="",99,SUM(G211:G217))</f>
        <v/>
      </c>
      <c r="P422" s="38">
        <f>IF('Старт'!$B$18="",99,SUM(H211:H217))</f>
        <v/>
      </c>
    </row>
    <row r="423" spans="1:16">
      <c r="A423" s="38">
        <v>31</v>
      </c>
      <c r="B423" s="38">
        <v>218</v>
      </c>
      <c r="C423" s="38">
        <v>224</v>
      </c>
      <c r="D423" s="38">
        <f>IF(MIN($J422:$P422)=99,0,MATCH(MIN($J422:$P422),$J422:$P422,0))</f>
        <v/>
      </c>
      <c r="E423" s="38">
        <f>IF($D423=0,0,IF($D423=1,$J423,0)+IF($D423=2,$K423,0)+IF($D423=3,$L423,0)+IF($D423=4,$M423,0)+IF($D423=5,$N423,0)+IF($D423=6,$O423,0)+IF($D423=7,$P423,0))</f>
        <v/>
      </c>
      <c r="F423" s="38">
        <f>IF(AND($D423&gt;0,$E423&gt;=5),1,0)</f>
        <v/>
      </c>
      <c r="G423" s="38">
        <f>SUM(W218:W224)</f>
        <v/>
      </c>
      <c r="H423" s="38">
        <f>ROUND((IF('Старт'!$B$12="",0,$F$1)+IF('Старт'!$B$13="",0,$G$1)+IF('Старт'!$B$14="",0,$H$1)+IF('Старт'!$B$15="",0,$I$1)+IF('Старт'!$B$16="",0,$J$1)+IF('Старт'!$B$17="",0,$K$1)+IF('Старт'!$B$18="",0,$L$1))*SUM(A218:A224)/7,0)</f>
        <v/>
      </c>
      <c r="I423" s="38">
        <f>$G422</f>
        <v/>
      </c>
      <c r="J423" s="38">
        <f>IF('Старт'!$B$12="",99,SUM(B218:B224))</f>
        <v/>
      </c>
      <c r="K423" s="38">
        <f>IF('Старт'!$B$13="",99,SUM(C218:C224))</f>
        <v/>
      </c>
      <c r="L423" s="38">
        <f>IF('Старт'!$B$14="",99,SUM(D218:D224))</f>
        <v/>
      </c>
      <c r="M423" s="38">
        <f>IF('Старт'!$B$15="",99,SUM(E218:E224))</f>
        <v/>
      </c>
      <c r="N423" s="38">
        <f>IF('Старт'!$B$16="",99,SUM(F218:F224))</f>
        <v/>
      </c>
      <c r="O423" s="38">
        <f>IF('Старт'!$B$17="",99,SUM(G218:G224))</f>
        <v/>
      </c>
      <c r="P423" s="38">
        <f>IF('Старт'!$B$18="",99,SUM(H218:H224))</f>
        <v/>
      </c>
    </row>
    <row r="424" spans="1:16">
      <c r="A424" s="38">
        <v>32</v>
      </c>
      <c r="B424" s="38">
        <v>225</v>
      </c>
      <c r="C424" s="38">
        <v>231</v>
      </c>
      <c r="D424" s="38">
        <f>IF(MIN($J423:$P423)=99,0,MATCH(MIN($J423:$P423),$J423:$P423,0))</f>
        <v/>
      </c>
      <c r="E424" s="38">
        <f>IF($D424=0,0,IF($D424=1,$J424,0)+IF($D424=2,$K424,0)+IF($D424=3,$L424,0)+IF($D424=4,$M424,0)+IF($D424=5,$N424,0)+IF($D424=6,$O424,0)+IF($D424=7,$P424,0))</f>
        <v/>
      </c>
      <c r="F424" s="38">
        <f>IF(AND($D424&gt;0,$E424&gt;=5),1,0)</f>
        <v/>
      </c>
      <c r="G424" s="38">
        <f>SUM(W225:W231)</f>
        <v/>
      </c>
      <c r="H424" s="38">
        <f>ROUND((IF('Старт'!$B$12="",0,$F$1)+IF('Старт'!$B$13="",0,$G$1)+IF('Старт'!$B$14="",0,$H$1)+IF('Старт'!$B$15="",0,$I$1)+IF('Старт'!$B$16="",0,$J$1)+IF('Старт'!$B$17="",0,$K$1)+IF('Старт'!$B$18="",0,$L$1))*SUM(A225:A231)/7,0)</f>
        <v/>
      </c>
      <c r="I424" s="38">
        <f>$G423</f>
        <v/>
      </c>
      <c r="J424" s="38">
        <f>IF('Старт'!$B$12="",99,SUM(B225:B231))</f>
        <v/>
      </c>
      <c r="K424" s="38">
        <f>IF('Старт'!$B$13="",99,SUM(C225:C231))</f>
        <v/>
      </c>
      <c r="L424" s="38">
        <f>IF('Старт'!$B$14="",99,SUM(D225:D231))</f>
        <v/>
      </c>
      <c r="M424" s="38">
        <f>IF('Старт'!$B$15="",99,SUM(E225:E231))</f>
        <v/>
      </c>
      <c r="N424" s="38">
        <f>IF('Старт'!$B$16="",99,SUM(F225:F231))</f>
        <v/>
      </c>
      <c r="O424" s="38">
        <f>IF('Старт'!$B$17="",99,SUM(G225:G231))</f>
        <v/>
      </c>
      <c r="P424" s="38">
        <f>IF('Старт'!$B$18="",99,SUM(H225:H231))</f>
        <v/>
      </c>
    </row>
    <row r="425" spans="1:16">
      <c r="A425" s="38">
        <v>33</v>
      </c>
      <c r="B425" s="38">
        <v>232</v>
      </c>
      <c r="C425" s="38">
        <v>238</v>
      </c>
      <c r="D425" s="38">
        <f>IF(MIN($J424:$P424)=99,0,MATCH(MIN($J424:$P424),$J424:$P424,0))</f>
        <v/>
      </c>
      <c r="E425" s="38">
        <f>IF($D425=0,0,IF($D425=1,$J425,0)+IF($D425=2,$K425,0)+IF($D425=3,$L425,0)+IF($D425=4,$M425,0)+IF($D425=5,$N425,0)+IF($D425=6,$O425,0)+IF($D425=7,$P425,0))</f>
        <v/>
      </c>
      <c r="F425" s="38">
        <f>IF(AND($D425&gt;0,$E425&gt;=5),1,0)</f>
        <v/>
      </c>
      <c r="G425" s="38">
        <f>SUM(W232:W238)</f>
        <v/>
      </c>
      <c r="H425" s="38">
        <f>ROUND((IF('Старт'!$B$12="",0,$F$1)+IF('Старт'!$B$13="",0,$G$1)+IF('Старт'!$B$14="",0,$H$1)+IF('Старт'!$B$15="",0,$I$1)+IF('Старт'!$B$16="",0,$J$1)+IF('Старт'!$B$17="",0,$K$1)+IF('Старт'!$B$18="",0,$L$1))*SUM(A232:A238)/7,0)</f>
        <v/>
      </c>
      <c r="I425" s="38">
        <f>$G424</f>
        <v/>
      </c>
      <c r="J425" s="38">
        <f>IF('Старт'!$B$12="",99,SUM(B232:B238))</f>
        <v/>
      </c>
      <c r="K425" s="38">
        <f>IF('Старт'!$B$13="",99,SUM(C232:C238))</f>
        <v/>
      </c>
      <c r="L425" s="38">
        <f>IF('Старт'!$B$14="",99,SUM(D232:D238))</f>
        <v/>
      </c>
      <c r="M425" s="38">
        <f>IF('Старт'!$B$15="",99,SUM(E232:E238))</f>
        <v/>
      </c>
      <c r="N425" s="38">
        <f>IF('Старт'!$B$16="",99,SUM(F232:F238))</f>
        <v/>
      </c>
      <c r="O425" s="38">
        <f>IF('Старт'!$B$17="",99,SUM(G232:G238))</f>
        <v/>
      </c>
      <c r="P425" s="38">
        <f>IF('Старт'!$B$18="",99,SUM(H232:H238))</f>
        <v/>
      </c>
    </row>
    <row r="426" spans="1:16">
      <c r="A426" s="38">
        <v>34</v>
      </c>
      <c r="B426" s="38">
        <v>239</v>
      </c>
      <c r="C426" s="38">
        <v>245</v>
      </c>
      <c r="D426" s="38">
        <f>IF(MIN($J425:$P425)=99,0,MATCH(MIN($J425:$P425),$J425:$P425,0))</f>
        <v/>
      </c>
      <c r="E426" s="38">
        <f>IF($D426=0,0,IF($D426=1,$J426,0)+IF($D426=2,$K426,0)+IF($D426=3,$L426,0)+IF($D426=4,$M426,0)+IF($D426=5,$N426,0)+IF($D426=6,$O426,0)+IF($D426=7,$P426,0))</f>
        <v/>
      </c>
      <c r="F426" s="38">
        <f>IF(AND($D426&gt;0,$E426&gt;=5),1,0)</f>
        <v/>
      </c>
      <c r="G426" s="38">
        <f>SUM(W239:W245)</f>
        <v/>
      </c>
      <c r="H426" s="38">
        <f>ROUND((IF('Старт'!$B$12="",0,$F$1)+IF('Старт'!$B$13="",0,$G$1)+IF('Старт'!$B$14="",0,$H$1)+IF('Старт'!$B$15="",0,$I$1)+IF('Старт'!$B$16="",0,$J$1)+IF('Старт'!$B$17="",0,$K$1)+IF('Старт'!$B$18="",0,$L$1))*SUM(A239:A245)/7,0)</f>
        <v/>
      </c>
      <c r="I426" s="38">
        <f>$G425</f>
        <v/>
      </c>
      <c r="J426" s="38">
        <f>IF('Старт'!$B$12="",99,SUM(B239:B245))</f>
        <v/>
      </c>
      <c r="K426" s="38">
        <f>IF('Старт'!$B$13="",99,SUM(C239:C245))</f>
        <v/>
      </c>
      <c r="L426" s="38">
        <f>IF('Старт'!$B$14="",99,SUM(D239:D245))</f>
        <v/>
      </c>
      <c r="M426" s="38">
        <f>IF('Старт'!$B$15="",99,SUM(E239:E245))</f>
        <v/>
      </c>
      <c r="N426" s="38">
        <f>IF('Старт'!$B$16="",99,SUM(F239:F245))</f>
        <v/>
      </c>
      <c r="O426" s="38">
        <f>IF('Старт'!$B$17="",99,SUM(G239:G245))</f>
        <v/>
      </c>
      <c r="P426" s="38">
        <f>IF('Старт'!$B$18="",99,SUM(H239:H245))</f>
        <v/>
      </c>
    </row>
    <row r="427" spans="1:16">
      <c r="A427" s="38">
        <v>35</v>
      </c>
      <c r="B427" s="38">
        <v>246</v>
      </c>
      <c r="C427" s="38">
        <v>252</v>
      </c>
      <c r="D427" s="38">
        <f>IF(MIN($J426:$P426)=99,0,MATCH(MIN($J426:$P426),$J426:$P426,0))</f>
        <v/>
      </c>
      <c r="E427" s="38">
        <f>IF($D427=0,0,IF($D427=1,$J427,0)+IF($D427=2,$K427,0)+IF($D427=3,$L427,0)+IF($D427=4,$M427,0)+IF($D427=5,$N427,0)+IF($D427=6,$O427,0)+IF($D427=7,$P427,0))</f>
        <v/>
      </c>
      <c r="F427" s="38">
        <f>IF(AND($D427&gt;0,$E427&gt;=5),1,0)</f>
        <v/>
      </c>
      <c r="G427" s="38">
        <f>SUM(W246:W252)</f>
        <v/>
      </c>
      <c r="H427" s="38">
        <f>ROUND((IF('Старт'!$B$12="",0,$F$1)+IF('Старт'!$B$13="",0,$G$1)+IF('Старт'!$B$14="",0,$H$1)+IF('Старт'!$B$15="",0,$I$1)+IF('Старт'!$B$16="",0,$J$1)+IF('Старт'!$B$17="",0,$K$1)+IF('Старт'!$B$18="",0,$L$1))*SUM(A246:A252)/7,0)</f>
        <v/>
      </c>
      <c r="I427" s="38">
        <f>$G426</f>
        <v/>
      </c>
      <c r="J427" s="38">
        <f>IF('Старт'!$B$12="",99,SUM(B246:B252))</f>
        <v/>
      </c>
      <c r="K427" s="38">
        <f>IF('Старт'!$B$13="",99,SUM(C246:C252))</f>
        <v/>
      </c>
      <c r="L427" s="38">
        <f>IF('Старт'!$B$14="",99,SUM(D246:D252))</f>
        <v/>
      </c>
      <c r="M427" s="38">
        <f>IF('Старт'!$B$15="",99,SUM(E246:E252))</f>
        <v/>
      </c>
      <c r="N427" s="38">
        <f>IF('Старт'!$B$16="",99,SUM(F246:F252))</f>
        <v/>
      </c>
      <c r="O427" s="38">
        <f>IF('Старт'!$B$17="",99,SUM(G246:G252))</f>
        <v/>
      </c>
      <c r="P427" s="38">
        <f>IF('Старт'!$B$18="",99,SUM(H246:H252))</f>
        <v/>
      </c>
    </row>
    <row r="428" spans="1:16">
      <c r="A428" s="38">
        <v>36</v>
      </c>
      <c r="B428" s="38">
        <v>253</v>
      </c>
      <c r="C428" s="38">
        <v>259</v>
      </c>
      <c r="D428" s="38">
        <f>IF(MIN($J427:$P427)=99,0,MATCH(MIN($J427:$P427),$J427:$P427,0))</f>
        <v/>
      </c>
      <c r="E428" s="38">
        <f>IF($D428=0,0,IF($D428=1,$J428,0)+IF($D428=2,$K428,0)+IF($D428=3,$L428,0)+IF($D428=4,$M428,0)+IF($D428=5,$N428,0)+IF($D428=6,$O428,0)+IF($D428=7,$P428,0))</f>
        <v/>
      </c>
      <c r="F428" s="38">
        <f>IF(AND($D428&gt;0,$E428&gt;=5),1,0)</f>
        <v/>
      </c>
      <c r="G428" s="38">
        <f>SUM(W253:W259)</f>
        <v/>
      </c>
      <c r="H428" s="38">
        <f>ROUND((IF('Старт'!$B$12="",0,$F$1)+IF('Старт'!$B$13="",0,$G$1)+IF('Старт'!$B$14="",0,$H$1)+IF('Старт'!$B$15="",0,$I$1)+IF('Старт'!$B$16="",0,$J$1)+IF('Старт'!$B$17="",0,$K$1)+IF('Старт'!$B$18="",0,$L$1))*SUM(A253:A259)/7,0)</f>
        <v/>
      </c>
      <c r="I428" s="38">
        <f>$G427</f>
        <v/>
      </c>
      <c r="J428" s="38">
        <f>IF('Старт'!$B$12="",99,SUM(B253:B259))</f>
        <v/>
      </c>
      <c r="K428" s="38">
        <f>IF('Старт'!$B$13="",99,SUM(C253:C259))</f>
        <v/>
      </c>
      <c r="L428" s="38">
        <f>IF('Старт'!$B$14="",99,SUM(D253:D259))</f>
        <v/>
      </c>
      <c r="M428" s="38">
        <f>IF('Старт'!$B$15="",99,SUM(E253:E259))</f>
        <v/>
      </c>
      <c r="N428" s="38">
        <f>IF('Старт'!$B$16="",99,SUM(F253:F259))</f>
        <v/>
      </c>
      <c r="O428" s="38">
        <f>IF('Старт'!$B$17="",99,SUM(G253:G259))</f>
        <v/>
      </c>
      <c r="P428" s="38">
        <f>IF('Старт'!$B$18="",99,SUM(H253:H259))</f>
        <v/>
      </c>
    </row>
    <row r="429" spans="1:16">
      <c r="A429" s="38">
        <v>37</v>
      </c>
      <c r="B429" s="38">
        <v>260</v>
      </c>
      <c r="C429" s="38">
        <v>266</v>
      </c>
      <c r="D429" s="38">
        <f>IF(MIN($J428:$P428)=99,0,MATCH(MIN($J428:$P428),$J428:$P428,0))</f>
        <v/>
      </c>
      <c r="E429" s="38">
        <f>IF($D429=0,0,IF($D429=1,$J429,0)+IF($D429=2,$K429,0)+IF($D429=3,$L429,0)+IF($D429=4,$M429,0)+IF($D429=5,$N429,0)+IF($D429=6,$O429,0)+IF($D429=7,$P429,0))</f>
        <v/>
      </c>
      <c r="F429" s="38">
        <f>IF(AND($D429&gt;0,$E429&gt;=5),1,0)</f>
        <v/>
      </c>
      <c r="G429" s="38">
        <f>SUM(W260:W266)</f>
        <v/>
      </c>
      <c r="H429" s="38">
        <f>ROUND((IF('Старт'!$B$12="",0,$F$1)+IF('Старт'!$B$13="",0,$G$1)+IF('Старт'!$B$14="",0,$H$1)+IF('Старт'!$B$15="",0,$I$1)+IF('Старт'!$B$16="",0,$J$1)+IF('Старт'!$B$17="",0,$K$1)+IF('Старт'!$B$18="",0,$L$1))*SUM(A260:A266)/7,0)</f>
        <v/>
      </c>
      <c r="I429" s="38">
        <f>$G428</f>
        <v/>
      </c>
      <c r="J429" s="38">
        <f>IF('Старт'!$B$12="",99,SUM(B260:B266))</f>
        <v/>
      </c>
      <c r="K429" s="38">
        <f>IF('Старт'!$B$13="",99,SUM(C260:C266))</f>
        <v/>
      </c>
      <c r="L429" s="38">
        <f>IF('Старт'!$B$14="",99,SUM(D260:D266))</f>
        <v/>
      </c>
      <c r="M429" s="38">
        <f>IF('Старт'!$B$15="",99,SUM(E260:E266))</f>
        <v/>
      </c>
      <c r="N429" s="38">
        <f>IF('Старт'!$B$16="",99,SUM(F260:F266))</f>
        <v/>
      </c>
      <c r="O429" s="38">
        <f>IF('Старт'!$B$17="",99,SUM(G260:G266))</f>
        <v/>
      </c>
      <c r="P429" s="38">
        <f>IF('Старт'!$B$18="",99,SUM(H260:H266))</f>
        <v/>
      </c>
    </row>
    <row r="430" spans="1:16">
      <c r="A430" s="38">
        <v>38</v>
      </c>
      <c r="B430" s="38">
        <v>267</v>
      </c>
      <c r="C430" s="38">
        <v>273</v>
      </c>
      <c r="D430" s="38">
        <f>IF(MIN($J429:$P429)=99,0,MATCH(MIN($J429:$P429),$J429:$P429,0))</f>
        <v/>
      </c>
      <c r="E430" s="38">
        <f>IF($D430=0,0,IF($D430=1,$J430,0)+IF($D430=2,$K430,0)+IF($D430=3,$L430,0)+IF($D430=4,$M430,0)+IF($D430=5,$N430,0)+IF($D430=6,$O430,0)+IF($D430=7,$P430,0))</f>
        <v/>
      </c>
      <c r="F430" s="38">
        <f>IF(AND($D430&gt;0,$E430&gt;=5),1,0)</f>
        <v/>
      </c>
      <c r="G430" s="38">
        <f>SUM(W267:W273)</f>
        <v/>
      </c>
      <c r="H430" s="38">
        <f>ROUND((IF('Старт'!$B$12="",0,$F$1)+IF('Старт'!$B$13="",0,$G$1)+IF('Старт'!$B$14="",0,$H$1)+IF('Старт'!$B$15="",0,$I$1)+IF('Старт'!$B$16="",0,$J$1)+IF('Старт'!$B$17="",0,$K$1)+IF('Старт'!$B$18="",0,$L$1))*SUM(A267:A273)/7,0)</f>
        <v/>
      </c>
      <c r="I430" s="38">
        <f>$G429</f>
        <v/>
      </c>
      <c r="J430" s="38">
        <f>IF('Старт'!$B$12="",99,SUM(B267:B273))</f>
        <v/>
      </c>
      <c r="K430" s="38">
        <f>IF('Старт'!$B$13="",99,SUM(C267:C273))</f>
        <v/>
      </c>
      <c r="L430" s="38">
        <f>IF('Старт'!$B$14="",99,SUM(D267:D273))</f>
        <v/>
      </c>
      <c r="M430" s="38">
        <f>IF('Старт'!$B$15="",99,SUM(E267:E273))</f>
        <v/>
      </c>
      <c r="N430" s="38">
        <f>IF('Старт'!$B$16="",99,SUM(F267:F273))</f>
        <v/>
      </c>
      <c r="O430" s="38">
        <f>IF('Старт'!$B$17="",99,SUM(G267:G273))</f>
        <v/>
      </c>
      <c r="P430" s="38">
        <f>IF('Старт'!$B$18="",99,SUM(H267:H273))</f>
        <v/>
      </c>
    </row>
    <row r="431" spans="1:16">
      <c r="A431" s="38">
        <v>39</v>
      </c>
      <c r="B431" s="38">
        <v>274</v>
      </c>
      <c r="C431" s="38">
        <v>280</v>
      </c>
      <c r="D431" s="38">
        <f>IF(MIN($J430:$P430)=99,0,MATCH(MIN($J430:$P430),$J430:$P430,0))</f>
        <v/>
      </c>
      <c r="E431" s="38">
        <f>IF($D431=0,0,IF($D431=1,$J431,0)+IF($D431=2,$K431,0)+IF($D431=3,$L431,0)+IF($D431=4,$M431,0)+IF($D431=5,$N431,0)+IF($D431=6,$O431,0)+IF($D431=7,$P431,0))</f>
        <v/>
      </c>
      <c r="F431" s="38">
        <f>IF(AND($D431&gt;0,$E431&gt;=5),1,0)</f>
        <v/>
      </c>
      <c r="G431" s="38">
        <f>SUM(W274:W280)</f>
        <v/>
      </c>
      <c r="H431" s="38">
        <f>ROUND((IF('Старт'!$B$12="",0,$F$1)+IF('Старт'!$B$13="",0,$G$1)+IF('Старт'!$B$14="",0,$H$1)+IF('Старт'!$B$15="",0,$I$1)+IF('Старт'!$B$16="",0,$J$1)+IF('Старт'!$B$17="",0,$K$1)+IF('Старт'!$B$18="",0,$L$1))*SUM(A274:A280)/7,0)</f>
        <v/>
      </c>
      <c r="I431" s="38">
        <f>$G430</f>
        <v/>
      </c>
      <c r="J431" s="38">
        <f>IF('Старт'!$B$12="",99,SUM(B274:B280))</f>
        <v/>
      </c>
      <c r="K431" s="38">
        <f>IF('Старт'!$B$13="",99,SUM(C274:C280))</f>
        <v/>
      </c>
      <c r="L431" s="38">
        <f>IF('Старт'!$B$14="",99,SUM(D274:D280))</f>
        <v/>
      </c>
      <c r="M431" s="38">
        <f>IF('Старт'!$B$15="",99,SUM(E274:E280))</f>
        <v/>
      </c>
      <c r="N431" s="38">
        <f>IF('Старт'!$B$16="",99,SUM(F274:F280))</f>
        <v/>
      </c>
      <c r="O431" s="38">
        <f>IF('Старт'!$B$17="",99,SUM(G274:G280))</f>
        <v/>
      </c>
      <c r="P431" s="38">
        <f>IF('Старт'!$B$18="",99,SUM(H274:H280))</f>
        <v/>
      </c>
    </row>
    <row r="432" spans="1:16">
      <c r="A432" s="38">
        <v>40</v>
      </c>
      <c r="B432" s="38">
        <v>281</v>
      </c>
      <c r="C432" s="38">
        <v>287</v>
      </c>
      <c r="D432" s="38">
        <f>IF(MIN($J431:$P431)=99,0,MATCH(MIN($J431:$P431),$J431:$P431,0))</f>
        <v/>
      </c>
      <c r="E432" s="38">
        <f>IF($D432=0,0,IF($D432=1,$J432,0)+IF($D432=2,$K432,0)+IF($D432=3,$L432,0)+IF($D432=4,$M432,0)+IF($D432=5,$N432,0)+IF($D432=6,$O432,0)+IF($D432=7,$P432,0))</f>
        <v/>
      </c>
      <c r="F432" s="38">
        <f>IF(AND($D432&gt;0,$E432&gt;=5),1,0)</f>
        <v/>
      </c>
      <c r="G432" s="38">
        <f>SUM(W281:W287)</f>
        <v/>
      </c>
      <c r="H432" s="38">
        <f>ROUND((IF('Старт'!$B$12="",0,$F$1)+IF('Старт'!$B$13="",0,$G$1)+IF('Старт'!$B$14="",0,$H$1)+IF('Старт'!$B$15="",0,$I$1)+IF('Старт'!$B$16="",0,$J$1)+IF('Старт'!$B$17="",0,$K$1)+IF('Старт'!$B$18="",0,$L$1))*SUM(A281:A287)/7,0)</f>
        <v/>
      </c>
      <c r="I432" s="38">
        <f>$G431</f>
        <v/>
      </c>
      <c r="J432" s="38">
        <f>IF('Старт'!$B$12="",99,SUM(B281:B287))</f>
        <v/>
      </c>
      <c r="K432" s="38">
        <f>IF('Старт'!$B$13="",99,SUM(C281:C287))</f>
        <v/>
      </c>
      <c r="L432" s="38">
        <f>IF('Старт'!$B$14="",99,SUM(D281:D287))</f>
        <v/>
      </c>
      <c r="M432" s="38">
        <f>IF('Старт'!$B$15="",99,SUM(E281:E287))</f>
        <v/>
      </c>
      <c r="N432" s="38">
        <f>IF('Старт'!$B$16="",99,SUM(F281:F287))</f>
        <v/>
      </c>
      <c r="O432" s="38">
        <f>IF('Старт'!$B$17="",99,SUM(G281:G287))</f>
        <v/>
      </c>
      <c r="P432" s="38">
        <f>IF('Старт'!$B$18="",99,SUM(H281:H287))</f>
        <v/>
      </c>
    </row>
    <row r="433" spans="1:16">
      <c r="A433" s="38">
        <v>41</v>
      </c>
      <c r="B433" s="38">
        <v>288</v>
      </c>
      <c r="C433" s="38">
        <v>294</v>
      </c>
      <c r="D433" s="38">
        <f>IF(MIN($J432:$P432)=99,0,MATCH(MIN($J432:$P432),$J432:$P432,0))</f>
        <v/>
      </c>
      <c r="E433" s="38">
        <f>IF($D433=0,0,IF($D433=1,$J433,0)+IF($D433=2,$K433,0)+IF($D433=3,$L433,0)+IF($D433=4,$M433,0)+IF($D433=5,$N433,0)+IF($D433=6,$O433,0)+IF($D433=7,$P433,0))</f>
        <v/>
      </c>
      <c r="F433" s="38">
        <f>IF(AND($D433&gt;0,$E433&gt;=5),1,0)</f>
        <v/>
      </c>
      <c r="G433" s="38">
        <f>SUM(W288:W294)</f>
        <v/>
      </c>
      <c r="H433" s="38">
        <f>ROUND((IF('Старт'!$B$12="",0,$F$1)+IF('Старт'!$B$13="",0,$G$1)+IF('Старт'!$B$14="",0,$H$1)+IF('Старт'!$B$15="",0,$I$1)+IF('Старт'!$B$16="",0,$J$1)+IF('Старт'!$B$17="",0,$K$1)+IF('Старт'!$B$18="",0,$L$1))*SUM(A288:A294)/7,0)</f>
        <v/>
      </c>
      <c r="I433" s="38">
        <f>$G432</f>
        <v/>
      </c>
      <c r="J433" s="38">
        <f>IF('Старт'!$B$12="",99,SUM(B288:B294))</f>
        <v/>
      </c>
      <c r="K433" s="38">
        <f>IF('Старт'!$B$13="",99,SUM(C288:C294))</f>
        <v/>
      </c>
      <c r="L433" s="38">
        <f>IF('Старт'!$B$14="",99,SUM(D288:D294))</f>
        <v/>
      </c>
      <c r="M433" s="38">
        <f>IF('Старт'!$B$15="",99,SUM(E288:E294))</f>
        <v/>
      </c>
      <c r="N433" s="38">
        <f>IF('Старт'!$B$16="",99,SUM(F288:F294))</f>
        <v/>
      </c>
      <c r="O433" s="38">
        <f>IF('Старт'!$B$17="",99,SUM(G288:G294))</f>
        <v/>
      </c>
      <c r="P433" s="38">
        <f>IF('Старт'!$B$18="",99,SUM(H288:H294))</f>
        <v/>
      </c>
    </row>
    <row r="434" spans="1:16">
      <c r="A434" s="38">
        <v>42</v>
      </c>
      <c r="B434" s="38">
        <v>295</v>
      </c>
      <c r="C434" s="38">
        <v>301</v>
      </c>
      <c r="D434" s="38">
        <f>IF(MIN($J433:$P433)=99,0,MATCH(MIN($J433:$P433),$J433:$P433,0))</f>
        <v/>
      </c>
      <c r="E434" s="38">
        <f>IF($D434=0,0,IF($D434=1,$J434,0)+IF($D434=2,$K434,0)+IF($D434=3,$L434,0)+IF($D434=4,$M434,0)+IF($D434=5,$N434,0)+IF($D434=6,$O434,0)+IF($D434=7,$P434,0))</f>
        <v/>
      </c>
      <c r="F434" s="38">
        <f>IF(AND($D434&gt;0,$E434&gt;=5),1,0)</f>
        <v/>
      </c>
      <c r="G434" s="38">
        <f>SUM(W295:W301)</f>
        <v/>
      </c>
      <c r="H434" s="38">
        <f>ROUND((IF('Старт'!$B$12="",0,$F$1)+IF('Старт'!$B$13="",0,$G$1)+IF('Старт'!$B$14="",0,$H$1)+IF('Старт'!$B$15="",0,$I$1)+IF('Старт'!$B$16="",0,$J$1)+IF('Старт'!$B$17="",0,$K$1)+IF('Старт'!$B$18="",0,$L$1))*SUM(A295:A301)/7,0)</f>
        <v/>
      </c>
      <c r="I434" s="38">
        <f>$G433</f>
        <v/>
      </c>
      <c r="J434" s="38">
        <f>IF('Старт'!$B$12="",99,SUM(B295:B301))</f>
        <v/>
      </c>
      <c r="K434" s="38">
        <f>IF('Старт'!$B$13="",99,SUM(C295:C301))</f>
        <v/>
      </c>
      <c r="L434" s="38">
        <f>IF('Старт'!$B$14="",99,SUM(D295:D301))</f>
        <v/>
      </c>
      <c r="M434" s="38">
        <f>IF('Старт'!$B$15="",99,SUM(E295:E301))</f>
        <v/>
      </c>
      <c r="N434" s="38">
        <f>IF('Старт'!$B$16="",99,SUM(F295:F301))</f>
        <v/>
      </c>
      <c r="O434" s="38">
        <f>IF('Старт'!$B$17="",99,SUM(G295:G301))</f>
        <v/>
      </c>
      <c r="P434" s="38">
        <f>IF('Старт'!$B$18="",99,SUM(H295:H301))</f>
        <v/>
      </c>
    </row>
    <row r="435" spans="1:16">
      <c r="A435" s="38">
        <v>43</v>
      </c>
      <c r="B435" s="38">
        <v>302</v>
      </c>
      <c r="C435" s="38">
        <v>308</v>
      </c>
      <c r="D435" s="38">
        <f>IF(MIN($J434:$P434)=99,0,MATCH(MIN($J434:$P434),$J434:$P434,0))</f>
        <v/>
      </c>
      <c r="E435" s="38">
        <f>IF($D435=0,0,IF($D435=1,$J435,0)+IF($D435=2,$K435,0)+IF($D435=3,$L435,0)+IF($D435=4,$M435,0)+IF($D435=5,$N435,0)+IF($D435=6,$O435,0)+IF($D435=7,$P435,0))</f>
        <v/>
      </c>
      <c r="F435" s="38">
        <f>IF(AND($D435&gt;0,$E435&gt;=5),1,0)</f>
        <v/>
      </c>
      <c r="G435" s="38">
        <f>SUM(W302:W308)</f>
        <v/>
      </c>
      <c r="H435" s="38">
        <f>ROUND((IF('Старт'!$B$12="",0,$F$1)+IF('Старт'!$B$13="",0,$G$1)+IF('Старт'!$B$14="",0,$H$1)+IF('Старт'!$B$15="",0,$I$1)+IF('Старт'!$B$16="",0,$J$1)+IF('Старт'!$B$17="",0,$K$1)+IF('Старт'!$B$18="",0,$L$1))*SUM(A302:A308)/7,0)</f>
        <v/>
      </c>
      <c r="I435" s="38">
        <f>$G434</f>
        <v/>
      </c>
      <c r="J435" s="38">
        <f>IF('Старт'!$B$12="",99,SUM(B302:B308))</f>
        <v/>
      </c>
      <c r="K435" s="38">
        <f>IF('Старт'!$B$13="",99,SUM(C302:C308))</f>
        <v/>
      </c>
      <c r="L435" s="38">
        <f>IF('Старт'!$B$14="",99,SUM(D302:D308))</f>
        <v/>
      </c>
      <c r="M435" s="38">
        <f>IF('Старт'!$B$15="",99,SUM(E302:E308))</f>
        <v/>
      </c>
      <c r="N435" s="38">
        <f>IF('Старт'!$B$16="",99,SUM(F302:F308))</f>
        <v/>
      </c>
      <c r="O435" s="38">
        <f>IF('Старт'!$B$17="",99,SUM(G302:G308))</f>
        <v/>
      </c>
      <c r="P435" s="38">
        <f>IF('Старт'!$B$18="",99,SUM(H302:H308))</f>
        <v/>
      </c>
    </row>
    <row r="436" spans="1:16">
      <c r="A436" s="38">
        <v>44</v>
      </c>
      <c r="B436" s="38">
        <v>309</v>
      </c>
      <c r="C436" s="38">
        <v>315</v>
      </c>
      <c r="D436" s="38">
        <f>IF(MIN($J435:$P435)=99,0,MATCH(MIN($J435:$P435),$J435:$P435,0))</f>
        <v/>
      </c>
      <c r="E436" s="38">
        <f>IF($D436=0,0,IF($D436=1,$J436,0)+IF($D436=2,$K436,0)+IF($D436=3,$L436,0)+IF($D436=4,$M436,0)+IF($D436=5,$N436,0)+IF($D436=6,$O436,0)+IF($D436=7,$P436,0))</f>
        <v/>
      </c>
      <c r="F436" s="38">
        <f>IF(AND($D436&gt;0,$E436&gt;=5),1,0)</f>
        <v/>
      </c>
      <c r="G436" s="38">
        <f>SUM(W309:W315)</f>
        <v/>
      </c>
      <c r="H436" s="38">
        <f>ROUND((IF('Старт'!$B$12="",0,$F$1)+IF('Старт'!$B$13="",0,$G$1)+IF('Старт'!$B$14="",0,$H$1)+IF('Старт'!$B$15="",0,$I$1)+IF('Старт'!$B$16="",0,$J$1)+IF('Старт'!$B$17="",0,$K$1)+IF('Старт'!$B$18="",0,$L$1))*SUM(A309:A315)/7,0)</f>
        <v/>
      </c>
      <c r="I436" s="38">
        <f>$G435</f>
        <v/>
      </c>
      <c r="J436" s="38">
        <f>IF('Старт'!$B$12="",99,SUM(B309:B315))</f>
        <v/>
      </c>
      <c r="K436" s="38">
        <f>IF('Старт'!$B$13="",99,SUM(C309:C315))</f>
        <v/>
      </c>
      <c r="L436" s="38">
        <f>IF('Старт'!$B$14="",99,SUM(D309:D315))</f>
        <v/>
      </c>
      <c r="M436" s="38">
        <f>IF('Старт'!$B$15="",99,SUM(E309:E315))</f>
        <v/>
      </c>
      <c r="N436" s="38">
        <f>IF('Старт'!$B$16="",99,SUM(F309:F315))</f>
        <v/>
      </c>
      <c r="O436" s="38">
        <f>IF('Старт'!$B$17="",99,SUM(G309:G315))</f>
        <v/>
      </c>
      <c r="P436" s="38">
        <f>IF('Старт'!$B$18="",99,SUM(H309:H315))</f>
        <v/>
      </c>
    </row>
    <row r="437" spans="1:16">
      <c r="A437" s="38">
        <v>45</v>
      </c>
      <c r="B437" s="38">
        <v>316</v>
      </c>
      <c r="C437" s="38">
        <v>322</v>
      </c>
      <c r="D437" s="38">
        <f>IF(MIN($J436:$P436)=99,0,MATCH(MIN($J436:$P436),$J436:$P436,0))</f>
        <v/>
      </c>
      <c r="E437" s="38">
        <f>IF($D437=0,0,IF($D437=1,$J437,0)+IF($D437=2,$K437,0)+IF($D437=3,$L437,0)+IF($D437=4,$M437,0)+IF($D437=5,$N437,0)+IF($D437=6,$O437,0)+IF($D437=7,$P437,0))</f>
        <v/>
      </c>
      <c r="F437" s="38">
        <f>IF(AND($D437&gt;0,$E437&gt;=5),1,0)</f>
        <v/>
      </c>
      <c r="G437" s="38">
        <f>SUM(W316:W322)</f>
        <v/>
      </c>
      <c r="H437" s="38">
        <f>ROUND((IF('Старт'!$B$12="",0,$F$1)+IF('Старт'!$B$13="",0,$G$1)+IF('Старт'!$B$14="",0,$H$1)+IF('Старт'!$B$15="",0,$I$1)+IF('Старт'!$B$16="",0,$J$1)+IF('Старт'!$B$17="",0,$K$1)+IF('Старт'!$B$18="",0,$L$1))*SUM(A316:A322)/7,0)</f>
        <v/>
      </c>
      <c r="I437" s="38">
        <f>$G436</f>
        <v/>
      </c>
      <c r="J437" s="38">
        <f>IF('Старт'!$B$12="",99,SUM(B316:B322))</f>
        <v/>
      </c>
      <c r="K437" s="38">
        <f>IF('Старт'!$B$13="",99,SUM(C316:C322))</f>
        <v/>
      </c>
      <c r="L437" s="38">
        <f>IF('Старт'!$B$14="",99,SUM(D316:D322))</f>
        <v/>
      </c>
      <c r="M437" s="38">
        <f>IF('Старт'!$B$15="",99,SUM(E316:E322))</f>
        <v/>
      </c>
      <c r="N437" s="38">
        <f>IF('Старт'!$B$16="",99,SUM(F316:F322))</f>
        <v/>
      </c>
      <c r="O437" s="38">
        <f>IF('Старт'!$B$17="",99,SUM(G316:G322))</f>
        <v/>
      </c>
      <c r="P437" s="38">
        <f>IF('Старт'!$B$18="",99,SUM(H316:H322))</f>
        <v/>
      </c>
    </row>
    <row r="438" spans="1:16">
      <c r="A438" s="38">
        <v>46</v>
      </c>
      <c r="B438" s="38">
        <v>323</v>
      </c>
      <c r="C438" s="38">
        <v>329</v>
      </c>
      <c r="D438" s="38">
        <f>IF(MIN($J437:$P437)=99,0,MATCH(MIN($J437:$P437),$J437:$P437,0))</f>
        <v/>
      </c>
      <c r="E438" s="38">
        <f>IF($D438=0,0,IF($D438=1,$J438,0)+IF($D438=2,$K438,0)+IF($D438=3,$L438,0)+IF($D438=4,$M438,0)+IF($D438=5,$N438,0)+IF($D438=6,$O438,0)+IF($D438=7,$P438,0))</f>
        <v/>
      </c>
      <c r="F438" s="38">
        <f>IF(AND($D438&gt;0,$E438&gt;=5),1,0)</f>
        <v/>
      </c>
      <c r="G438" s="38">
        <f>SUM(W323:W329)</f>
        <v/>
      </c>
      <c r="H438" s="38">
        <f>ROUND((IF('Старт'!$B$12="",0,$F$1)+IF('Старт'!$B$13="",0,$G$1)+IF('Старт'!$B$14="",0,$H$1)+IF('Старт'!$B$15="",0,$I$1)+IF('Старт'!$B$16="",0,$J$1)+IF('Старт'!$B$17="",0,$K$1)+IF('Старт'!$B$18="",0,$L$1))*SUM(A323:A329)/7,0)</f>
        <v/>
      </c>
      <c r="I438" s="38">
        <f>$G437</f>
        <v/>
      </c>
      <c r="J438" s="38">
        <f>IF('Старт'!$B$12="",99,SUM(B323:B329))</f>
        <v/>
      </c>
      <c r="K438" s="38">
        <f>IF('Старт'!$B$13="",99,SUM(C323:C329))</f>
        <v/>
      </c>
      <c r="L438" s="38">
        <f>IF('Старт'!$B$14="",99,SUM(D323:D329))</f>
        <v/>
      </c>
      <c r="M438" s="38">
        <f>IF('Старт'!$B$15="",99,SUM(E323:E329))</f>
        <v/>
      </c>
      <c r="N438" s="38">
        <f>IF('Старт'!$B$16="",99,SUM(F323:F329))</f>
        <v/>
      </c>
      <c r="O438" s="38">
        <f>IF('Старт'!$B$17="",99,SUM(G323:G329))</f>
        <v/>
      </c>
      <c r="P438" s="38">
        <f>IF('Старт'!$B$18="",99,SUM(H323:H329))</f>
        <v/>
      </c>
    </row>
    <row r="439" spans="1:16">
      <c r="A439" s="38">
        <v>47</v>
      </c>
      <c r="B439" s="38">
        <v>330</v>
      </c>
      <c r="C439" s="38">
        <v>336</v>
      </c>
      <c r="D439" s="38">
        <f>IF(MIN($J438:$P438)=99,0,MATCH(MIN($J438:$P438),$J438:$P438,0))</f>
        <v/>
      </c>
      <c r="E439" s="38">
        <f>IF($D439=0,0,IF($D439=1,$J439,0)+IF($D439=2,$K439,0)+IF($D439=3,$L439,0)+IF($D439=4,$M439,0)+IF($D439=5,$N439,0)+IF($D439=6,$O439,0)+IF($D439=7,$P439,0))</f>
        <v/>
      </c>
      <c r="F439" s="38">
        <f>IF(AND($D439&gt;0,$E439&gt;=5),1,0)</f>
        <v/>
      </c>
      <c r="G439" s="38">
        <f>SUM(W330:W336)</f>
        <v/>
      </c>
      <c r="H439" s="38">
        <f>ROUND((IF('Старт'!$B$12="",0,$F$1)+IF('Старт'!$B$13="",0,$G$1)+IF('Старт'!$B$14="",0,$H$1)+IF('Старт'!$B$15="",0,$I$1)+IF('Старт'!$B$16="",0,$J$1)+IF('Старт'!$B$17="",0,$K$1)+IF('Старт'!$B$18="",0,$L$1))*SUM(A330:A336)/7,0)</f>
        <v/>
      </c>
      <c r="I439" s="38">
        <f>$G438</f>
        <v/>
      </c>
      <c r="J439" s="38">
        <f>IF('Старт'!$B$12="",99,SUM(B330:B336))</f>
        <v/>
      </c>
      <c r="K439" s="38">
        <f>IF('Старт'!$B$13="",99,SUM(C330:C336))</f>
        <v/>
      </c>
      <c r="L439" s="38">
        <f>IF('Старт'!$B$14="",99,SUM(D330:D336))</f>
        <v/>
      </c>
      <c r="M439" s="38">
        <f>IF('Старт'!$B$15="",99,SUM(E330:E336))</f>
        <v/>
      </c>
      <c r="N439" s="38">
        <f>IF('Старт'!$B$16="",99,SUM(F330:F336))</f>
        <v/>
      </c>
      <c r="O439" s="38">
        <f>IF('Старт'!$B$17="",99,SUM(G330:G336))</f>
        <v/>
      </c>
      <c r="P439" s="38">
        <f>IF('Старт'!$B$18="",99,SUM(H330:H336))</f>
        <v/>
      </c>
    </row>
    <row r="440" spans="1:16">
      <c r="A440" s="38">
        <v>48</v>
      </c>
      <c r="B440" s="38">
        <v>337</v>
      </c>
      <c r="C440" s="38">
        <v>343</v>
      </c>
      <c r="D440" s="38">
        <f>IF(MIN($J439:$P439)=99,0,MATCH(MIN($J439:$P439),$J439:$P439,0))</f>
        <v/>
      </c>
      <c r="E440" s="38">
        <f>IF($D440=0,0,IF($D440=1,$J440,0)+IF($D440=2,$K440,0)+IF($D440=3,$L440,0)+IF($D440=4,$M440,0)+IF($D440=5,$N440,0)+IF($D440=6,$O440,0)+IF($D440=7,$P440,0))</f>
        <v/>
      </c>
      <c r="F440" s="38">
        <f>IF(AND($D440&gt;0,$E440&gt;=5),1,0)</f>
        <v/>
      </c>
      <c r="G440" s="38">
        <f>SUM(W337:W343)</f>
        <v/>
      </c>
      <c r="H440" s="38">
        <f>ROUND((IF('Старт'!$B$12="",0,$F$1)+IF('Старт'!$B$13="",0,$G$1)+IF('Старт'!$B$14="",0,$H$1)+IF('Старт'!$B$15="",0,$I$1)+IF('Старт'!$B$16="",0,$J$1)+IF('Старт'!$B$17="",0,$K$1)+IF('Старт'!$B$18="",0,$L$1))*SUM(A337:A343)/7,0)</f>
        <v/>
      </c>
      <c r="I440" s="38">
        <f>$G439</f>
        <v/>
      </c>
      <c r="J440" s="38">
        <f>IF('Старт'!$B$12="",99,SUM(B337:B343))</f>
        <v/>
      </c>
      <c r="K440" s="38">
        <f>IF('Старт'!$B$13="",99,SUM(C337:C343))</f>
        <v/>
      </c>
      <c r="L440" s="38">
        <f>IF('Старт'!$B$14="",99,SUM(D337:D343))</f>
        <v/>
      </c>
      <c r="M440" s="38">
        <f>IF('Старт'!$B$15="",99,SUM(E337:E343))</f>
        <v/>
      </c>
      <c r="N440" s="38">
        <f>IF('Старт'!$B$16="",99,SUM(F337:F343))</f>
        <v/>
      </c>
      <c r="O440" s="38">
        <f>IF('Старт'!$B$17="",99,SUM(G337:G343))</f>
        <v/>
      </c>
      <c r="P440" s="38">
        <f>IF('Старт'!$B$18="",99,SUM(H337:H343))</f>
        <v/>
      </c>
    </row>
    <row r="441" spans="1:16">
      <c r="A441" s="38">
        <v>49</v>
      </c>
      <c r="B441" s="38">
        <v>344</v>
      </c>
      <c r="C441" s="38">
        <v>350</v>
      </c>
      <c r="D441" s="38">
        <f>IF(MIN($J440:$P440)=99,0,MATCH(MIN($J440:$P440),$J440:$P440,0))</f>
        <v/>
      </c>
      <c r="E441" s="38">
        <f>IF($D441=0,0,IF($D441=1,$J441,0)+IF($D441=2,$K441,0)+IF($D441=3,$L441,0)+IF($D441=4,$M441,0)+IF($D441=5,$N441,0)+IF($D441=6,$O441,0)+IF($D441=7,$P441,0))</f>
        <v/>
      </c>
      <c r="F441" s="38">
        <f>IF(AND($D441&gt;0,$E441&gt;=5),1,0)</f>
        <v/>
      </c>
      <c r="G441" s="38">
        <f>SUM(W344:W350)</f>
        <v/>
      </c>
      <c r="H441" s="38">
        <f>ROUND((IF('Старт'!$B$12="",0,$F$1)+IF('Старт'!$B$13="",0,$G$1)+IF('Старт'!$B$14="",0,$H$1)+IF('Старт'!$B$15="",0,$I$1)+IF('Старт'!$B$16="",0,$J$1)+IF('Старт'!$B$17="",0,$K$1)+IF('Старт'!$B$18="",0,$L$1))*SUM(A344:A350)/7,0)</f>
        <v/>
      </c>
      <c r="I441" s="38">
        <f>$G440</f>
        <v/>
      </c>
      <c r="J441" s="38">
        <f>IF('Старт'!$B$12="",99,SUM(B344:B350))</f>
        <v/>
      </c>
      <c r="K441" s="38">
        <f>IF('Старт'!$B$13="",99,SUM(C344:C350))</f>
        <v/>
      </c>
      <c r="L441" s="38">
        <f>IF('Старт'!$B$14="",99,SUM(D344:D350))</f>
        <v/>
      </c>
      <c r="M441" s="38">
        <f>IF('Старт'!$B$15="",99,SUM(E344:E350))</f>
        <v/>
      </c>
      <c r="N441" s="38">
        <f>IF('Старт'!$B$16="",99,SUM(F344:F350))</f>
        <v/>
      </c>
      <c r="O441" s="38">
        <f>IF('Старт'!$B$17="",99,SUM(G344:G350))</f>
        <v/>
      </c>
      <c r="P441" s="38">
        <f>IF('Старт'!$B$18="",99,SUM(H344:H350))</f>
        <v/>
      </c>
    </row>
    <row r="442" spans="1:16">
      <c r="A442" s="38">
        <v>50</v>
      </c>
      <c r="B442" s="38">
        <v>351</v>
      </c>
      <c r="C442" s="38">
        <v>357</v>
      </c>
      <c r="D442" s="38">
        <f>IF(MIN($J441:$P441)=99,0,MATCH(MIN($J441:$P441),$J441:$P441,0))</f>
        <v/>
      </c>
      <c r="E442" s="38">
        <f>IF($D442=0,0,IF($D442=1,$J442,0)+IF($D442=2,$K442,0)+IF($D442=3,$L442,0)+IF($D442=4,$M442,0)+IF($D442=5,$N442,0)+IF($D442=6,$O442,0)+IF($D442=7,$P442,0))</f>
        <v/>
      </c>
      <c r="F442" s="38">
        <f>IF(AND($D442&gt;0,$E442&gt;=5),1,0)</f>
        <v/>
      </c>
      <c r="G442" s="38">
        <f>SUM(W351:W357)</f>
        <v/>
      </c>
      <c r="H442" s="38">
        <f>ROUND((IF('Старт'!$B$12="",0,$F$1)+IF('Старт'!$B$13="",0,$G$1)+IF('Старт'!$B$14="",0,$H$1)+IF('Старт'!$B$15="",0,$I$1)+IF('Старт'!$B$16="",0,$J$1)+IF('Старт'!$B$17="",0,$K$1)+IF('Старт'!$B$18="",0,$L$1))*SUM(A351:A357)/7,0)</f>
        <v/>
      </c>
      <c r="I442" s="38">
        <f>$G441</f>
        <v/>
      </c>
      <c r="J442" s="38">
        <f>IF('Старт'!$B$12="",99,SUM(B351:B357))</f>
        <v/>
      </c>
      <c r="K442" s="38">
        <f>IF('Старт'!$B$13="",99,SUM(C351:C357))</f>
        <v/>
      </c>
      <c r="L442" s="38">
        <f>IF('Старт'!$B$14="",99,SUM(D351:D357))</f>
        <v/>
      </c>
      <c r="M442" s="38">
        <f>IF('Старт'!$B$15="",99,SUM(E351:E357))</f>
        <v/>
      </c>
      <c r="N442" s="38">
        <f>IF('Старт'!$B$16="",99,SUM(F351:F357))</f>
        <v/>
      </c>
      <c r="O442" s="38">
        <f>IF('Старт'!$B$17="",99,SUM(G351:G357))</f>
        <v/>
      </c>
      <c r="P442" s="38">
        <f>IF('Старт'!$B$18="",99,SUM(H351:H357))</f>
        <v/>
      </c>
    </row>
    <row r="443" spans="1:16">
      <c r="A443" s="38">
        <v>51</v>
      </c>
      <c r="B443" s="38">
        <v>358</v>
      </c>
      <c r="C443" s="38">
        <v>364</v>
      </c>
      <c r="D443" s="38">
        <f>IF(MIN($J442:$P442)=99,0,MATCH(MIN($J442:$P442),$J442:$P442,0))</f>
        <v/>
      </c>
      <c r="E443" s="38">
        <f>IF($D443=0,0,IF($D443=1,$J443,0)+IF($D443=2,$K443,0)+IF($D443=3,$L443,0)+IF($D443=4,$M443,0)+IF($D443=5,$N443,0)+IF($D443=6,$O443,0)+IF($D443=7,$P443,0))</f>
        <v/>
      </c>
      <c r="F443" s="38">
        <f>IF(AND($D443&gt;0,$E443&gt;=5),1,0)</f>
        <v/>
      </c>
      <c r="G443" s="38">
        <f>SUM(W358:W364)</f>
        <v/>
      </c>
      <c r="H443" s="38">
        <f>ROUND((IF('Старт'!$B$12="",0,$F$1)+IF('Старт'!$B$13="",0,$G$1)+IF('Старт'!$B$14="",0,$H$1)+IF('Старт'!$B$15="",0,$I$1)+IF('Старт'!$B$16="",0,$J$1)+IF('Старт'!$B$17="",0,$K$1)+IF('Старт'!$B$18="",0,$L$1))*SUM(A358:A364)/7,0)</f>
        <v/>
      </c>
      <c r="I443" s="38">
        <f>$G442</f>
        <v/>
      </c>
      <c r="J443" s="38">
        <f>IF('Старт'!$B$12="",99,SUM(B358:B364))</f>
        <v/>
      </c>
      <c r="K443" s="38">
        <f>IF('Старт'!$B$13="",99,SUM(C358:C364))</f>
        <v/>
      </c>
      <c r="L443" s="38">
        <f>IF('Старт'!$B$14="",99,SUM(D358:D364))</f>
        <v/>
      </c>
      <c r="M443" s="38">
        <f>IF('Старт'!$B$15="",99,SUM(E358:E364))</f>
        <v/>
      </c>
      <c r="N443" s="38">
        <f>IF('Старт'!$B$16="",99,SUM(F358:F364))</f>
        <v/>
      </c>
      <c r="O443" s="38">
        <f>IF('Старт'!$B$17="",99,SUM(G358:G364))</f>
        <v/>
      </c>
      <c r="P443" s="38">
        <f>IF('Старт'!$B$18="",99,SUM(H358:H364))</f>
        <v/>
      </c>
    </row>
    <row r="444" spans="1:16">
      <c r="A444" s="38">
        <v>52</v>
      </c>
      <c r="B444" s="38">
        <v>365</v>
      </c>
      <c r="C444" s="38">
        <v>371</v>
      </c>
      <c r="D444" s="38">
        <f>IF(MIN($J443:$P443)=99,0,MATCH(MIN($J443:$P443),$J443:$P443,0))</f>
        <v/>
      </c>
      <c r="E444" s="38">
        <f>IF($D444=0,0,IF($D444=1,$J444,0)+IF($D444=2,$K444,0)+IF($D444=3,$L444,0)+IF($D444=4,$M444,0)+IF($D444=5,$N444,0)+IF($D444=6,$O444,0)+IF($D444=7,$P444,0))</f>
        <v/>
      </c>
      <c r="F444" s="38">
        <f>IF(AND($D444&gt;0,$E444&gt;=5),1,0)</f>
        <v/>
      </c>
      <c r="G444" s="38">
        <f>SUM(W365:W371)</f>
        <v/>
      </c>
      <c r="H444" s="38">
        <f>ROUND((IF('Старт'!$B$12="",0,$F$1)+IF('Старт'!$B$13="",0,$G$1)+IF('Старт'!$B$14="",0,$H$1)+IF('Старт'!$B$15="",0,$I$1)+IF('Старт'!$B$16="",0,$J$1)+IF('Старт'!$B$17="",0,$K$1)+IF('Старт'!$B$18="",0,$L$1))*SUM(A365:A371)/7,0)</f>
        <v/>
      </c>
      <c r="I444" s="38">
        <f>$G443</f>
        <v/>
      </c>
      <c r="J444" s="38">
        <f>IF('Старт'!$B$12="",99,SUM(B365:B371))</f>
        <v/>
      </c>
      <c r="K444" s="38">
        <f>IF('Старт'!$B$13="",99,SUM(C365:C371))</f>
        <v/>
      </c>
      <c r="L444" s="38">
        <f>IF('Старт'!$B$14="",99,SUM(D365:D371))</f>
        <v/>
      </c>
      <c r="M444" s="38">
        <f>IF('Старт'!$B$15="",99,SUM(E365:E371))</f>
        <v/>
      </c>
      <c r="N444" s="38">
        <f>IF('Старт'!$B$16="",99,SUM(F365:F371))</f>
        <v/>
      </c>
      <c r="O444" s="38">
        <f>IF('Старт'!$B$17="",99,SUM(G365:G371))</f>
        <v/>
      </c>
      <c r="P444" s="38">
        <f>IF('Старт'!$B$18="",99,SUM(H365:H371))</f>
        <v/>
      </c>
    </row>
    <row r="445" spans="1:16">
      <c r="A445" s="38">
        <v>53</v>
      </c>
      <c r="B445" s="38">
        <v>372</v>
      </c>
      <c r="C445" s="38">
        <v>375</v>
      </c>
      <c r="D445" s="38">
        <f>IF(MIN($J444:$P444)=99,0,MATCH(MIN($J444:$P444),$J444:$P444,0))</f>
        <v/>
      </c>
      <c r="E445" s="38">
        <f>IF($D445=0,0,IF($D445=1,$J445,0)+IF($D445=2,$K445,0)+IF($D445=3,$L445,0)+IF($D445=4,$M445,0)+IF($D445=5,$N445,0)+IF($D445=6,$O445,0)+IF($D445=7,$P445,0))</f>
        <v/>
      </c>
      <c r="F445" s="38">
        <f>IF(AND($D445&gt;0,$E445&gt;=5),1,0)</f>
        <v/>
      </c>
      <c r="G445" s="38">
        <f>SUM(W372:W375)</f>
        <v/>
      </c>
      <c r="H445" s="38">
        <f>ROUND((IF('Старт'!$B$12="",0,$F$1)+IF('Старт'!$B$13="",0,$G$1)+IF('Старт'!$B$14="",0,$H$1)+IF('Старт'!$B$15="",0,$I$1)+IF('Старт'!$B$16="",0,$J$1)+IF('Старт'!$B$17="",0,$K$1)+IF('Старт'!$B$18="",0,$L$1))*SUM(A372:A375)/7,0)</f>
        <v/>
      </c>
      <c r="I445" s="38">
        <f>$G444</f>
        <v/>
      </c>
      <c r="J445" s="38">
        <f>IF('Старт'!$B$12="",99,SUM(B372:B375))</f>
        <v/>
      </c>
      <c r="K445" s="38">
        <f>IF('Старт'!$B$13="",99,SUM(C372:C375))</f>
        <v/>
      </c>
      <c r="L445" s="38">
        <f>IF('Старт'!$B$14="",99,SUM(D372:D375))</f>
        <v/>
      </c>
      <c r="M445" s="38">
        <f>IF('Старт'!$B$15="",99,SUM(E372:E375))</f>
        <v/>
      </c>
      <c r="N445" s="38">
        <f>IF('Старт'!$B$16="",99,SUM(F372:F375))</f>
        <v/>
      </c>
      <c r="O445" s="38">
        <f>IF('Старт'!$B$17="",99,SUM(G372:G375))</f>
        <v/>
      </c>
      <c r="P445" s="38">
        <f>IF('Старт'!$B$18="",99,SUM(H372:H375))</f>
        <v/>
      </c>
    </row>
    <row r="447" spans="1:16">
      <c r="A447" s="39" t="s">
        <v>66</v>
      </c>
    </row>
    <row r="448" spans="1:16">
      <c r="A448" s="38" t="s">
        <v>67</v>
      </c>
      <c r="B448" s="38">
        <f>SUM(W11:W375)</f>
        <v/>
      </c>
    </row>
    <row r="449" spans="1:2">
      <c r="A449" s="38" t="s">
        <v>68</v>
      </c>
      <c r="B449" s="38">
        <f>MAX(MAX(I11:I375),MAX(J11:J375),MAX(K11:K375),MAX(L11:L375),MAX(M11:M375),MAX(N11:N375),MAX(O11:O375))</f>
        <v/>
      </c>
    </row>
    <row r="450" spans="1:2">
      <c r="A450" s="38" t="s">
        <v>69</v>
      </c>
      <c r="B450" s="38">
        <f>SUM(X11:X375)</f>
        <v/>
      </c>
    </row>
    <row r="451" spans="1:2">
      <c r="A451" s="38" t="s">
        <v>70</v>
      </c>
      <c r="B451" s="38">
        <f>SUM(AA11:AA375)</f>
        <v/>
      </c>
    </row>
    <row r="452" spans="1:2">
      <c r="A452" s="38" t="s">
        <v>71</v>
      </c>
      <c r="B452" s="38">
        <f>SUM(F393:F445)</f>
        <v/>
      </c>
    </row>
    <row r="453" spans="1:2">
      <c r="A453" s="38" t="s">
        <v>72</v>
      </c>
      <c r="B453" s="38">
        <f>MAX(AB11:AB375)</f>
        <v/>
      </c>
    </row>
    <row r="454" spans="1:2">
      <c r="A454" s="38" t="s">
        <v>73</v>
      </c>
      <c r="B454" s="38">
        <f>COUNTA('Год'!$B$28:$B$80)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B5CF6"/>
    <pageSetUpPr fitToPage="1"/>
  </sheetPr>
  <dimension ref="A1:AO80"/>
  <sheetViews>
    <sheetView showGridLines="0" workbookViewId="0"/>
  </sheetViews>
  <sheetFormatPr defaultRowHeight="15"/>
  <cols>
    <col min="1" max="1" width="9.140625" style="1" customWidth="1"/>
    <col min="2" max="9" width="6.140625" style="1" customWidth="1"/>
    <col min="10" max="10" width="8.5703125" style="1" customWidth="1"/>
    <col min="11" max="41" width="6.140625" style="1" customWidth="1"/>
  </cols>
  <sheetData>
    <row r="1" spans="1:10" ht="33" customHeight="1">
      <c r="A1" s="40">
        <f>"ГОД 2026 · "&amp;Расчёт!$B$6&amp;" · уровень "&amp;Расчёт!$B$5</f>
        <v/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" customHeight="1">
      <c r="A2" s="6" t="s">
        <v>34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customHeight="1">
      <c r="A3" s="41" t="s">
        <v>74</v>
      </c>
      <c r="B3" s="41" t="s">
        <v>75</v>
      </c>
      <c r="C3" s="41"/>
      <c r="D3" s="41" t="s">
        <v>76</v>
      </c>
      <c r="E3" s="41" t="s">
        <v>77</v>
      </c>
      <c r="F3" s="41" t="s">
        <v>78</v>
      </c>
      <c r="G3" s="41" t="s">
        <v>79</v>
      </c>
    </row>
    <row r="4" spans="1:10" ht="25.5" customHeight="1">
      <c r="A4" s="42" t="s">
        <v>35</v>
      </c>
      <c r="B4" s="43">
        <f>IF(Расчёт!$D$379=0,"",Расчёт!$F$379)</f>
        <v/>
      </c>
      <c r="C4" s="20">
        <f>IF($B$4="","",SPARKLINE($B$4,{"charttype","bar";"max",1;"color1","#22A35E";"color2","#262B38"}))</f>
        <v/>
      </c>
      <c r="D4" s="44">
        <f>IF(Расчёт!$D$379=0,"",Расчёт!$D$379)</f>
        <v/>
      </c>
      <c r="E4" s="44">
        <f>IF(Расчёт!$D$379=0,"",Расчёт!$G$379)</f>
        <v/>
      </c>
      <c r="F4" s="44">
        <f>IF(Расчёт!$D$379=0,"",Расчёт!$H$379)</f>
        <v/>
      </c>
      <c r="G4" s="44">
        <f>IF(Расчёт!$D$379=0,"",Расчёт!$I$379)</f>
        <v/>
      </c>
    </row>
    <row r="5" spans="1:10" ht="25.5" customHeight="1">
      <c r="A5" s="42" t="s">
        <v>36</v>
      </c>
      <c r="B5" s="43">
        <f>IF(Расчёт!$D$380=0,"",Расчёт!$F$380)</f>
        <v/>
      </c>
      <c r="C5" s="20">
        <f>IF($B$5="","",SPARKLINE($B$5,{"charttype","bar";"max",1;"color1","#22A35E";"color2","#262B38"}))</f>
        <v/>
      </c>
      <c r="D5" s="44">
        <f>IF(Расчёт!$D$380=0,"",Расчёт!$D$380)</f>
        <v/>
      </c>
      <c r="E5" s="44">
        <f>IF(Расчёт!$D$380=0,"",Расчёт!$G$380)</f>
        <v/>
      </c>
      <c r="F5" s="44">
        <f>IF(Расчёт!$D$380=0,"",Расчёт!$H$380)</f>
        <v/>
      </c>
      <c r="G5" s="44">
        <f>IF(Расчёт!$D$380=0,"",Расчёт!$I$380)</f>
        <v/>
      </c>
    </row>
    <row r="6" spans="1:10" ht="25.5" customHeight="1">
      <c r="A6" s="42" t="s">
        <v>37</v>
      </c>
      <c r="B6" s="43">
        <f>IF(Расчёт!$D$381=0,"",Расчёт!$F$381)</f>
        <v/>
      </c>
      <c r="C6" s="20">
        <f>IF($B$6="","",SPARKLINE($B$6,{"charttype","bar";"max",1;"color1","#22A35E";"color2","#262B38"}))</f>
        <v/>
      </c>
      <c r="D6" s="44">
        <f>IF(Расчёт!$D$381=0,"",Расчёт!$D$381)</f>
        <v/>
      </c>
      <c r="E6" s="44">
        <f>IF(Расчёт!$D$381=0,"",Расчёт!$G$381)</f>
        <v/>
      </c>
      <c r="F6" s="44">
        <f>IF(Расчёт!$D$381=0,"",Расчёт!$H$381)</f>
        <v/>
      </c>
      <c r="G6" s="44">
        <f>IF(Расчёт!$D$381=0,"",Расчёт!$I$381)</f>
        <v/>
      </c>
    </row>
    <row r="7" spans="1:10" ht="25.5" customHeight="1">
      <c r="A7" s="42" t="s">
        <v>38</v>
      </c>
      <c r="B7" s="43">
        <f>IF(Расчёт!$D$382=0,"",Расчёт!$F$382)</f>
        <v/>
      </c>
      <c r="C7" s="20">
        <f>IF($B$7="","",SPARKLINE($B$7,{"charttype","bar";"max",1;"color1","#22A35E";"color2","#262B38"}))</f>
        <v/>
      </c>
      <c r="D7" s="44">
        <f>IF(Расчёт!$D$382=0,"",Расчёт!$D$382)</f>
        <v/>
      </c>
      <c r="E7" s="44">
        <f>IF(Расчёт!$D$382=0,"",Расчёт!$G$382)</f>
        <v/>
      </c>
      <c r="F7" s="44">
        <f>IF(Расчёт!$D$382=0,"",Расчёт!$H$382)</f>
        <v/>
      </c>
      <c r="G7" s="44">
        <f>IF(Расчёт!$D$382=0,"",Расчёт!$I$382)</f>
        <v/>
      </c>
    </row>
    <row r="8" spans="1:10" ht="25.5" customHeight="1">
      <c r="A8" s="42" t="s">
        <v>39</v>
      </c>
      <c r="B8" s="43">
        <f>IF(Расчёт!$D$383=0,"",Расчёт!$F$383)</f>
        <v/>
      </c>
      <c r="C8" s="20">
        <f>IF($B$8="","",SPARKLINE($B$8,{"charttype","bar";"max",1;"color1","#22A35E";"color2","#262B38"}))</f>
        <v/>
      </c>
      <c r="D8" s="44">
        <f>IF(Расчёт!$D$383=0,"",Расчёт!$D$383)</f>
        <v/>
      </c>
      <c r="E8" s="44">
        <f>IF(Расчёт!$D$383=0,"",Расчёт!$G$383)</f>
        <v/>
      </c>
      <c r="F8" s="44">
        <f>IF(Расчёт!$D$383=0,"",Расчёт!$H$383)</f>
        <v/>
      </c>
      <c r="G8" s="44">
        <f>IF(Расчёт!$D$383=0,"",Расчёт!$I$383)</f>
        <v/>
      </c>
    </row>
    <row r="9" spans="1:10" ht="25.5" customHeight="1">
      <c r="A9" s="42" t="s">
        <v>40</v>
      </c>
      <c r="B9" s="43">
        <f>IF(Расчёт!$D$384=0,"",Расчёт!$F$384)</f>
        <v/>
      </c>
      <c r="C9" s="20">
        <f>IF($B$9="","",SPARKLINE($B$9,{"charttype","bar";"max",1;"color1","#22A35E";"color2","#262B38"}))</f>
        <v/>
      </c>
      <c r="D9" s="44">
        <f>IF(Расчёт!$D$384=0,"",Расчёт!$D$384)</f>
        <v/>
      </c>
      <c r="E9" s="44">
        <f>IF(Расчёт!$D$384=0,"",Расчёт!$G$384)</f>
        <v/>
      </c>
      <c r="F9" s="44">
        <f>IF(Расчёт!$D$384=0,"",Расчёт!$H$384)</f>
        <v/>
      </c>
      <c r="G9" s="44">
        <f>IF(Расчёт!$D$384=0,"",Расчёт!$I$384)</f>
        <v/>
      </c>
    </row>
    <row r="10" spans="1:10" ht="25.5" customHeight="1">
      <c r="A10" s="42" t="s">
        <v>41</v>
      </c>
      <c r="B10" s="43">
        <f>IF(Расчёт!$D$385=0,"",Расчёт!$F$385)</f>
        <v/>
      </c>
      <c r="C10" s="20">
        <f>IF($B$10="","",SPARKLINE($B$10,{"charttype","bar";"max",1;"color1","#22A35E";"color2","#262B38"}))</f>
        <v/>
      </c>
      <c r="D10" s="44">
        <f>IF(Расчёт!$D$385=0,"",Расчёт!$D$385)</f>
        <v/>
      </c>
      <c r="E10" s="44">
        <f>IF(Расчёт!$D$385=0,"",Расчёт!$G$385)</f>
        <v/>
      </c>
      <c r="F10" s="44">
        <f>IF(Расчёт!$D$385=0,"",Расчёт!$H$385)</f>
        <v/>
      </c>
      <c r="G10" s="44">
        <f>IF(Расчёт!$D$385=0,"",Расчёт!$I$385)</f>
        <v/>
      </c>
    </row>
    <row r="11" spans="1:10" ht="25.5" customHeight="1">
      <c r="A11" s="42" t="s">
        <v>42</v>
      </c>
      <c r="B11" s="43">
        <f>IF(Расчёт!$D$386=0,"",Расчёт!$F$386)</f>
        <v/>
      </c>
      <c r="C11" s="20">
        <f>IF($B$11="","",SPARKLINE($B$11,{"charttype","bar";"max",1;"color1","#22A35E";"color2","#262B38"}))</f>
        <v/>
      </c>
      <c r="D11" s="44">
        <f>IF(Расчёт!$D$386=0,"",Расчёт!$D$386)</f>
        <v/>
      </c>
      <c r="E11" s="44">
        <f>IF(Расчёт!$D$386=0,"",Расчёт!$G$386)</f>
        <v/>
      </c>
      <c r="F11" s="44">
        <f>IF(Расчёт!$D$386=0,"",Расчёт!$H$386)</f>
        <v/>
      </c>
      <c r="G11" s="44">
        <f>IF(Расчёт!$D$386=0,"",Расчёт!$I$386)</f>
        <v/>
      </c>
    </row>
    <row r="12" spans="1:10" ht="25.5" customHeight="1">
      <c r="A12" s="42" t="s">
        <v>43</v>
      </c>
      <c r="B12" s="43">
        <f>IF(Расчёт!$D$387=0,"",Расчёт!$F$387)</f>
        <v/>
      </c>
      <c r="C12" s="20">
        <f>IF($B$12="","",SPARKLINE($B$12,{"charttype","bar";"max",1;"color1","#22A35E";"color2","#262B38"}))</f>
        <v/>
      </c>
      <c r="D12" s="44">
        <f>IF(Расчёт!$D$387=0,"",Расчёт!$D$387)</f>
        <v/>
      </c>
      <c r="E12" s="44">
        <f>IF(Расчёт!$D$387=0,"",Расчёт!$G$387)</f>
        <v/>
      </c>
      <c r="F12" s="44">
        <f>IF(Расчёт!$D$387=0,"",Расчёт!$H$387)</f>
        <v/>
      </c>
      <c r="G12" s="44">
        <f>IF(Расчёт!$D$387=0,"",Расчёт!$I$387)</f>
        <v/>
      </c>
    </row>
    <row r="13" spans="1:10" ht="25.5" customHeight="1">
      <c r="A13" s="42" t="s">
        <v>44</v>
      </c>
      <c r="B13" s="43">
        <f>IF(Расчёт!$D$388=0,"",Расчёт!$F$388)</f>
        <v/>
      </c>
      <c r="C13" s="20">
        <f>IF($B$13="","",SPARKLINE($B$13,{"charttype","bar";"max",1;"color1","#22A35E";"color2","#262B38"}))</f>
        <v/>
      </c>
      <c r="D13" s="44">
        <f>IF(Расчёт!$D$388=0,"",Расчёт!$D$388)</f>
        <v/>
      </c>
      <c r="E13" s="44">
        <f>IF(Расчёт!$D$388=0,"",Расчёт!$G$388)</f>
        <v/>
      </c>
      <c r="F13" s="44">
        <f>IF(Расчёт!$D$388=0,"",Расчёт!$H$388)</f>
        <v/>
      </c>
      <c r="G13" s="44">
        <f>IF(Расчёт!$D$388=0,"",Расчёт!$I$388)</f>
        <v/>
      </c>
    </row>
    <row r="14" spans="1:10" ht="25.5" customHeight="1">
      <c r="A14" s="42" t="s">
        <v>45</v>
      </c>
      <c r="B14" s="43">
        <f>IF(Расчёт!$D$389=0,"",Расчёт!$F$389)</f>
        <v/>
      </c>
      <c r="C14" s="20">
        <f>IF($B$14="","",SPARKLINE($B$14,{"charttype","bar";"max",1;"color1","#22A35E";"color2","#262B38"}))</f>
        <v/>
      </c>
      <c r="D14" s="44">
        <f>IF(Расчёт!$D$389=0,"",Расчёт!$D$389)</f>
        <v/>
      </c>
      <c r="E14" s="44">
        <f>IF(Расчёт!$D$389=0,"",Расчёт!$G$389)</f>
        <v/>
      </c>
      <c r="F14" s="44">
        <f>IF(Расчёт!$D$389=0,"",Расчёт!$H$389)</f>
        <v/>
      </c>
      <c r="G14" s="44">
        <f>IF(Расчёт!$D$389=0,"",Расчёт!$I$389)</f>
        <v/>
      </c>
    </row>
    <row r="15" spans="1:10" ht="25.5" customHeight="1">
      <c r="A15" s="42" t="s">
        <v>46</v>
      </c>
      <c r="B15" s="43">
        <f>IF(Расчёт!$D$390=0,"",Расчёт!$F$390)</f>
        <v/>
      </c>
      <c r="C15" s="20">
        <f>IF($B$15="","",SPARKLINE($B$15,{"charttype","bar";"max",1;"color1","#22A35E";"color2","#262B38"}))</f>
        <v/>
      </c>
      <c r="D15" s="44">
        <f>IF(Расчёт!$D$390=0,"",Расчёт!$D$390)</f>
        <v/>
      </c>
      <c r="E15" s="44">
        <f>IF(Расчёт!$D$390=0,"",Расчёт!$G$390)</f>
        <v/>
      </c>
      <c r="F15" s="44">
        <f>IF(Расчёт!$D$390=0,"",Расчёт!$H$390)</f>
        <v/>
      </c>
      <c r="G15" s="44">
        <f>IF(Расчёт!$D$390=0,"",Расчёт!$I$390)</f>
        <v/>
      </c>
    </row>
    <row r="17" spans="1:10" ht="18" customHeight="1">
      <c r="A17" s="6" t="s">
        <v>80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ht="27" customHeight="1">
      <c r="A18" s="45">
        <f>IF(Расчёт!$B$448&gt;=1,"🏅 Первая галочка","Первая галочка")</f>
        <v/>
      </c>
      <c r="B18" s="45"/>
      <c r="C18" s="45"/>
      <c r="D18" s="45"/>
      <c r="E18" s="45"/>
      <c r="F18" s="45">
        <f>IF(Расчёт!$B$449&gt;=3,"🏅 Три подряд","Три подряд")</f>
        <v/>
      </c>
      <c r="G18" s="45"/>
      <c r="H18" s="45"/>
      <c r="I18" s="45"/>
      <c r="J18" s="45"/>
    </row>
    <row r="19" spans="1:10" ht="27" customHeight="1">
      <c r="A19" s="45">
        <f>IF(Расчёт!$B$449&gt;=7,"🏅 Семь подряд","Семь подряд")</f>
        <v/>
      </c>
      <c r="B19" s="45"/>
      <c r="C19" s="45"/>
      <c r="D19" s="45"/>
      <c r="E19" s="45"/>
      <c r="F19" s="45">
        <f>IF(Расчёт!$B$449&gt;=30,"🏅 Целый месяц","Целый месяц")</f>
        <v/>
      </c>
      <c r="G19" s="45"/>
      <c r="H19" s="45"/>
      <c r="I19" s="45"/>
      <c r="J19" s="45"/>
    </row>
    <row r="20" spans="1:10" ht="27" customHeight="1">
      <c r="A20" s="45">
        <f>IF(Расчёт!$B$450&gt;=1,"🏅 Полный день","Полный день")</f>
        <v/>
      </c>
      <c r="B20" s="45"/>
      <c r="C20" s="45"/>
      <c r="D20" s="45"/>
      <c r="E20" s="45"/>
      <c r="F20" s="45">
        <f>IF(Расчёт!$B$451&gt;=1,"🏅 Возвращение","Возвращение")</f>
        <v/>
      </c>
      <c r="G20" s="45"/>
      <c r="H20" s="45"/>
      <c r="I20" s="45"/>
      <c r="J20" s="45"/>
    </row>
    <row r="21" spans="1:10" ht="27" customHeight="1">
      <c r="A21" s="45">
        <f>IF(Расчёт!$B$452&gt;=1,"🏅 Испытание","Испытание")</f>
        <v/>
      </c>
      <c r="B21" s="45"/>
      <c r="C21" s="45"/>
      <c r="D21" s="45"/>
      <c r="E21" s="45"/>
      <c r="F21" s="45">
        <f>IF(Расчёт!$B$453&gt;=7,"🏅 Семь вечеров","Семь вечеров")</f>
        <v/>
      </c>
      <c r="G21" s="45"/>
      <c r="H21" s="45"/>
      <c r="I21" s="45"/>
      <c r="J21" s="45"/>
    </row>
    <row r="22" spans="1:10" ht="27" customHeight="1">
      <c r="A22" s="45">
        <f>IF(Расчёт!$B$448&gt;=100,"🏅 Сто галочек","Сто галочек · "&amp;Расчёт!$B$448&amp;"/100")</f>
        <v/>
      </c>
      <c r="B22" s="45"/>
      <c r="C22" s="45"/>
      <c r="D22" s="45"/>
      <c r="E22" s="45"/>
      <c r="F22" s="45">
        <f>IF(Расчёт!$B$454&gt;=4,"🏅 Четыре воскресенья","Четыре воскресенья · "&amp;Расчёт!$B$454&amp;"/4")</f>
        <v/>
      </c>
      <c r="G22" s="45"/>
      <c r="H22" s="45"/>
      <c r="I22" s="45"/>
      <c r="J22" s="45"/>
    </row>
    <row r="24" spans="1:10" ht="18" customHeight="1">
      <c r="A24" s="6" t="s">
        <v>81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" customHeight="1">
      <c r="A25" s="46">
        <f>IF(Расчёт!$B$448=0,"Месяцы заполняются сами",Расчёт!$B$448&amp;" галочек · опыт "&amp;Расчёт!$B$4&amp;" · рекорд серии "&amp;Расчёт!$B$449&amp;" · полных дней "&amp;Расчёт!$B$450)</f>
        <v/>
      </c>
      <c r="B25" s="46"/>
      <c r="C25" s="46"/>
      <c r="D25" s="46"/>
      <c r="E25" s="46"/>
      <c r="F25" s="46"/>
      <c r="G25" s="46"/>
      <c r="H25" s="46"/>
      <c r="I25" s="46"/>
      <c r="J25" s="46"/>
    </row>
    <row r="27" spans="1:10" ht="18" customHeight="1">
      <c r="A27" s="6" t="s">
        <v>82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ht="25.5" customHeight="1">
      <c r="A28" s="31" t="s">
        <v>51</v>
      </c>
      <c r="B28" s="47"/>
      <c r="C28" s="47"/>
      <c r="D28" s="47"/>
      <c r="E28" s="47"/>
      <c r="F28" s="47"/>
      <c r="G28" s="47"/>
      <c r="H28" s="47"/>
      <c r="I28" s="47"/>
      <c r="J28" s="47"/>
    </row>
    <row r="29" spans="1:10" ht="25.5" customHeight="1">
      <c r="A29" s="31" t="s">
        <v>52</v>
      </c>
      <c r="B29" s="47"/>
      <c r="C29" s="47"/>
      <c r="D29" s="47"/>
      <c r="E29" s="47"/>
      <c r="F29" s="47"/>
      <c r="G29" s="47"/>
      <c r="H29" s="47"/>
      <c r="I29" s="47"/>
      <c r="J29" s="47"/>
    </row>
    <row r="30" spans="1:10" ht="25.5" customHeight="1">
      <c r="A30" s="31" t="s">
        <v>53</v>
      </c>
      <c r="B30" s="47"/>
      <c r="C30" s="47"/>
      <c r="D30" s="47"/>
      <c r="E30" s="47"/>
      <c r="F30" s="47"/>
      <c r="G30" s="47"/>
      <c r="H30" s="47"/>
      <c r="I30" s="47"/>
      <c r="J30" s="47"/>
    </row>
    <row r="31" spans="1:10" ht="25.5" customHeight="1">
      <c r="A31" s="31" t="s">
        <v>54</v>
      </c>
      <c r="B31" s="47"/>
      <c r="C31" s="47"/>
      <c r="D31" s="47"/>
      <c r="E31" s="47"/>
      <c r="F31" s="47"/>
      <c r="G31" s="47"/>
      <c r="H31" s="47"/>
      <c r="I31" s="47"/>
      <c r="J31" s="47"/>
    </row>
    <row r="32" spans="1:10" ht="25.5" customHeight="1">
      <c r="A32" s="31" t="s">
        <v>55</v>
      </c>
      <c r="B32" s="47"/>
      <c r="C32" s="47"/>
      <c r="D32" s="47"/>
      <c r="E32" s="47"/>
      <c r="F32" s="47"/>
      <c r="G32" s="47"/>
      <c r="H32" s="47"/>
      <c r="I32" s="47"/>
      <c r="J32" s="47"/>
    </row>
    <row r="33" spans="1:10" ht="25.5" customHeight="1">
      <c r="A33" s="31" t="s">
        <v>83</v>
      </c>
      <c r="B33" s="47"/>
      <c r="C33" s="47"/>
      <c r="D33" s="47"/>
      <c r="E33" s="47"/>
      <c r="F33" s="47"/>
      <c r="G33" s="47"/>
      <c r="H33" s="47"/>
      <c r="I33" s="47"/>
      <c r="J33" s="47"/>
    </row>
    <row r="34" spans="1:10" ht="25.5" customHeight="1">
      <c r="A34" s="31" t="s">
        <v>84</v>
      </c>
      <c r="B34" s="47"/>
      <c r="C34" s="47"/>
      <c r="D34" s="47"/>
      <c r="E34" s="47"/>
      <c r="F34" s="47"/>
      <c r="G34" s="47"/>
      <c r="H34" s="47"/>
      <c r="I34" s="47"/>
      <c r="J34" s="47"/>
    </row>
    <row r="35" spans="1:10" ht="25.5" customHeight="1">
      <c r="A35" s="31" t="s">
        <v>85</v>
      </c>
      <c r="B35" s="47"/>
      <c r="C35" s="47"/>
      <c r="D35" s="47"/>
      <c r="E35" s="47"/>
      <c r="F35" s="47"/>
      <c r="G35" s="47"/>
      <c r="H35" s="47"/>
      <c r="I35" s="47"/>
      <c r="J35" s="47"/>
    </row>
    <row r="36" spans="1:10" ht="25.5" customHeight="1">
      <c r="A36" s="31" t="s">
        <v>86</v>
      </c>
      <c r="B36" s="47"/>
      <c r="C36" s="47"/>
      <c r="D36" s="47"/>
      <c r="E36" s="47"/>
      <c r="F36" s="47"/>
      <c r="G36" s="47"/>
      <c r="H36" s="47"/>
      <c r="I36" s="47"/>
      <c r="J36" s="47"/>
    </row>
    <row r="37" spans="1:10" ht="25.5" customHeight="1">
      <c r="A37" s="31" t="s">
        <v>87</v>
      </c>
      <c r="B37" s="47"/>
      <c r="C37" s="47"/>
      <c r="D37" s="47"/>
      <c r="E37" s="47"/>
      <c r="F37" s="47"/>
      <c r="G37" s="47"/>
      <c r="H37" s="47"/>
      <c r="I37" s="47"/>
      <c r="J37" s="47"/>
    </row>
    <row r="38" spans="1:10" ht="25.5" customHeight="1">
      <c r="A38" s="31" t="s">
        <v>88</v>
      </c>
      <c r="B38" s="47"/>
      <c r="C38" s="47"/>
      <c r="D38" s="47"/>
      <c r="E38" s="47"/>
      <c r="F38" s="47"/>
      <c r="G38" s="47"/>
      <c r="H38" s="47"/>
      <c r="I38" s="47"/>
      <c r="J38" s="47"/>
    </row>
    <row r="39" spans="1:10" ht="25.5" customHeight="1">
      <c r="A39" s="31" t="s">
        <v>89</v>
      </c>
      <c r="B39" s="47"/>
      <c r="C39" s="47"/>
      <c r="D39" s="47"/>
      <c r="E39" s="47"/>
      <c r="F39" s="47"/>
      <c r="G39" s="47"/>
      <c r="H39" s="47"/>
      <c r="I39" s="47"/>
      <c r="J39" s="47"/>
    </row>
    <row r="40" spans="1:10" ht="25.5" customHeight="1">
      <c r="A40" s="31" t="s">
        <v>90</v>
      </c>
      <c r="B40" s="47"/>
      <c r="C40" s="47"/>
      <c r="D40" s="47"/>
      <c r="E40" s="47"/>
      <c r="F40" s="47"/>
      <c r="G40" s="47"/>
      <c r="H40" s="47"/>
      <c r="I40" s="47"/>
      <c r="J40" s="47"/>
    </row>
    <row r="41" spans="1:10" ht="25.5" customHeight="1">
      <c r="A41" s="31" t="s">
        <v>91</v>
      </c>
      <c r="B41" s="47"/>
      <c r="C41" s="47"/>
      <c r="D41" s="47"/>
      <c r="E41" s="47"/>
      <c r="F41" s="47"/>
      <c r="G41" s="47"/>
      <c r="H41" s="47"/>
      <c r="I41" s="47"/>
      <c r="J41" s="47"/>
    </row>
    <row r="42" spans="1:10" ht="25.5" customHeight="1">
      <c r="A42" s="31" t="s">
        <v>92</v>
      </c>
      <c r="B42" s="47"/>
      <c r="C42" s="47"/>
      <c r="D42" s="47"/>
      <c r="E42" s="47"/>
      <c r="F42" s="47"/>
      <c r="G42" s="47"/>
      <c r="H42" s="47"/>
      <c r="I42" s="47"/>
      <c r="J42" s="47"/>
    </row>
    <row r="43" spans="1:10" ht="25.5" customHeight="1">
      <c r="A43" s="31" t="s">
        <v>93</v>
      </c>
      <c r="B43" s="47"/>
      <c r="C43" s="47"/>
      <c r="D43" s="47"/>
      <c r="E43" s="47"/>
      <c r="F43" s="47"/>
      <c r="G43" s="47"/>
      <c r="H43" s="47"/>
      <c r="I43" s="47"/>
      <c r="J43" s="47"/>
    </row>
    <row r="44" spans="1:10" ht="25.5" customHeight="1">
      <c r="A44" s="31" t="s">
        <v>94</v>
      </c>
      <c r="B44" s="47"/>
      <c r="C44" s="47"/>
      <c r="D44" s="47"/>
      <c r="E44" s="47"/>
      <c r="F44" s="47"/>
      <c r="G44" s="47"/>
      <c r="H44" s="47"/>
      <c r="I44" s="47"/>
      <c r="J44" s="47"/>
    </row>
    <row r="45" spans="1:10" ht="25.5" customHeight="1">
      <c r="A45" s="31" t="s">
        <v>95</v>
      </c>
      <c r="B45" s="47"/>
      <c r="C45" s="47"/>
      <c r="D45" s="47"/>
      <c r="E45" s="47"/>
      <c r="F45" s="47"/>
      <c r="G45" s="47"/>
      <c r="H45" s="47"/>
      <c r="I45" s="47"/>
      <c r="J45" s="47"/>
    </row>
    <row r="46" spans="1:10" ht="25.5" customHeight="1">
      <c r="A46" s="31" t="s">
        <v>96</v>
      </c>
      <c r="B46" s="47"/>
      <c r="C46" s="47"/>
      <c r="D46" s="47"/>
      <c r="E46" s="47"/>
      <c r="F46" s="47"/>
      <c r="G46" s="47"/>
      <c r="H46" s="47"/>
      <c r="I46" s="47"/>
      <c r="J46" s="47"/>
    </row>
    <row r="47" spans="1:10" ht="25.5" customHeight="1">
      <c r="A47" s="31" t="s">
        <v>97</v>
      </c>
      <c r="B47" s="47"/>
      <c r="C47" s="47"/>
      <c r="D47" s="47"/>
      <c r="E47" s="47"/>
      <c r="F47" s="47"/>
      <c r="G47" s="47"/>
      <c r="H47" s="47"/>
      <c r="I47" s="47"/>
      <c r="J47" s="47"/>
    </row>
    <row r="48" spans="1:10" ht="25.5" customHeight="1">
      <c r="A48" s="31" t="s">
        <v>98</v>
      </c>
      <c r="B48" s="47"/>
      <c r="C48" s="47"/>
      <c r="D48" s="47"/>
      <c r="E48" s="47"/>
      <c r="F48" s="47"/>
      <c r="G48" s="47"/>
      <c r="H48" s="47"/>
      <c r="I48" s="47"/>
      <c r="J48" s="47"/>
    </row>
    <row r="49" spans="1:10" ht="25.5" customHeight="1">
      <c r="A49" s="31" t="s">
        <v>99</v>
      </c>
      <c r="B49" s="47"/>
      <c r="C49" s="47"/>
      <c r="D49" s="47"/>
      <c r="E49" s="47"/>
      <c r="F49" s="47"/>
      <c r="G49" s="47"/>
      <c r="H49" s="47"/>
      <c r="I49" s="47"/>
      <c r="J49" s="47"/>
    </row>
    <row r="50" spans="1:10" ht="25.5" customHeight="1">
      <c r="A50" s="31" t="s">
        <v>100</v>
      </c>
      <c r="B50" s="47"/>
      <c r="C50" s="47"/>
      <c r="D50" s="47"/>
      <c r="E50" s="47"/>
      <c r="F50" s="47"/>
      <c r="G50" s="47"/>
      <c r="H50" s="47"/>
      <c r="I50" s="47"/>
      <c r="J50" s="47"/>
    </row>
    <row r="51" spans="1:10" ht="25.5" customHeight="1">
      <c r="A51" s="31" t="s">
        <v>101</v>
      </c>
      <c r="B51" s="47"/>
      <c r="C51" s="47"/>
      <c r="D51" s="47"/>
      <c r="E51" s="47"/>
      <c r="F51" s="47"/>
      <c r="G51" s="47"/>
      <c r="H51" s="47"/>
      <c r="I51" s="47"/>
      <c r="J51" s="47"/>
    </row>
    <row r="52" spans="1:10" ht="25.5" customHeight="1">
      <c r="A52" s="31" t="s">
        <v>102</v>
      </c>
      <c r="B52" s="47"/>
      <c r="C52" s="47"/>
      <c r="D52" s="47"/>
      <c r="E52" s="47"/>
      <c r="F52" s="47"/>
      <c r="G52" s="47"/>
      <c r="H52" s="47"/>
      <c r="I52" s="47"/>
      <c r="J52" s="47"/>
    </row>
    <row r="53" spans="1:10" ht="25.5" customHeight="1">
      <c r="A53" s="31" t="s">
        <v>103</v>
      </c>
      <c r="B53" s="47"/>
      <c r="C53" s="47"/>
      <c r="D53" s="47"/>
      <c r="E53" s="47"/>
      <c r="F53" s="47"/>
      <c r="G53" s="47"/>
      <c r="H53" s="47"/>
      <c r="I53" s="47"/>
      <c r="J53" s="47"/>
    </row>
    <row r="54" spans="1:10" ht="25.5" customHeight="1">
      <c r="A54" s="31" t="s">
        <v>104</v>
      </c>
      <c r="B54" s="47"/>
      <c r="C54" s="47"/>
      <c r="D54" s="47"/>
      <c r="E54" s="47"/>
      <c r="F54" s="47"/>
      <c r="G54" s="47"/>
      <c r="H54" s="47"/>
      <c r="I54" s="47"/>
      <c r="J54" s="47"/>
    </row>
    <row r="55" spans="1:10" ht="25.5" customHeight="1">
      <c r="A55" s="31" t="s">
        <v>105</v>
      </c>
      <c r="B55" s="47"/>
      <c r="C55" s="47"/>
      <c r="D55" s="47"/>
      <c r="E55" s="47"/>
      <c r="F55" s="47"/>
      <c r="G55" s="47"/>
      <c r="H55" s="47"/>
      <c r="I55" s="47"/>
      <c r="J55" s="47"/>
    </row>
    <row r="56" spans="1:10" ht="25.5" customHeight="1">
      <c r="A56" s="31" t="s">
        <v>106</v>
      </c>
      <c r="B56" s="47"/>
      <c r="C56" s="47"/>
      <c r="D56" s="47"/>
      <c r="E56" s="47"/>
      <c r="F56" s="47"/>
      <c r="G56" s="47"/>
      <c r="H56" s="47"/>
      <c r="I56" s="47"/>
      <c r="J56" s="47"/>
    </row>
    <row r="57" spans="1:10" ht="25.5" customHeight="1">
      <c r="A57" s="31" t="s">
        <v>107</v>
      </c>
      <c r="B57" s="47"/>
      <c r="C57" s="47"/>
      <c r="D57" s="47"/>
      <c r="E57" s="47"/>
      <c r="F57" s="47"/>
      <c r="G57" s="47"/>
      <c r="H57" s="47"/>
      <c r="I57" s="47"/>
      <c r="J57" s="47"/>
    </row>
    <row r="58" spans="1:10" ht="25.5" customHeight="1">
      <c r="A58" s="31" t="s">
        <v>108</v>
      </c>
      <c r="B58" s="47"/>
      <c r="C58" s="47"/>
      <c r="D58" s="47"/>
      <c r="E58" s="47"/>
      <c r="F58" s="47"/>
      <c r="G58" s="47"/>
      <c r="H58" s="47"/>
      <c r="I58" s="47"/>
      <c r="J58" s="47"/>
    </row>
    <row r="59" spans="1:10" ht="25.5" customHeight="1">
      <c r="A59" s="31" t="s">
        <v>109</v>
      </c>
      <c r="B59" s="47"/>
      <c r="C59" s="47"/>
      <c r="D59" s="47"/>
      <c r="E59" s="47"/>
      <c r="F59" s="47"/>
      <c r="G59" s="47"/>
      <c r="H59" s="47"/>
      <c r="I59" s="47"/>
      <c r="J59" s="47"/>
    </row>
    <row r="60" spans="1:10" ht="25.5" customHeight="1">
      <c r="A60" s="31" t="s">
        <v>110</v>
      </c>
      <c r="B60" s="47"/>
      <c r="C60" s="47"/>
      <c r="D60" s="47"/>
      <c r="E60" s="47"/>
      <c r="F60" s="47"/>
      <c r="G60" s="47"/>
      <c r="H60" s="47"/>
      <c r="I60" s="47"/>
      <c r="J60" s="47"/>
    </row>
    <row r="61" spans="1:10" ht="25.5" customHeight="1">
      <c r="A61" s="31" t="s">
        <v>111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 ht="25.5" customHeight="1">
      <c r="A62" s="31" t="s">
        <v>112</v>
      </c>
      <c r="B62" s="47"/>
      <c r="C62" s="47"/>
      <c r="D62" s="47"/>
      <c r="E62" s="47"/>
      <c r="F62" s="47"/>
      <c r="G62" s="47"/>
      <c r="H62" s="47"/>
      <c r="I62" s="47"/>
      <c r="J62" s="47"/>
    </row>
    <row r="63" spans="1:10" ht="25.5" customHeight="1">
      <c r="A63" s="31" t="s">
        <v>113</v>
      </c>
      <c r="B63" s="47"/>
      <c r="C63" s="47"/>
      <c r="D63" s="47"/>
      <c r="E63" s="47"/>
      <c r="F63" s="47"/>
      <c r="G63" s="47"/>
      <c r="H63" s="47"/>
      <c r="I63" s="47"/>
      <c r="J63" s="47"/>
    </row>
    <row r="64" spans="1:10" ht="25.5" customHeight="1">
      <c r="A64" s="31" t="s">
        <v>114</v>
      </c>
      <c r="B64" s="47"/>
      <c r="C64" s="47"/>
      <c r="D64" s="47"/>
      <c r="E64" s="47"/>
      <c r="F64" s="47"/>
      <c r="G64" s="47"/>
      <c r="H64" s="47"/>
      <c r="I64" s="47"/>
      <c r="J64" s="47"/>
    </row>
    <row r="65" spans="1:10" ht="25.5" customHeight="1">
      <c r="A65" s="31" t="s">
        <v>115</v>
      </c>
      <c r="B65" s="47"/>
      <c r="C65" s="47"/>
      <c r="D65" s="47"/>
      <c r="E65" s="47"/>
      <c r="F65" s="47"/>
      <c r="G65" s="47"/>
      <c r="H65" s="47"/>
      <c r="I65" s="47"/>
      <c r="J65" s="47"/>
    </row>
    <row r="66" spans="1:10" ht="25.5" customHeight="1">
      <c r="A66" s="31" t="s">
        <v>116</v>
      </c>
      <c r="B66" s="47"/>
      <c r="C66" s="47"/>
      <c r="D66" s="47"/>
      <c r="E66" s="47"/>
      <c r="F66" s="47"/>
      <c r="G66" s="47"/>
      <c r="H66" s="47"/>
      <c r="I66" s="47"/>
      <c r="J66" s="47"/>
    </row>
    <row r="67" spans="1:10" ht="25.5" customHeight="1">
      <c r="A67" s="31" t="s">
        <v>117</v>
      </c>
      <c r="B67" s="47"/>
      <c r="C67" s="47"/>
      <c r="D67" s="47"/>
      <c r="E67" s="47"/>
      <c r="F67" s="47"/>
      <c r="G67" s="47"/>
      <c r="H67" s="47"/>
      <c r="I67" s="47"/>
      <c r="J67" s="47"/>
    </row>
    <row r="68" spans="1:10" ht="25.5" customHeight="1">
      <c r="A68" s="31" t="s">
        <v>118</v>
      </c>
      <c r="B68" s="47"/>
      <c r="C68" s="47"/>
      <c r="D68" s="47"/>
      <c r="E68" s="47"/>
      <c r="F68" s="47"/>
      <c r="G68" s="47"/>
      <c r="H68" s="47"/>
      <c r="I68" s="47"/>
      <c r="J68" s="47"/>
    </row>
    <row r="69" spans="1:10" ht="25.5" customHeight="1">
      <c r="A69" s="31" t="s">
        <v>119</v>
      </c>
      <c r="B69" s="47"/>
      <c r="C69" s="47"/>
      <c r="D69" s="47"/>
      <c r="E69" s="47"/>
      <c r="F69" s="47"/>
      <c r="G69" s="47"/>
      <c r="H69" s="47"/>
      <c r="I69" s="47"/>
      <c r="J69" s="47"/>
    </row>
    <row r="70" spans="1:10" ht="25.5" customHeight="1">
      <c r="A70" s="31" t="s">
        <v>120</v>
      </c>
      <c r="B70" s="47"/>
      <c r="C70" s="47"/>
      <c r="D70" s="47"/>
      <c r="E70" s="47"/>
      <c r="F70" s="47"/>
      <c r="G70" s="47"/>
      <c r="H70" s="47"/>
      <c r="I70" s="47"/>
      <c r="J70" s="47"/>
    </row>
    <row r="71" spans="1:10" ht="25.5" customHeight="1">
      <c r="A71" s="31" t="s">
        <v>121</v>
      </c>
      <c r="B71" s="47"/>
      <c r="C71" s="47"/>
      <c r="D71" s="47"/>
      <c r="E71" s="47"/>
      <c r="F71" s="47"/>
      <c r="G71" s="47"/>
      <c r="H71" s="47"/>
      <c r="I71" s="47"/>
      <c r="J71" s="47"/>
    </row>
    <row r="72" spans="1:10" ht="25.5" customHeight="1">
      <c r="A72" s="31" t="s">
        <v>122</v>
      </c>
      <c r="B72" s="47"/>
      <c r="C72" s="47"/>
      <c r="D72" s="47"/>
      <c r="E72" s="47"/>
      <c r="F72" s="47"/>
      <c r="G72" s="47"/>
      <c r="H72" s="47"/>
      <c r="I72" s="47"/>
      <c r="J72" s="47"/>
    </row>
    <row r="73" spans="1:10" ht="25.5" customHeight="1">
      <c r="A73" s="31" t="s">
        <v>123</v>
      </c>
      <c r="B73" s="47"/>
      <c r="C73" s="47"/>
      <c r="D73" s="47"/>
      <c r="E73" s="47"/>
      <c r="F73" s="47"/>
      <c r="G73" s="47"/>
      <c r="H73" s="47"/>
      <c r="I73" s="47"/>
      <c r="J73" s="47"/>
    </row>
    <row r="74" spans="1:10" ht="25.5" customHeight="1">
      <c r="A74" s="31" t="s">
        <v>124</v>
      </c>
      <c r="B74" s="47"/>
      <c r="C74" s="47"/>
      <c r="D74" s="47"/>
      <c r="E74" s="47"/>
      <c r="F74" s="47"/>
      <c r="G74" s="47"/>
      <c r="H74" s="47"/>
      <c r="I74" s="47"/>
      <c r="J74" s="47"/>
    </row>
    <row r="75" spans="1:10" ht="25.5" customHeight="1">
      <c r="A75" s="31" t="s">
        <v>125</v>
      </c>
      <c r="B75" s="47"/>
      <c r="C75" s="47"/>
      <c r="D75" s="47"/>
      <c r="E75" s="47"/>
      <c r="F75" s="47"/>
      <c r="G75" s="47"/>
      <c r="H75" s="47"/>
      <c r="I75" s="47"/>
      <c r="J75" s="47"/>
    </row>
    <row r="76" spans="1:10" ht="25.5" customHeight="1">
      <c r="A76" s="31" t="s">
        <v>126</v>
      </c>
      <c r="B76" s="47"/>
      <c r="C76" s="47"/>
      <c r="D76" s="47"/>
      <c r="E76" s="47"/>
      <c r="F76" s="47"/>
      <c r="G76" s="47"/>
      <c r="H76" s="47"/>
      <c r="I76" s="47"/>
      <c r="J76" s="47"/>
    </row>
    <row r="77" spans="1:10" ht="25.5" customHeight="1">
      <c r="A77" s="31" t="s">
        <v>127</v>
      </c>
      <c r="B77" s="47"/>
      <c r="C77" s="47"/>
      <c r="D77" s="47"/>
      <c r="E77" s="47"/>
      <c r="F77" s="47"/>
      <c r="G77" s="47"/>
      <c r="H77" s="47"/>
      <c r="I77" s="47"/>
      <c r="J77" s="47"/>
    </row>
    <row r="78" spans="1:10" ht="25.5" customHeight="1">
      <c r="A78" s="31" t="s">
        <v>128</v>
      </c>
      <c r="B78" s="47"/>
      <c r="C78" s="47"/>
      <c r="D78" s="47"/>
      <c r="E78" s="47"/>
      <c r="F78" s="47"/>
      <c r="G78" s="47"/>
      <c r="H78" s="47"/>
      <c r="I78" s="47"/>
      <c r="J78" s="47"/>
    </row>
    <row r="79" spans="1:10" ht="25.5" customHeight="1">
      <c r="A79" s="31" t="s">
        <v>129</v>
      </c>
      <c r="B79" s="47"/>
      <c r="C79" s="47"/>
      <c r="D79" s="47"/>
      <c r="E79" s="47"/>
      <c r="F79" s="47"/>
      <c r="G79" s="47"/>
      <c r="H79" s="47"/>
      <c r="I79" s="47"/>
      <c r="J79" s="47"/>
    </row>
    <row r="80" spans="1:10" ht="25.5" customHeight="1">
      <c r="A80" s="31" t="s">
        <v>130</v>
      </c>
      <c r="B80" s="47"/>
      <c r="C80" s="47"/>
      <c r="D80" s="47"/>
      <c r="E80" s="47"/>
      <c r="F80" s="47"/>
      <c r="G80" s="47"/>
      <c r="H80" s="47"/>
      <c r="I80" s="47"/>
      <c r="J80" s="47"/>
    </row>
  </sheetData>
  <mergeCells count="69">
    <mergeCell ref="A1:J1"/>
    <mergeCell ref="A2:J2"/>
    <mergeCell ref="A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J24"/>
    <mergeCell ref="A25:J25"/>
    <mergeCell ref="A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  <mergeCell ref="B62:J62"/>
    <mergeCell ref="B63:J63"/>
    <mergeCell ref="B64:J64"/>
    <mergeCell ref="B65:J65"/>
    <mergeCell ref="B66:J66"/>
    <mergeCell ref="B67:J67"/>
    <mergeCell ref="B68:J68"/>
    <mergeCell ref="B69:J69"/>
    <mergeCell ref="B70:J70"/>
    <mergeCell ref="B71:J71"/>
    <mergeCell ref="B72:J72"/>
    <mergeCell ref="B73:J73"/>
    <mergeCell ref="B74:J74"/>
    <mergeCell ref="B75:J75"/>
    <mergeCell ref="B76:J76"/>
    <mergeCell ref="B77:J77"/>
    <mergeCell ref="B78:J78"/>
    <mergeCell ref="B79:J79"/>
    <mergeCell ref="B80:J80"/>
  </mergeCells>
  <conditionalFormatting sqref="A18:J22">
    <cfRule type="beginsWith" dxfId="5" priority="1" operator="beginsWith" text="🏅">
      <formula>LEFT(A18,1)="🏅"</formula>
    </cfRule>
  </conditionalFormatting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11"/>
  <sheetViews>
    <sheetView showGridLines="0" workbookViewId="0"/>
  </sheetViews>
  <sheetFormatPr defaultRowHeight="15"/>
  <cols>
    <col min="1" max="1" width="21.42578125" style="1" customWidth="1"/>
    <col min="2" max="32" width="4" style="1" customWidth="1"/>
    <col min="33" max="41" width="6.140625" style="1" customWidth="1"/>
  </cols>
  <sheetData>
    <row r="1" spans="1:32" ht="30" customHeight="1">
      <c r="A1" s="48" t="s">
        <v>131</v>
      </c>
      <c r="B1" s="48"/>
      <c r="C1" s="48"/>
      <c r="D1" s="48"/>
      <c r="E1" s="48"/>
      <c r="F1" s="48"/>
      <c r="G1" s="48"/>
      <c r="H1" s="48"/>
      <c r="I1" s="48"/>
    </row>
    <row r="2" spans="1:32" ht="25.5" customHeight="1">
      <c r="A2" s="49" t="s">
        <v>132</v>
      </c>
      <c r="B2" s="50" t="s">
        <v>43</v>
      </c>
    </row>
    <row r="4" spans="1:32" ht="21" customHeight="1">
      <c r="A4" s="41" t="s">
        <v>7</v>
      </c>
      <c r="B4" s="41">
        <v>1</v>
      </c>
      <c r="C4" s="41">
        <v>2</v>
      </c>
      <c r="D4" s="41">
        <v>3</v>
      </c>
      <c r="E4" s="41">
        <v>4</v>
      </c>
      <c r="F4" s="41">
        <v>5</v>
      </c>
      <c r="G4" s="41">
        <v>6</v>
      </c>
      <c r="H4" s="41">
        <v>7</v>
      </c>
      <c r="I4" s="41">
        <v>8</v>
      </c>
      <c r="J4" s="41">
        <v>9</v>
      </c>
      <c r="K4" s="41">
        <v>10</v>
      </c>
      <c r="L4" s="41">
        <v>11</v>
      </c>
      <c r="M4" s="41">
        <v>12</v>
      </c>
      <c r="N4" s="41">
        <v>13</v>
      </c>
      <c r="O4" s="41">
        <v>14</v>
      </c>
      <c r="P4" s="41">
        <v>15</v>
      </c>
      <c r="Q4" s="41">
        <v>16</v>
      </c>
      <c r="R4" s="41">
        <v>17</v>
      </c>
      <c r="S4" s="41">
        <v>18</v>
      </c>
      <c r="T4" s="41">
        <v>19</v>
      </c>
      <c r="U4" s="41">
        <v>20</v>
      </c>
      <c r="V4" s="41">
        <v>21</v>
      </c>
      <c r="W4" s="41">
        <v>22</v>
      </c>
      <c r="X4" s="41">
        <v>23</v>
      </c>
      <c r="Y4" s="41">
        <v>24</v>
      </c>
      <c r="Z4" s="41">
        <v>25</v>
      </c>
      <c r="AA4" s="41">
        <v>26</v>
      </c>
      <c r="AB4" s="41">
        <v>27</v>
      </c>
      <c r="AC4" s="41">
        <v>28</v>
      </c>
      <c r="AD4" s="41">
        <v>29</v>
      </c>
      <c r="AE4" s="41">
        <v>30</v>
      </c>
      <c r="AF4" s="41">
        <v>31</v>
      </c>
    </row>
    <row r="5" spans="1:32" ht="25.5" customHeight="1">
      <c r="A5" s="29">
        <f>IF('Старт'!$B$12="","",'Старт'!$B$12)</f>
        <v/>
      </c>
      <c r="B5" s="51">
        <f>IF('Старт'!$B$12="","",IF(CHOOSE(MATCH($B$2,'Списки'!$H$2:$H$13,0),'Янв'!$B$6,'Фев'!$B$6,'Мар'!$B$6,'Апр'!$B$6,'Май'!$B$6,'Июн'!$B$6,'Июл'!$B$6,'Авг'!$B$6,'Сен'!$B$6,'Окт'!$B$6,'Ноя'!$B$6,'Дек'!$B$6)=TRUE,"✓",""))</f>
        <v/>
      </c>
      <c r="C5" s="51">
        <f>IF('Старт'!$B$12="","",IF(CHOOSE(MATCH($B$2,'Списки'!$H$2:$H$13,0),'Янв'!$B$7,'Фев'!$B$7,'Мар'!$B$7,'Апр'!$B$7,'Май'!$B$7,'Июн'!$B$7,'Июл'!$B$7,'Авг'!$B$7,'Сен'!$B$7,'Окт'!$B$7,'Ноя'!$B$7,'Дек'!$B$7)=TRUE,"✓",""))</f>
        <v/>
      </c>
      <c r="D5" s="51">
        <f>IF('Старт'!$B$12="","",IF(CHOOSE(MATCH($B$2,'Списки'!$H$2:$H$13,0),'Янв'!$B$8,'Фев'!$B$8,'Мар'!$B$8,'Апр'!$B$8,'Май'!$B$8,'Июн'!$B$8,'Июл'!$B$8,'Авг'!$B$8,'Сен'!$B$8,'Окт'!$B$8,'Ноя'!$B$8,'Дек'!$B$8)=TRUE,"✓",""))</f>
        <v/>
      </c>
      <c r="E5" s="51">
        <f>IF('Старт'!$B$12="","",IF(CHOOSE(MATCH($B$2,'Списки'!$H$2:$H$13,0),'Янв'!$B$9,'Фев'!$B$9,'Мар'!$B$9,'Апр'!$B$9,'Май'!$B$9,'Июн'!$B$9,'Июл'!$B$9,'Авг'!$B$9,'Сен'!$B$9,'Окт'!$B$9,'Ноя'!$B$9,'Дек'!$B$9)=TRUE,"✓",""))</f>
        <v/>
      </c>
      <c r="F5" s="51">
        <f>IF('Старт'!$B$12="","",IF(CHOOSE(MATCH($B$2,'Списки'!$H$2:$H$13,0),'Янв'!$B$10,'Фев'!$B$10,'Мар'!$B$10,'Апр'!$B$10,'Май'!$B$10,'Июн'!$B$10,'Июл'!$B$10,'Авг'!$B$10,'Сен'!$B$10,'Окт'!$B$10,'Ноя'!$B$10,'Дек'!$B$10)=TRUE,"✓",""))</f>
        <v/>
      </c>
      <c r="G5" s="51">
        <f>IF('Старт'!$B$12="","",IF(CHOOSE(MATCH($B$2,'Списки'!$H$2:$H$13,0),'Янв'!$B$11,'Фев'!$B$11,'Мар'!$B$11,'Апр'!$B$11,'Май'!$B$11,'Июн'!$B$11,'Июл'!$B$11,'Авг'!$B$11,'Сен'!$B$11,'Окт'!$B$11,'Ноя'!$B$11,'Дек'!$B$11)=TRUE,"✓",""))</f>
        <v/>
      </c>
      <c r="H5" s="51">
        <f>IF('Старт'!$B$12="","",IF(CHOOSE(MATCH($B$2,'Списки'!$H$2:$H$13,0),'Янв'!$B$12,'Фев'!$B$12,'Мар'!$B$12,'Апр'!$B$12,'Май'!$B$12,'Июн'!$B$12,'Июл'!$B$12,'Авг'!$B$12,'Сен'!$B$12,'Окт'!$B$12,'Ноя'!$B$12,'Дек'!$B$12)=TRUE,"✓",""))</f>
        <v/>
      </c>
      <c r="I5" s="51">
        <f>IF('Старт'!$B$12="","",IF(CHOOSE(MATCH($B$2,'Списки'!$H$2:$H$13,0),'Янв'!$B$13,'Фев'!$B$13,'Мар'!$B$13,'Апр'!$B$13,'Май'!$B$13,'Июн'!$B$13,'Июл'!$B$13,'Авг'!$B$13,'Сен'!$B$13,'Окт'!$B$13,'Ноя'!$B$13,'Дек'!$B$13)=TRUE,"✓",""))</f>
        <v/>
      </c>
      <c r="J5" s="51">
        <f>IF('Старт'!$B$12="","",IF(CHOOSE(MATCH($B$2,'Списки'!$H$2:$H$13,0),'Янв'!$B$14,'Фев'!$B$14,'Мар'!$B$14,'Апр'!$B$14,'Май'!$B$14,'Июн'!$B$14,'Июл'!$B$14,'Авг'!$B$14,'Сен'!$B$14,'Окт'!$B$14,'Ноя'!$B$14,'Дек'!$B$14)=TRUE,"✓",""))</f>
        <v/>
      </c>
      <c r="K5" s="51">
        <f>IF('Старт'!$B$12="","",IF(CHOOSE(MATCH($B$2,'Списки'!$H$2:$H$13,0),'Янв'!$B$15,'Фев'!$B$15,'Мар'!$B$15,'Апр'!$B$15,'Май'!$B$15,'Июн'!$B$15,'Июл'!$B$15,'Авг'!$B$15,'Сен'!$B$15,'Окт'!$B$15,'Ноя'!$B$15,'Дек'!$B$15)=TRUE,"✓",""))</f>
        <v/>
      </c>
      <c r="L5" s="51">
        <f>IF('Старт'!$B$12="","",IF(CHOOSE(MATCH($B$2,'Списки'!$H$2:$H$13,0),'Янв'!$B$16,'Фев'!$B$16,'Мар'!$B$16,'Апр'!$B$16,'Май'!$B$16,'Июн'!$B$16,'Июл'!$B$16,'Авг'!$B$16,'Сен'!$B$16,'Окт'!$B$16,'Ноя'!$B$16,'Дек'!$B$16)=TRUE,"✓",""))</f>
        <v/>
      </c>
      <c r="M5" s="51">
        <f>IF('Старт'!$B$12="","",IF(CHOOSE(MATCH($B$2,'Списки'!$H$2:$H$13,0),'Янв'!$B$17,'Фев'!$B$17,'Мар'!$B$17,'Апр'!$B$17,'Май'!$B$17,'Июн'!$B$17,'Июл'!$B$17,'Авг'!$B$17,'Сен'!$B$17,'Окт'!$B$17,'Ноя'!$B$17,'Дек'!$B$17)=TRUE,"✓",""))</f>
        <v/>
      </c>
      <c r="N5" s="51">
        <f>IF('Старт'!$B$12="","",IF(CHOOSE(MATCH($B$2,'Списки'!$H$2:$H$13,0),'Янв'!$B$18,'Фев'!$B$18,'Мар'!$B$18,'Апр'!$B$18,'Май'!$B$18,'Июн'!$B$18,'Июл'!$B$18,'Авг'!$B$18,'Сен'!$B$18,'Окт'!$B$18,'Ноя'!$B$18,'Дек'!$B$18)=TRUE,"✓",""))</f>
        <v/>
      </c>
      <c r="O5" s="51">
        <f>IF('Старт'!$B$12="","",IF(CHOOSE(MATCH($B$2,'Списки'!$H$2:$H$13,0),'Янв'!$B$19,'Фев'!$B$19,'Мар'!$B$19,'Апр'!$B$19,'Май'!$B$19,'Июн'!$B$19,'Июл'!$B$19,'Авг'!$B$19,'Сен'!$B$19,'Окт'!$B$19,'Ноя'!$B$19,'Дек'!$B$19)=TRUE,"✓",""))</f>
        <v/>
      </c>
      <c r="P5" s="51">
        <f>IF('Старт'!$B$12="","",IF(CHOOSE(MATCH($B$2,'Списки'!$H$2:$H$13,0),'Янв'!$B$20,'Фев'!$B$20,'Мар'!$B$20,'Апр'!$B$20,'Май'!$B$20,'Июн'!$B$20,'Июл'!$B$20,'Авг'!$B$20,'Сен'!$B$20,'Окт'!$B$20,'Ноя'!$B$20,'Дек'!$B$20)=TRUE,"✓",""))</f>
        <v/>
      </c>
      <c r="Q5" s="51">
        <f>IF('Старт'!$B$12="","",IF(CHOOSE(MATCH($B$2,'Списки'!$H$2:$H$13,0),'Янв'!$B$21,'Фев'!$B$21,'Мар'!$B$21,'Апр'!$B$21,'Май'!$B$21,'Июн'!$B$21,'Июл'!$B$21,'Авг'!$B$21,'Сен'!$B$21,'Окт'!$B$21,'Ноя'!$B$21,'Дек'!$B$21)=TRUE,"✓",""))</f>
        <v/>
      </c>
      <c r="R5" s="51">
        <f>IF('Старт'!$B$12="","",IF(CHOOSE(MATCH($B$2,'Списки'!$H$2:$H$13,0),'Янв'!$B$22,'Фев'!$B$22,'Мар'!$B$22,'Апр'!$B$22,'Май'!$B$22,'Июн'!$B$22,'Июл'!$B$22,'Авг'!$B$22,'Сен'!$B$22,'Окт'!$B$22,'Ноя'!$B$22,'Дек'!$B$22)=TRUE,"✓",""))</f>
        <v/>
      </c>
      <c r="S5" s="51">
        <f>IF('Старт'!$B$12="","",IF(CHOOSE(MATCH($B$2,'Списки'!$H$2:$H$13,0),'Янв'!$B$23,'Фев'!$B$23,'Мар'!$B$23,'Апр'!$B$23,'Май'!$B$23,'Июн'!$B$23,'Июл'!$B$23,'Авг'!$B$23,'Сен'!$B$23,'Окт'!$B$23,'Ноя'!$B$23,'Дек'!$B$23)=TRUE,"✓",""))</f>
        <v/>
      </c>
      <c r="T5" s="51">
        <f>IF('Старт'!$B$12="","",IF(CHOOSE(MATCH($B$2,'Списки'!$H$2:$H$13,0),'Янв'!$B$24,'Фев'!$B$24,'Мар'!$B$24,'Апр'!$B$24,'Май'!$B$24,'Июн'!$B$24,'Июл'!$B$24,'Авг'!$B$24,'Сен'!$B$24,'Окт'!$B$24,'Ноя'!$B$24,'Дек'!$B$24)=TRUE,"✓",""))</f>
        <v/>
      </c>
      <c r="U5" s="51">
        <f>IF('Старт'!$B$12="","",IF(CHOOSE(MATCH($B$2,'Списки'!$H$2:$H$13,0),'Янв'!$B$25,'Фев'!$B$25,'Мар'!$B$25,'Апр'!$B$25,'Май'!$B$25,'Июн'!$B$25,'Июл'!$B$25,'Авг'!$B$25,'Сен'!$B$25,'Окт'!$B$25,'Ноя'!$B$25,'Дек'!$B$25)=TRUE,"✓",""))</f>
        <v/>
      </c>
      <c r="V5" s="51">
        <f>IF('Старт'!$B$12="","",IF(CHOOSE(MATCH($B$2,'Списки'!$H$2:$H$13,0),'Янв'!$B$26,'Фев'!$B$26,'Мар'!$B$26,'Апр'!$B$26,'Май'!$B$26,'Июн'!$B$26,'Июл'!$B$26,'Авг'!$B$26,'Сен'!$B$26,'Окт'!$B$26,'Ноя'!$B$26,'Дек'!$B$26)=TRUE,"✓",""))</f>
        <v/>
      </c>
      <c r="W5" s="51">
        <f>IF('Старт'!$B$12="","",IF(CHOOSE(MATCH($B$2,'Списки'!$H$2:$H$13,0),'Янв'!$B$27,'Фев'!$B$27,'Мар'!$B$27,'Апр'!$B$27,'Май'!$B$27,'Июн'!$B$27,'Июл'!$B$27,'Авг'!$B$27,'Сен'!$B$27,'Окт'!$B$27,'Ноя'!$B$27,'Дек'!$B$27)=TRUE,"✓",""))</f>
        <v/>
      </c>
      <c r="X5" s="51">
        <f>IF('Старт'!$B$12="","",IF(CHOOSE(MATCH($B$2,'Списки'!$H$2:$H$13,0),'Янв'!$B$28,'Фев'!$B$28,'Мар'!$B$28,'Апр'!$B$28,'Май'!$B$28,'Июн'!$B$28,'Июл'!$B$28,'Авг'!$B$28,'Сен'!$B$28,'Окт'!$B$28,'Ноя'!$B$28,'Дек'!$B$28)=TRUE,"✓",""))</f>
        <v/>
      </c>
      <c r="Y5" s="51">
        <f>IF('Старт'!$B$12="","",IF(CHOOSE(MATCH($B$2,'Списки'!$H$2:$H$13,0),'Янв'!$B$29,'Фев'!$B$29,'Мар'!$B$29,'Апр'!$B$29,'Май'!$B$29,'Июн'!$B$29,'Июл'!$B$29,'Авг'!$B$29,'Сен'!$B$29,'Окт'!$B$29,'Ноя'!$B$29,'Дек'!$B$29)=TRUE,"✓",""))</f>
        <v/>
      </c>
      <c r="Z5" s="51">
        <f>IF('Старт'!$B$12="","",IF(CHOOSE(MATCH($B$2,'Списки'!$H$2:$H$13,0),'Янв'!$B$30,'Фев'!$B$30,'Мар'!$B$30,'Апр'!$B$30,'Май'!$B$30,'Июн'!$B$30,'Июл'!$B$30,'Авг'!$B$30,'Сен'!$B$30,'Окт'!$B$30,'Ноя'!$B$30,'Дек'!$B$30)=TRUE,"✓",""))</f>
        <v/>
      </c>
      <c r="AA5" s="51">
        <f>IF('Старт'!$B$12="","",IF(CHOOSE(MATCH($B$2,'Списки'!$H$2:$H$13,0),'Янв'!$B$31,'Фев'!$B$31,'Мар'!$B$31,'Апр'!$B$31,'Май'!$B$31,'Июн'!$B$31,'Июл'!$B$31,'Авг'!$B$31,'Сен'!$B$31,'Окт'!$B$31,'Ноя'!$B$31,'Дек'!$B$31)=TRUE,"✓",""))</f>
        <v/>
      </c>
      <c r="AB5" s="51">
        <f>IF('Старт'!$B$12="","",IF(CHOOSE(MATCH($B$2,'Списки'!$H$2:$H$13,0),'Янв'!$B$32,'Фев'!$B$32,'Мар'!$B$32,'Апр'!$B$32,'Май'!$B$32,'Июн'!$B$32,'Июл'!$B$32,'Авг'!$B$32,'Сен'!$B$32,'Окт'!$B$32,'Ноя'!$B$32,'Дек'!$B$32)=TRUE,"✓",""))</f>
        <v/>
      </c>
      <c r="AC5" s="51">
        <f>IF('Старт'!$B$12="","",IF(CHOOSE(MATCH($B$2,'Списки'!$H$2:$H$13,0),'Янв'!$B$33,'Фев'!$B$33,'Мар'!$B$33,'Апр'!$B$33,'Май'!$B$33,'Июн'!$B$33,'Июл'!$B$33,'Авг'!$B$33,'Сен'!$B$33,'Окт'!$B$33,'Ноя'!$B$33,'Дек'!$B$33)=TRUE,"✓",""))</f>
        <v/>
      </c>
      <c r="AD5" s="51">
        <f>IF('Старт'!$B$12="","",IF(CHOOSE(MATCH($B$2,'Списки'!$H$2:$H$13,0),'Янв'!$B$34,'Фев'!$B$34,'Мар'!$B$34,'Апр'!$B$34,'Май'!$B$34,'Июн'!$B$34,'Июл'!$B$34,'Авг'!$B$34,'Сен'!$B$34,'Окт'!$B$34,'Ноя'!$B$34,'Дек'!$B$34)=TRUE,"✓",""))</f>
        <v/>
      </c>
      <c r="AE5" s="51">
        <f>IF('Старт'!$B$12="","",IF(CHOOSE(MATCH($B$2,'Списки'!$H$2:$H$13,0),'Янв'!$B$35,'Фев'!$B$35,'Мар'!$B$35,'Апр'!$B$35,'Май'!$B$35,'Июн'!$B$35,'Июл'!$B$35,'Авг'!$B$35,'Сен'!$B$35,'Окт'!$B$35,'Ноя'!$B$35,'Дек'!$B$35)=TRUE,"✓",""))</f>
        <v/>
      </c>
      <c r="AF5" s="51">
        <f>IF('Старт'!$B$12="","",IF(CHOOSE(MATCH($B$2,'Списки'!$H$2:$H$13,0),'Янв'!$B$36,'Фев'!$B$36,'Мар'!$B$36,'Апр'!$B$36,'Май'!$B$36,'Июн'!$B$36,'Июл'!$B$36,'Авг'!$B$36,'Сен'!$B$36,'Окт'!$B$36,'Ноя'!$B$36,'Дек'!$B$36)=TRUE,"✓",""))</f>
        <v/>
      </c>
    </row>
    <row r="6" spans="1:32" ht="25.5" customHeight="1">
      <c r="A6" s="29">
        <f>IF('Старт'!$B$13="","",'Старт'!$B$13)</f>
        <v/>
      </c>
      <c r="B6" s="51">
        <f>IF('Старт'!$B$13="","",IF(CHOOSE(MATCH($B$2,'Списки'!$H$2:$H$13,0),'Янв'!$C$6,'Фев'!$C$6,'Мар'!$C$6,'Апр'!$C$6,'Май'!$C$6,'Июн'!$C$6,'Июл'!$C$6,'Авг'!$C$6,'Сен'!$C$6,'Окт'!$C$6,'Ноя'!$C$6,'Дек'!$C$6)=TRUE,"✓",""))</f>
        <v/>
      </c>
      <c r="C6" s="51">
        <f>IF('Старт'!$B$13="","",IF(CHOOSE(MATCH($B$2,'Списки'!$H$2:$H$13,0),'Янв'!$C$7,'Фев'!$C$7,'Мар'!$C$7,'Апр'!$C$7,'Май'!$C$7,'Июн'!$C$7,'Июл'!$C$7,'Авг'!$C$7,'Сен'!$C$7,'Окт'!$C$7,'Ноя'!$C$7,'Дек'!$C$7)=TRUE,"✓",""))</f>
        <v/>
      </c>
      <c r="D6" s="51">
        <f>IF('Старт'!$B$13="","",IF(CHOOSE(MATCH($B$2,'Списки'!$H$2:$H$13,0),'Янв'!$C$8,'Фев'!$C$8,'Мар'!$C$8,'Апр'!$C$8,'Май'!$C$8,'Июн'!$C$8,'Июл'!$C$8,'Авг'!$C$8,'Сен'!$C$8,'Окт'!$C$8,'Ноя'!$C$8,'Дек'!$C$8)=TRUE,"✓",""))</f>
        <v/>
      </c>
      <c r="E6" s="51">
        <f>IF('Старт'!$B$13="","",IF(CHOOSE(MATCH($B$2,'Списки'!$H$2:$H$13,0),'Янв'!$C$9,'Фев'!$C$9,'Мар'!$C$9,'Апр'!$C$9,'Май'!$C$9,'Июн'!$C$9,'Июл'!$C$9,'Авг'!$C$9,'Сен'!$C$9,'Окт'!$C$9,'Ноя'!$C$9,'Дек'!$C$9)=TRUE,"✓",""))</f>
        <v/>
      </c>
      <c r="F6" s="51">
        <f>IF('Старт'!$B$13="","",IF(CHOOSE(MATCH($B$2,'Списки'!$H$2:$H$13,0),'Янв'!$C$10,'Фев'!$C$10,'Мар'!$C$10,'Апр'!$C$10,'Май'!$C$10,'Июн'!$C$10,'Июл'!$C$10,'Авг'!$C$10,'Сен'!$C$10,'Окт'!$C$10,'Ноя'!$C$10,'Дек'!$C$10)=TRUE,"✓",""))</f>
        <v/>
      </c>
      <c r="G6" s="51">
        <f>IF('Старт'!$B$13="","",IF(CHOOSE(MATCH($B$2,'Списки'!$H$2:$H$13,0),'Янв'!$C$11,'Фев'!$C$11,'Мар'!$C$11,'Апр'!$C$11,'Май'!$C$11,'Июн'!$C$11,'Июл'!$C$11,'Авг'!$C$11,'Сен'!$C$11,'Окт'!$C$11,'Ноя'!$C$11,'Дек'!$C$11)=TRUE,"✓",""))</f>
        <v/>
      </c>
      <c r="H6" s="51">
        <f>IF('Старт'!$B$13="","",IF(CHOOSE(MATCH($B$2,'Списки'!$H$2:$H$13,0),'Янв'!$C$12,'Фев'!$C$12,'Мар'!$C$12,'Апр'!$C$12,'Май'!$C$12,'Июн'!$C$12,'Июл'!$C$12,'Авг'!$C$12,'Сен'!$C$12,'Окт'!$C$12,'Ноя'!$C$12,'Дек'!$C$12)=TRUE,"✓",""))</f>
        <v/>
      </c>
      <c r="I6" s="51">
        <f>IF('Старт'!$B$13="","",IF(CHOOSE(MATCH($B$2,'Списки'!$H$2:$H$13,0),'Янв'!$C$13,'Фев'!$C$13,'Мар'!$C$13,'Апр'!$C$13,'Май'!$C$13,'Июн'!$C$13,'Июл'!$C$13,'Авг'!$C$13,'Сен'!$C$13,'Окт'!$C$13,'Ноя'!$C$13,'Дек'!$C$13)=TRUE,"✓",""))</f>
        <v/>
      </c>
      <c r="J6" s="51">
        <f>IF('Старт'!$B$13="","",IF(CHOOSE(MATCH($B$2,'Списки'!$H$2:$H$13,0),'Янв'!$C$14,'Фев'!$C$14,'Мар'!$C$14,'Апр'!$C$14,'Май'!$C$14,'Июн'!$C$14,'Июл'!$C$14,'Авг'!$C$14,'Сен'!$C$14,'Окт'!$C$14,'Ноя'!$C$14,'Дек'!$C$14)=TRUE,"✓",""))</f>
        <v/>
      </c>
      <c r="K6" s="51">
        <f>IF('Старт'!$B$13="","",IF(CHOOSE(MATCH($B$2,'Списки'!$H$2:$H$13,0),'Янв'!$C$15,'Фев'!$C$15,'Мар'!$C$15,'Апр'!$C$15,'Май'!$C$15,'Июн'!$C$15,'Июл'!$C$15,'Авг'!$C$15,'Сен'!$C$15,'Окт'!$C$15,'Ноя'!$C$15,'Дек'!$C$15)=TRUE,"✓",""))</f>
        <v/>
      </c>
      <c r="L6" s="51">
        <f>IF('Старт'!$B$13="","",IF(CHOOSE(MATCH($B$2,'Списки'!$H$2:$H$13,0),'Янв'!$C$16,'Фев'!$C$16,'Мар'!$C$16,'Апр'!$C$16,'Май'!$C$16,'Июн'!$C$16,'Июл'!$C$16,'Авг'!$C$16,'Сен'!$C$16,'Окт'!$C$16,'Ноя'!$C$16,'Дек'!$C$16)=TRUE,"✓",""))</f>
        <v/>
      </c>
      <c r="M6" s="51">
        <f>IF('Старт'!$B$13="","",IF(CHOOSE(MATCH($B$2,'Списки'!$H$2:$H$13,0),'Янв'!$C$17,'Фев'!$C$17,'Мар'!$C$17,'Апр'!$C$17,'Май'!$C$17,'Июн'!$C$17,'Июл'!$C$17,'Авг'!$C$17,'Сен'!$C$17,'Окт'!$C$17,'Ноя'!$C$17,'Дек'!$C$17)=TRUE,"✓",""))</f>
        <v/>
      </c>
      <c r="N6" s="51">
        <f>IF('Старт'!$B$13="","",IF(CHOOSE(MATCH($B$2,'Списки'!$H$2:$H$13,0),'Янв'!$C$18,'Фев'!$C$18,'Мар'!$C$18,'Апр'!$C$18,'Май'!$C$18,'Июн'!$C$18,'Июл'!$C$18,'Авг'!$C$18,'Сен'!$C$18,'Окт'!$C$18,'Ноя'!$C$18,'Дек'!$C$18)=TRUE,"✓",""))</f>
        <v/>
      </c>
      <c r="O6" s="51">
        <f>IF('Старт'!$B$13="","",IF(CHOOSE(MATCH($B$2,'Списки'!$H$2:$H$13,0),'Янв'!$C$19,'Фев'!$C$19,'Мар'!$C$19,'Апр'!$C$19,'Май'!$C$19,'Июн'!$C$19,'Июл'!$C$19,'Авг'!$C$19,'Сен'!$C$19,'Окт'!$C$19,'Ноя'!$C$19,'Дек'!$C$19)=TRUE,"✓",""))</f>
        <v/>
      </c>
      <c r="P6" s="51">
        <f>IF('Старт'!$B$13="","",IF(CHOOSE(MATCH($B$2,'Списки'!$H$2:$H$13,0),'Янв'!$C$20,'Фев'!$C$20,'Мар'!$C$20,'Апр'!$C$20,'Май'!$C$20,'Июн'!$C$20,'Июл'!$C$20,'Авг'!$C$20,'Сен'!$C$20,'Окт'!$C$20,'Ноя'!$C$20,'Дек'!$C$20)=TRUE,"✓",""))</f>
        <v/>
      </c>
      <c r="Q6" s="51">
        <f>IF('Старт'!$B$13="","",IF(CHOOSE(MATCH($B$2,'Списки'!$H$2:$H$13,0),'Янв'!$C$21,'Фев'!$C$21,'Мар'!$C$21,'Апр'!$C$21,'Май'!$C$21,'Июн'!$C$21,'Июл'!$C$21,'Авг'!$C$21,'Сен'!$C$21,'Окт'!$C$21,'Ноя'!$C$21,'Дек'!$C$21)=TRUE,"✓",""))</f>
        <v/>
      </c>
      <c r="R6" s="51">
        <f>IF('Старт'!$B$13="","",IF(CHOOSE(MATCH($B$2,'Списки'!$H$2:$H$13,0),'Янв'!$C$22,'Фев'!$C$22,'Мар'!$C$22,'Апр'!$C$22,'Май'!$C$22,'Июн'!$C$22,'Июл'!$C$22,'Авг'!$C$22,'Сен'!$C$22,'Окт'!$C$22,'Ноя'!$C$22,'Дек'!$C$22)=TRUE,"✓",""))</f>
        <v/>
      </c>
      <c r="S6" s="51">
        <f>IF('Старт'!$B$13="","",IF(CHOOSE(MATCH($B$2,'Списки'!$H$2:$H$13,0),'Янв'!$C$23,'Фев'!$C$23,'Мар'!$C$23,'Апр'!$C$23,'Май'!$C$23,'Июн'!$C$23,'Июл'!$C$23,'Авг'!$C$23,'Сен'!$C$23,'Окт'!$C$23,'Ноя'!$C$23,'Дек'!$C$23)=TRUE,"✓",""))</f>
        <v/>
      </c>
      <c r="T6" s="51">
        <f>IF('Старт'!$B$13="","",IF(CHOOSE(MATCH($B$2,'Списки'!$H$2:$H$13,0),'Янв'!$C$24,'Фев'!$C$24,'Мар'!$C$24,'Апр'!$C$24,'Май'!$C$24,'Июн'!$C$24,'Июл'!$C$24,'Авг'!$C$24,'Сен'!$C$24,'Окт'!$C$24,'Ноя'!$C$24,'Дек'!$C$24)=TRUE,"✓",""))</f>
        <v/>
      </c>
      <c r="U6" s="51">
        <f>IF('Старт'!$B$13="","",IF(CHOOSE(MATCH($B$2,'Списки'!$H$2:$H$13,0),'Янв'!$C$25,'Фев'!$C$25,'Мар'!$C$25,'Апр'!$C$25,'Май'!$C$25,'Июн'!$C$25,'Июл'!$C$25,'Авг'!$C$25,'Сен'!$C$25,'Окт'!$C$25,'Ноя'!$C$25,'Дек'!$C$25)=TRUE,"✓",""))</f>
        <v/>
      </c>
      <c r="V6" s="51">
        <f>IF('Старт'!$B$13="","",IF(CHOOSE(MATCH($B$2,'Списки'!$H$2:$H$13,0),'Янв'!$C$26,'Фев'!$C$26,'Мар'!$C$26,'Апр'!$C$26,'Май'!$C$26,'Июн'!$C$26,'Июл'!$C$26,'Авг'!$C$26,'Сен'!$C$26,'Окт'!$C$26,'Ноя'!$C$26,'Дек'!$C$26)=TRUE,"✓",""))</f>
        <v/>
      </c>
      <c r="W6" s="51">
        <f>IF('Старт'!$B$13="","",IF(CHOOSE(MATCH($B$2,'Списки'!$H$2:$H$13,0),'Янв'!$C$27,'Фев'!$C$27,'Мар'!$C$27,'Апр'!$C$27,'Май'!$C$27,'Июн'!$C$27,'Июл'!$C$27,'Авг'!$C$27,'Сен'!$C$27,'Окт'!$C$27,'Ноя'!$C$27,'Дек'!$C$27)=TRUE,"✓",""))</f>
        <v/>
      </c>
      <c r="X6" s="51">
        <f>IF('Старт'!$B$13="","",IF(CHOOSE(MATCH($B$2,'Списки'!$H$2:$H$13,0),'Янв'!$C$28,'Фев'!$C$28,'Мар'!$C$28,'Апр'!$C$28,'Май'!$C$28,'Июн'!$C$28,'Июл'!$C$28,'Авг'!$C$28,'Сен'!$C$28,'Окт'!$C$28,'Ноя'!$C$28,'Дек'!$C$28)=TRUE,"✓",""))</f>
        <v/>
      </c>
      <c r="Y6" s="51">
        <f>IF('Старт'!$B$13="","",IF(CHOOSE(MATCH($B$2,'Списки'!$H$2:$H$13,0),'Янв'!$C$29,'Фев'!$C$29,'Мар'!$C$29,'Апр'!$C$29,'Май'!$C$29,'Июн'!$C$29,'Июл'!$C$29,'Авг'!$C$29,'Сен'!$C$29,'Окт'!$C$29,'Ноя'!$C$29,'Дек'!$C$29)=TRUE,"✓",""))</f>
        <v/>
      </c>
      <c r="Z6" s="51">
        <f>IF('Старт'!$B$13="","",IF(CHOOSE(MATCH($B$2,'Списки'!$H$2:$H$13,0),'Янв'!$C$30,'Фев'!$C$30,'Мар'!$C$30,'Апр'!$C$30,'Май'!$C$30,'Июн'!$C$30,'Июл'!$C$30,'Авг'!$C$30,'Сен'!$C$30,'Окт'!$C$30,'Ноя'!$C$30,'Дек'!$C$30)=TRUE,"✓",""))</f>
        <v/>
      </c>
      <c r="AA6" s="51">
        <f>IF('Старт'!$B$13="","",IF(CHOOSE(MATCH($B$2,'Списки'!$H$2:$H$13,0),'Янв'!$C$31,'Фев'!$C$31,'Мар'!$C$31,'Апр'!$C$31,'Май'!$C$31,'Июн'!$C$31,'Июл'!$C$31,'Авг'!$C$31,'Сен'!$C$31,'Окт'!$C$31,'Ноя'!$C$31,'Дек'!$C$31)=TRUE,"✓",""))</f>
        <v/>
      </c>
      <c r="AB6" s="51">
        <f>IF('Старт'!$B$13="","",IF(CHOOSE(MATCH($B$2,'Списки'!$H$2:$H$13,0),'Янв'!$C$32,'Фев'!$C$32,'Мар'!$C$32,'Апр'!$C$32,'Май'!$C$32,'Июн'!$C$32,'Июл'!$C$32,'Авг'!$C$32,'Сен'!$C$32,'Окт'!$C$32,'Ноя'!$C$32,'Дек'!$C$32)=TRUE,"✓",""))</f>
        <v/>
      </c>
      <c r="AC6" s="51">
        <f>IF('Старт'!$B$13="","",IF(CHOOSE(MATCH($B$2,'Списки'!$H$2:$H$13,0),'Янв'!$C$33,'Фев'!$C$33,'Мар'!$C$33,'Апр'!$C$33,'Май'!$C$33,'Июн'!$C$33,'Июл'!$C$33,'Авг'!$C$33,'Сен'!$C$33,'Окт'!$C$33,'Ноя'!$C$33,'Дек'!$C$33)=TRUE,"✓",""))</f>
        <v/>
      </c>
      <c r="AD6" s="51">
        <f>IF('Старт'!$B$13="","",IF(CHOOSE(MATCH($B$2,'Списки'!$H$2:$H$13,0),'Янв'!$C$34,'Фев'!$C$34,'Мар'!$C$34,'Апр'!$C$34,'Май'!$C$34,'Июн'!$C$34,'Июл'!$C$34,'Авг'!$C$34,'Сен'!$C$34,'Окт'!$C$34,'Ноя'!$C$34,'Дек'!$C$34)=TRUE,"✓",""))</f>
        <v/>
      </c>
      <c r="AE6" s="51">
        <f>IF('Старт'!$B$13="","",IF(CHOOSE(MATCH($B$2,'Списки'!$H$2:$H$13,0),'Янв'!$C$35,'Фев'!$C$35,'Мар'!$C$35,'Апр'!$C$35,'Май'!$C$35,'Июн'!$C$35,'Июл'!$C$35,'Авг'!$C$35,'Сен'!$C$35,'Окт'!$C$35,'Ноя'!$C$35,'Дек'!$C$35)=TRUE,"✓",""))</f>
        <v/>
      </c>
      <c r="AF6" s="51">
        <f>IF('Старт'!$B$13="","",IF(CHOOSE(MATCH($B$2,'Списки'!$H$2:$H$13,0),'Янв'!$C$36,'Фев'!$C$36,'Мар'!$C$36,'Апр'!$C$36,'Май'!$C$36,'Июн'!$C$36,'Июл'!$C$36,'Авг'!$C$36,'Сен'!$C$36,'Окт'!$C$36,'Ноя'!$C$36,'Дек'!$C$36)=TRUE,"✓",""))</f>
        <v/>
      </c>
    </row>
    <row r="7" spans="1:32" ht="25.5" customHeight="1">
      <c r="A7" s="29">
        <f>IF('Старт'!$B$14="","",'Старт'!$B$14)</f>
        <v/>
      </c>
      <c r="B7" s="51">
        <f>IF('Старт'!$B$14="","",IF(CHOOSE(MATCH($B$2,'Списки'!$H$2:$H$13,0),'Янв'!$D$6,'Фев'!$D$6,'Мар'!$D$6,'Апр'!$D$6,'Май'!$D$6,'Июн'!$D$6,'Июл'!$D$6,'Авг'!$D$6,'Сен'!$D$6,'Окт'!$D$6,'Ноя'!$D$6,'Дек'!$D$6)=TRUE,"✓",""))</f>
        <v/>
      </c>
      <c r="C7" s="51">
        <f>IF('Старт'!$B$14="","",IF(CHOOSE(MATCH($B$2,'Списки'!$H$2:$H$13,0),'Янв'!$D$7,'Фев'!$D$7,'Мар'!$D$7,'Апр'!$D$7,'Май'!$D$7,'Июн'!$D$7,'Июл'!$D$7,'Авг'!$D$7,'Сен'!$D$7,'Окт'!$D$7,'Ноя'!$D$7,'Дек'!$D$7)=TRUE,"✓",""))</f>
        <v/>
      </c>
      <c r="D7" s="51">
        <f>IF('Старт'!$B$14="","",IF(CHOOSE(MATCH($B$2,'Списки'!$H$2:$H$13,0),'Янв'!$D$8,'Фев'!$D$8,'Мар'!$D$8,'Апр'!$D$8,'Май'!$D$8,'Июн'!$D$8,'Июл'!$D$8,'Авг'!$D$8,'Сен'!$D$8,'Окт'!$D$8,'Ноя'!$D$8,'Дек'!$D$8)=TRUE,"✓",""))</f>
        <v/>
      </c>
      <c r="E7" s="51">
        <f>IF('Старт'!$B$14="","",IF(CHOOSE(MATCH($B$2,'Списки'!$H$2:$H$13,0),'Янв'!$D$9,'Фев'!$D$9,'Мар'!$D$9,'Апр'!$D$9,'Май'!$D$9,'Июн'!$D$9,'Июл'!$D$9,'Авг'!$D$9,'Сен'!$D$9,'Окт'!$D$9,'Ноя'!$D$9,'Дек'!$D$9)=TRUE,"✓",""))</f>
        <v/>
      </c>
      <c r="F7" s="51">
        <f>IF('Старт'!$B$14="","",IF(CHOOSE(MATCH($B$2,'Списки'!$H$2:$H$13,0),'Янв'!$D$10,'Фев'!$D$10,'Мар'!$D$10,'Апр'!$D$10,'Май'!$D$10,'Июн'!$D$10,'Июл'!$D$10,'Авг'!$D$10,'Сен'!$D$10,'Окт'!$D$10,'Ноя'!$D$10,'Дек'!$D$10)=TRUE,"✓",""))</f>
        <v/>
      </c>
      <c r="G7" s="51">
        <f>IF('Старт'!$B$14="","",IF(CHOOSE(MATCH($B$2,'Списки'!$H$2:$H$13,0),'Янв'!$D$11,'Фев'!$D$11,'Мар'!$D$11,'Апр'!$D$11,'Май'!$D$11,'Июн'!$D$11,'Июл'!$D$11,'Авг'!$D$11,'Сен'!$D$11,'Окт'!$D$11,'Ноя'!$D$11,'Дек'!$D$11)=TRUE,"✓",""))</f>
        <v/>
      </c>
      <c r="H7" s="51">
        <f>IF('Старт'!$B$14="","",IF(CHOOSE(MATCH($B$2,'Списки'!$H$2:$H$13,0),'Янв'!$D$12,'Фев'!$D$12,'Мар'!$D$12,'Апр'!$D$12,'Май'!$D$12,'Июн'!$D$12,'Июл'!$D$12,'Авг'!$D$12,'Сен'!$D$12,'Окт'!$D$12,'Ноя'!$D$12,'Дек'!$D$12)=TRUE,"✓",""))</f>
        <v/>
      </c>
      <c r="I7" s="51">
        <f>IF('Старт'!$B$14="","",IF(CHOOSE(MATCH($B$2,'Списки'!$H$2:$H$13,0),'Янв'!$D$13,'Фев'!$D$13,'Мар'!$D$13,'Апр'!$D$13,'Май'!$D$13,'Июн'!$D$13,'Июл'!$D$13,'Авг'!$D$13,'Сен'!$D$13,'Окт'!$D$13,'Ноя'!$D$13,'Дек'!$D$13)=TRUE,"✓",""))</f>
        <v/>
      </c>
      <c r="J7" s="51">
        <f>IF('Старт'!$B$14="","",IF(CHOOSE(MATCH($B$2,'Списки'!$H$2:$H$13,0),'Янв'!$D$14,'Фев'!$D$14,'Мар'!$D$14,'Апр'!$D$14,'Май'!$D$14,'Июн'!$D$14,'Июл'!$D$14,'Авг'!$D$14,'Сен'!$D$14,'Окт'!$D$14,'Ноя'!$D$14,'Дек'!$D$14)=TRUE,"✓",""))</f>
        <v/>
      </c>
      <c r="K7" s="51">
        <f>IF('Старт'!$B$14="","",IF(CHOOSE(MATCH($B$2,'Списки'!$H$2:$H$13,0),'Янв'!$D$15,'Фев'!$D$15,'Мар'!$D$15,'Апр'!$D$15,'Май'!$D$15,'Июн'!$D$15,'Июл'!$D$15,'Авг'!$D$15,'Сен'!$D$15,'Окт'!$D$15,'Ноя'!$D$15,'Дек'!$D$15)=TRUE,"✓",""))</f>
        <v/>
      </c>
      <c r="L7" s="51">
        <f>IF('Старт'!$B$14="","",IF(CHOOSE(MATCH($B$2,'Списки'!$H$2:$H$13,0),'Янв'!$D$16,'Фев'!$D$16,'Мар'!$D$16,'Апр'!$D$16,'Май'!$D$16,'Июн'!$D$16,'Июл'!$D$16,'Авг'!$D$16,'Сен'!$D$16,'Окт'!$D$16,'Ноя'!$D$16,'Дек'!$D$16)=TRUE,"✓",""))</f>
        <v/>
      </c>
      <c r="M7" s="51">
        <f>IF('Старт'!$B$14="","",IF(CHOOSE(MATCH($B$2,'Списки'!$H$2:$H$13,0),'Янв'!$D$17,'Фев'!$D$17,'Мар'!$D$17,'Апр'!$D$17,'Май'!$D$17,'Июн'!$D$17,'Июл'!$D$17,'Авг'!$D$17,'Сен'!$D$17,'Окт'!$D$17,'Ноя'!$D$17,'Дек'!$D$17)=TRUE,"✓",""))</f>
        <v/>
      </c>
      <c r="N7" s="51">
        <f>IF('Старт'!$B$14="","",IF(CHOOSE(MATCH($B$2,'Списки'!$H$2:$H$13,0),'Янв'!$D$18,'Фев'!$D$18,'Мар'!$D$18,'Апр'!$D$18,'Май'!$D$18,'Июн'!$D$18,'Июл'!$D$18,'Авг'!$D$18,'Сен'!$D$18,'Окт'!$D$18,'Ноя'!$D$18,'Дек'!$D$18)=TRUE,"✓",""))</f>
        <v/>
      </c>
      <c r="O7" s="51">
        <f>IF('Старт'!$B$14="","",IF(CHOOSE(MATCH($B$2,'Списки'!$H$2:$H$13,0),'Янв'!$D$19,'Фев'!$D$19,'Мар'!$D$19,'Апр'!$D$19,'Май'!$D$19,'Июн'!$D$19,'Июл'!$D$19,'Авг'!$D$19,'Сен'!$D$19,'Окт'!$D$19,'Ноя'!$D$19,'Дек'!$D$19)=TRUE,"✓",""))</f>
        <v/>
      </c>
      <c r="P7" s="51">
        <f>IF('Старт'!$B$14="","",IF(CHOOSE(MATCH($B$2,'Списки'!$H$2:$H$13,0),'Янв'!$D$20,'Фев'!$D$20,'Мар'!$D$20,'Апр'!$D$20,'Май'!$D$20,'Июн'!$D$20,'Июл'!$D$20,'Авг'!$D$20,'Сен'!$D$20,'Окт'!$D$20,'Ноя'!$D$20,'Дек'!$D$20)=TRUE,"✓",""))</f>
        <v/>
      </c>
      <c r="Q7" s="51">
        <f>IF('Старт'!$B$14="","",IF(CHOOSE(MATCH($B$2,'Списки'!$H$2:$H$13,0),'Янв'!$D$21,'Фев'!$D$21,'Мар'!$D$21,'Апр'!$D$21,'Май'!$D$21,'Июн'!$D$21,'Июл'!$D$21,'Авг'!$D$21,'Сен'!$D$21,'Окт'!$D$21,'Ноя'!$D$21,'Дек'!$D$21)=TRUE,"✓",""))</f>
        <v/>
      </c>
      <c r="R7" s="51">
        <f>IF('Старт'!$B$14="","",IF(CHOOSE(MATCH($B$2,'Списки'!$H$2:$H$13,0),'Янв'!$D$22,'Фев'!$D$22,'Мар'!$D$22,'Апр'!$D$22,'Май'!$D$22,'Июн'!$D$22,'Июл'!$D$22,'Авг'!$D$22,'Сен'!$D$22,'Окт'!$D$22,'Ноя'!$D$22,'Дек'!$D$22)=TRUE,"✓",""))</f>
        <v/>
      </c>
      <c r="S7" s="51">
        <f>IF('Старт'!$B$14="","",IF(CHOOSE(MATCH($B$2,'Списки'!$H$2:$H$13,0),'Янв'!$D$23,'Фев'!$D$23,'Мар'!$D$23,'Апр'!$D$23,'Май'!$D$23,'Июн'!$D$23,'Июл'!$D$23,'Авг'!$D$23,'Сен'!$D$23,'Окт'!$D$23,'Ноя'!$D$23,'Дек'!$D$23)=TRUE,"✓",""))</f>
        <v/>
      </c>
      <c r="T7" s="51">
        <f>IF('Старт'!$B$14="","",IF(CHOOSE(MATCH($B$2,'Списки'!$H$2:$H$13,0),'Янв'!$D$24,'Фев'!$D$24,'Мар'!$D$24,'Апр'!$D$24,'Май'!$D$24,'Июн'!$D$24,'Июл'!$D$24,'Авг'!$D$24,'Сен'!$D$24,'Окт'!$D$24,'Ноя'!$D$24,'Дек'!$D$24)=TRUE,"✓",""))</f>
        <v/>
      </c>
      <c r="U7" s="51">
        <f>IF('Старт'!$B$14="","",IF(CHOOSE(MATCH($B$2,'Списки'!$H$2:$H$13,0),'Янв'!$D$25,'Фев'!$D$25,'Мар'!$D$25,'Апр'!$D$25,'Май'!$D$25,'Июн'!$D$25,'Июл'!$D$25,'Авг'!$D$25,'Сен'!$D$25,'Окт'!$D$25,'Ноя'!$D$25,'Дек'!$D$25)=TRUE,"✓",""))</f>
        <v/>
      </c>
      <c r="V7" s="51">
        <f>IF('Старт'!$B$14="","",IF(CHOOSE(MATCH($B$2,'Списки'!$H$2:$H$13,0),'Янв'!$D$26,'Фев'!$D$26,'Мар'!$D$26,'Апр'!$D$26,'Май'!$D$26,'Июн'!$D$26,'Июл'!$D$26,'Авг'!$D$26,'Сен'!$D$26,'Окт'!$D$26,'Ноя'!$D$26,'Дек'!$D$26)=TRUE,"✓",""))</f>
        <v/>
      </c>
      <c r="W7" s="51">
        <f>IF('Старт'!$B$14="","",IF(CHOOSE(MATCH($B$2,'Списки'!$H$2:$H$13,0),'Янв'!$D$27,'Фев'!$D$27,'Мар'!$D$27,'Апр'!$D$27,'Май'!$D$27,'Июн'!$D$27,'Июл'!$D$27,'Авг'!$D$27,'Сен'!$D$27,'Окт'!$D$27,'Ноя'!$D$27,'Дек'!$D$27)=TRUE,"✓",""))</f>
        <v/>
      </c>
      <c r="X7" s="51">
        <f>IF('Старт'!$B$14="","",IF(CHOOSE(MATCH($B$2,'Списки'!$H$2:$H$13,0),'Янв'!$D$28,'Фев'!$D$28,'Мар'!$D$28,'Апр'!$D$28,'Май'!$D$28,'Июн'!$D$28,'Июл'!$D$28,'Авг'!$D$28,'Сен'!$D$28,'Окт'!$D$28,'Ноя'!$D$28,'Дек'!$D$28)=TRUE,"✓",""))</f>
        <v/>
      </c>
      <c r="Y7" s="51">
        <f>IF('Старт'!$B$14="","",IF(CHOOSE(MATCH($B$2,'Списки'!$H$2:$H$13,0),'Янв'!$D$29,'Фев'!$D$29,'Мар'!$D$29,'Апр'!$D$29,'Май'!$D$29,'Июн'!$D$29,'Июл'!$D$29,'Авг'!$D$29,'Сен'!$D$29,'Окт'!$D$29,'Ноя'!$D$29,'Дек'!$D$29)=TRUE,"✓",""))</f>
        <v/>
      </c>
      <c r="Z7" s="51">
        <f>IF('Старт'!$B$14="","",IF(CHOOSE(MATCH($B$2,'Списки'!$H$2:$H$13,0),'Янв'!$D$30,'Фев'!$D$30,'Мар'!$D$30,'Апр'!$D$30,'Май'!$D$30,'Июн'!$D$30,'Июл'!$D$30,'Авг'!$D$30,'Сен'!$D$30,'Окт'!$D$30,'Ноя'!$D$30,'Дек'!$D$30)=TRUE,"✓",""))</f>
        <v/>
      </c>
      <c r="AA7" s="51">
        <f>IF('Старт'!$B$14="","",IF(CHOOSE(MATCH($B$2,'Списки'!$H$2:$H$13,0),'Янв'!$D$31,'Фев'!$D$31,'Мар'!$D$31,'Апр'!$D$31,'Май'!$D$31,'Июн'!$D$31,'Июл'!$D$31,'Авг'!$D$31,'Сен'!$D$31,'Окт'!$D$31,'Ноя'!$D$31,'Дек'!$D$31)=TRUE,"✓",""))</f>
        <v/>
      </c>
      <c r="AB7" s="51">
        <f>IF('Старт'!$B$14="","",IF(CHOOSE(MATCH($B$2,'Списки'!$H$2:$H$13,0),'Янв'!$D$32,'Фев'!$D$32,'Мар'!$D$32,'Апр'!$D$32,'Май'!$D$32,'Июн'!$D$32,'Июл'!$D$32,'Авг'!$D$32,'Сен'!$D$32,'Окт'!$D$32,'Ноя'!$D$32,'Дек'!$D$32)=TRUE,"✓",""))</f>
        <v/>
      </c>
      <c r="AC7" s="51">
        <f>IF('Старт'!$B$14="","",IF(CHOOSE(MATCH($B$2,'Списки'!$H$2:$H$13,0),'Янв'!$D$33,'Фев'!$D$33,'Мар'!$D$33,'Апр'!$D$33,'Май'!$D$33,'Июн'!$D$33,'Июл'!$D$33,'Авг'!$D$33,'Сен'!$D$33,'Окт'!$D$33,'Ноя'!$D$33,'Дек'!$D$33)=TRUE,"✓",""))</f>
        <v/>
      </c>
      <c r="AD7" s="51">
        <f>IF('Старт'!$B$14="","",IF(CHOOSE(MATCH($B$2,'Списки'!$H$2:$H$13,0),'Янв'!$D$34,'Фев'!$D$34,'Мар'!$D$34,'Апр'!$D$34,'Май'!$D$34,'Июн'!$D$34,'Июл'!$D$34,'Авг'!$D$34,'Сен'!$D$34,'Окт'!$D$34,'Ноя'!$D$34,'Дек'!$D$34)=TRUE,"✓",""))</f>
        <v/>
      </c>
      <c r="AE7" s="51">
        <f>IF('Старт'!$B$14="","",IF(CHOOSE(MATCH($B$2,'Списки'!$H$2:$H$13,0),'Янв'!$D$35,'Фев'!$D$35,'Мар'!$D$35,'Апр'!$D$35,'Май'!$D$35,'Июн'!$D$35,'Июл'!$D$35,'Авг'!$D$35,'Сен'!$D$35,'Окт'!$D$35,'Ноя'!$D$35,'Дек'!$D$35)=TRUE,"✓",""))</f>
        <v/>
      </c>
      <c r="AF7" s="51">
        <f>IF('Старт'!$B$14="","",IF(CHOOSE(MATCH($B$2,'Списки'!$H$2:$H$13,0),'Янв'!$D$36,'Фев'!$D$36,'Мар'!$D$36,'Апр'!$D$36,'Май'!$D$36,'Июн'!$D$36,'Июл'!$D$36,'Авг'!$D$36,'Сен'!$D$36,'Окт'!$D$36,'Ноя'!$D$36,'Дек'!$D$36)=TRUE,"✓",""))</f>
        <v/>
      </c>
    </row>
    <row r="8" spans="1:32" ht="25.5" customHeight="1">
      <c r="A8" s="29">
        <f>IF('Старт'!$B$15="","",'Старт'!$B$15)</f>
        <v/>
      </c>
      <c r="B8" s="51">
        <f>IF('Старт'!$B$15="","",IF(CHOOSE(MATCH($B$2,'Списки'!$H$2:$H$13,0),'Янв'!$E$6,'Фев'!$E$6,'Мар'!$E$6,'Апр'!$E$6,'Май'!$E$6,'Июн'!$E$6,'Июл'!$E$6,'Авг'!$E$6,'Сен'!$E$6,'Окт'!$E$6,'Ноя'!$E$6,'Дек'!$E$6)=TRUE,"✓",""))</f>
        <v/>
      </c>
      <c r="C8" s="51">
        <f>IF('Старт'!$B$15="","",IF(CHOOSE(MATCH($B$2,'Списки'!$H$2:$H$13,0),'Янв'!$E$7,'Фев'!$E$7,'Мар'!$E$7,'Апр'!$E$7,'Май'!$E$7,'Июн'!$E$7,'Июл'!$E$7,'Авг'!$E$7,'Сен'!$E$7,'Окт'!$E$7,'Ноя'!$E$7,'Дек'!$E$7)=TRUE,"✓",""))</f>
        <v/>
      </c>
      <c r="D8" s="51">
        <f>IF('Старт'!$B$15="","",IF(CHOOSE(MATCH($B$2,'Списки'!$H$2:$H$13,0),'Янв'!$E$8,'Фев'!$E$8,'Мар'!$E$8,'Апр'!$E$8,'Май'!$E$8,'Июн'!$E$8,'Июл'!$E$8,'Авг'!$E$8,'Сен'!$E$8,'Окт'!$E$8,'Ноя'!$E$8,'Дек'!$E$8)=TRUE,"✓",""))</f>
        <v/>
      </c>
      <c r="E8" s="51">
        <f>IF('Старт'!$B$15="","",IF(CHOOSE(MATCH($B$2,'Списки'!$H$2:$H$13,0),'Янв'!$E$9,'Фев'!$E$9,'Мар'!$E$9,'Апр'!$E$9,'Май'!$E$9,'Июн'!$E$9,'Июл'!$E$9,'Авг'!$E$9,'Сен'!$E$9,'Окт'!$E$9,'Ноя'!$E$9,'Дек'!$E$9)=TRUE,"✓",""))</f>
        <v/>
      </c>
      <c r="F8" s="51">
        <f>IF('Старт'!$B$15="","",IF(CHOOSE(MATCH($B$2,'Списки'!$H$2:$H$13,0),'Янв'!$E$10,'Фев'!$E$10,'Мар'!$E$10,'Апр'!$E$10,'Май'!$E$10,'Июн'!$E$10,'Июл'!$E$10,'Авг'!$E$10,'Сен'!$E$10,'Окт'!$E$10,'Ноя'!$E$10,'Дек'!$E$10)=TRUE,"✓",""))</f>
        <v/>
      </c>
      <c r="G8" s="51">
        <f>IF('Старт'!$B$15="","",IF(CHOOSE(MATCH($B$2,'Списки'!$H$2:$H$13,0),'Янв'!$E$11,'Фев'!$E$11,'Мар'!$E$11,'Апр'!$E$11,'Май'!$E$11,'Июн'!$E$11,'Июл'!$E$11,'Авг'!$E$11,'Сен'!$E$11,'Окт'!$E$11,'Ноя'!$E$11,'Дек'!$E$11)=TRUE,"✓",""))</f>
        <v/>
      </c>
      <c r="H8" s="51">
        <f>IF('Старт'!$B$15="","",IF(CHOOSE(MATCH($B$2,'Списки'!$H$2:$H$13,0),'Янв'!$E$12,'Фев'!$E$12,'Мар'!$E$12,'Апр'!$E$12,'Май'!$E$12,'Июн'!$E$12,'Июл'!$E$12,'Авг'!$E$12,'Сен'!$E$12,'Окт'!$E$12,'Ноя'!$E$12,'Дек'!$E$12)=TRUE,"✓",""))</f>
        <v/>
      </c>
      <c r="I8" s="51">
        <f>IF('Старт'!$B$15="","",IF(CHOOSE(MATCH($B$2,'Списки'!$H$2:$H$13,0),'Янв'!$E$13,'Фев'!$E$13,'Мар'!$E$13,'Апр'!$E$13,'Май'!$E$13,'Июн'!$E$13,'Июл'!$E$13,'Авг'!$E$13,'Сен'!$E$13,'Окт'!$E$13,'Ноя'!$E$13,'Дек'!$E$13)=TRUE,"✓",""))</f>
        <v/>
      </c>
      <c r="J8" s="51">
        <f>IF('Старт'!$B$15="","",IF(CHOOSE(MATCH($B$2,'Списки'!$H$2:$H$13,0),'Янв'!$E$14,'Фев'!$E$14,'Мар'!$E$14,'Апр'!$E$14,'Май'!$E$14,'Июн'!$E$14,'Июл'!$E$14,'Авг'!$E$14,'Сен'!$E$14,'Окт'!$E$14,'Ноя'!$E$14,'Дек'!$E$14)=TRUE,"✓",""))</f>
        <v/>
      </c>
      <c r="K8" s="51">
        <f>IF('Старт'!$B$15="","",IF(CHOOSE(MATCH($B$2,'Списки'!$H$2:$H$13,0),'Янв'!$E$15,'Фев'!$E$15,'Мар'!$E$15,'Апр'!$E$15,'Май'!$E$15,'Июн'!$E$15,'Июл'!$E$15,'Авг'!$E$15,'Сен'!$E$15,'Окт'!$E$15,'Ноя'!$E$15,'Дек'!$E$15)=TRUE,"✓",""))</f>
        <v/>
      </c>
      <c r="L8" s="51">
        <f>IF('Старт'!$B$15="","",IF(CHOOSE(MATCH($B$2,'Списки'!$H$2:$H$13,0),'Янв'!$E$16,'Фев'!$E$16,'Мар'!$E$16,'Апр'!$E$16,'Май'!$E$16,'Июн'!$E$16,'Июл'!$E$16,'Авг'!$E$16,'Сен'!$E$16,'Окт'!$E$16,'Ноя'!$E$16,'Дек'!$E$16)=TRUE,"✓",""))</f>
        <v/>
      </c>
      <c r="M8" s="51">
        <f>IF('Старт'!$B$15="","",IF(CHOOSE(MATCH($B$2,'Списки'!$H$2:$H$13,0),'Янв'!$E$17,'Фев'!$E$17,'Мар'!$E$17,'Апр'!$E$17,'Май'!$E$17,'Июн'!$E$17,'Июл'!$E$17,'Авг'!$E$17,'Сен'!$E$17,'Окт'!$E$17,'Ноя'!$E$17,'Дек'!$E$17)=TRUE,"✓",""))</f>
        <v/>
      </c>
      <c r="N8" s="51">
        <f>IF('Старт'!$B$15="","",IF(CHOOSE(MATCH($B$2,'Списки'!$H$2:$H$13,0),'Янв'!$E$18,'Фев'!$E$18,'Мар'!$E$18,'Апр'!$E$18,'Май'!$E$18,'Июн'!$E$18,'Июл'!$E$18,'Авг'!$E$18,'Сен'!$E$18,'Окт'!$E$18,'Ноя'!$E$18,'Дек'!$E$18)=TRUE,"✓",""))</f>
        <v/>
      </c>
      <c r="O8" s="51">
        <f>IF('Старт'!$B$15="","",IF(CHOOSE(MATCH($B$2,'Списки'!$H$2:$H$13,0),'Янв'!$E$19,'Фев'!$E$19,'Мар'!$E$19,'Апр'!$E$19,'Май'!$E$19,'Июн'!$E$19,'Июл'!$E$19,'Авг'!$E$19,'Сен'!$E$19,'Окт'!$E$19,'Ноя'!$E$19,'Дек'!$E$19)=TRUE,"✓",""))</f>
        <v/>
      </c>
      <c r="P8" s="51">
        <f>IF('Старт'!$B$15="","",IF(CHOOSE(MATCH($B$2,'Списки'!$H$2:$H$13,0),'Янв'!$E$20,'Фев'!$E$20,'Мар'!$E$20,'Апр'!$E$20,'Май'!$E$20,'Июн'!$E$20,'Июл'!$E$20,'Авг'!$E$20,'Сен'!$E$20,'Окт'!$E$20,'Ноя'!$E$20,'Дек'!$E$20)=TRUE,"✓",""))</f>
        <v/>
      </c>
      <c r="Q8" s="51">
        <f>IF('Старт'!$B$15="","",IF(CHOOSE(MATCH($B$2,'Списки'!$H$2:$H$13,0),'Янв'!$E$21,'Фев'!$E$21,'Мар'!$E$21,'Апр'!$E$21,'Май'!$E$21,'Июн'!$E$21,'Июл'!$E$21,'Авг'!$E$21,'Сен'!$E$21,'Окт'!$E$21,'Ноя'!$E$21,'Дек'!$E$21)=TRUE,"✓",""))</f>
        <v/>
      </c>
      <c r="R8" s="51">
        <f>IF('Старт'!$B$15="","",IF(CHOOSE(MATCH($B$2,'Списки'!$H$2:$H$13,0),'Янв'!$E$22,'Фев'!$E$22,'Мар'!$E$22,'Апр'!$E$22,'Май'!$E$22,'Июн'!$E$22,'Июл'!$E$22,'Авг'!$E$22,'Сен'!$E$22,'Окт'!$E$22,'Ноя'!$E$22,'Дек'!$E$22)=TRUE,"✓",""))</f>
        <v/>
      </c>
      <c r="S8" s="51">
        <f>IF('Старт'!$B$15="","",IF(CHOOSE(MATCH($B$2,'Списки'!$H$2:$H$13,0),'Янв'!$E$23,'Фев'!$E$23,'Мар'!$E$23,'Апр'!$E$23,'Май'!$E$23,'Июн'!$E$23,'Июл'!$E$23,'Авг'!$E$23,'Сен'!$E$23,'Окт'!$E$23,'Ноя'!$E$23,'Дек'!$E$23)=TRUE,"✓",""))</f>
        <v/>
      </c>
      <c r="T8" s="51">
        <f>IF('Старт'!$B$15="","",IF(CHOOSE(MATCH($B$2,'Списки'!$H$2:$H$13,0),'Янв'!$E$24,'Фев'!$E$24,'Мар'!$E$24,'Апр'!$E$24,'Май'!$E$24,'Июн'!$E$24,'Июл'!$E$24,'Авг'!$E$24,'Сен'!$E$24,'Окт'!$E$24,'Ноя'!$E$24,'Дек'!$E$24)=TRUE,"✓",""))</f>
        <v/>
      </c>
      <c r="U8" s="51">
        <f>IF('Старт'!$B$15="","",IF(CHOOSE(MATCH($B$2,'Списки'!$H$2:$H$13,0),'Янв'!$E$25,'Фев'!$E$25,'Мар'!$E$25,'Апр'!$E$25,'Май'!$E$25,'Июн'!$E$25,'Июл'!$E$25,'Авг'!$E$25,'Сен'!$E$25,'Окт'!$E$25,'Ноя'!$E$25,'Дек'!$E$25)=TRUE,"✓",""))</f>
        <v/>
      </c>
      <c r="V8" s="51">
        <f>IF('Старт'!$B$15="","",IF(CHOOSE(MATCH($B$2,'Списки'!$H$2:$H$13,0),'Янв'!$E$26,'Фев'!$E$26,'Мар'!$E$26,'Апр'!$E$26,'Май'!$E$26,'Июн'!$E$26,'Июл'!$E$26,'Авг'!$E$26,'Сен'!$E$26,'Окт'!$E$26,'Ноя'!$E$26,'Дек'!$E$26)=TRUE,"✓",""))</f>
        <v/>
      </c>
      <c r="W8" s="51">
        <f>IF('Старт'!$B$15="","",IF(CHOOSE(MATCH($B$2,'Списки'!$H$2:$H$13,0),'Янв'!$E$27,'Фев'!$E$27,'Мар'!$E$27,'Апр'!$E$27,'Май'!$E$27,'Июн'!$E$27,'Июл'!$E$27,'Авг'!$E$27,'Сен'!$E$27,'Окт'!$E$27,'Ноя'!$E$27,'Дек'!$E$27)=TRUE,"✓",""))</f>
        <v/>
      </c>
      <c r="X8" s="51">
        <f>IF('Старт'!$B$15="","",IF(CHOOSE(MATCH($B$2,'Списки'!$H$2:$H$13,0),'Янв'!$E$28,'Фев'!$E$28,'Мар'!$E$28,'Апр'!$E$28,'Май'!$E$28,'Июн'!$E$28,'Июл'!$E$28,'Авг'!$E$28,'Сен'!$E$28,'Окт'!$E$28,'Ноя'!$E$28,'Дек'!$E$28)=TRUE,"✓",""))</f>
        <v/>
      </c>
      <c r="Y8" s="51">
        <f>IF('Старт'!$B$15="","",IF(CHOOSE(MATCH($B$2,'Списки'!$H$2:$H$13,0),'Янв'!$E$29,'Фев'!$E$29,'Мар'!$E$29,'Апр'!$E$29,'Май'!$E$29,'Июн'!$E$29,'Июл'!$E$29,'Авг'!$E$29,'Сен'!$E$29,'Окт'!$E$29,'Ноя'!$E$29,'Дек'!$E$29)=TRUE,"✓",""))</f>
        <v/>
      </c>
      <c r="Z8" s="51">
        <f>IF('Старт'!$B$15="","",IF(CHOOSE(MATCH($B$2,'Списки'!$H$2:$H$13,0),'Янв'!$E$30,'Фев'!$E$30,'Мар'!$E$30,'Апр'!$E$30,'Май'!$E$30,'Июн'!$E$30,'Июл'!$E$30,'Авг'!$E$30,'Сен'!$E$30,'Окт'!$E$30,'Ноя'!$E$30,'Дек'!$E$30)=TRUE,"✓",""))</f>
        <v/>
      </c>
      <c r="AA8" s="51">
        <f>IF('Старт'!$B$15="","",IF(CHOOSE(MATCH($B$2,'Списки'!$H$2:$H$13,0),'Янв'!$E$31,'Фев'!$E$31,'Мар'!$E$31,'Апр'!$E$31,'Май'!$E$31,'Июн'!$E$31,'Июл'!$E$31,'Авг'!$E$31,'Сен'!$E$31,'Окт'!$E$31,'Ноя'!$E$31,'Дек'!$E$31)=TRUE,"✓",""))</f>
        <v/>
      </c>
      <c r="AB8" s="51">
        <f>IF('Старт'!$B$15="","",IF(CHOOSE(MATCH($B$2,'Списки'!$H$2:$H$13,0),'Янв'!$E$32,'Фев'!$E$32,'Мар'!$E$32,'Апр'!$E$32,'Май'!$E$32,'Июн'!$E$32,'Июл'!$E$32,'Авг'!$E$32,'Сен'!$E$32,'Окт'!$E$32,'Ноя'!$E$32,'Дек'!$E$32)=TRUE,"✓",""))</f>
        <v/>
      </c>
      <c r="AC8" s="51">
        <f>IF('Старт'!$B$15="","",IF(CHOOSE(MATCH($B$2,'Списки'!$H$2:$H$13,0),'Янв'!$E$33,'Фев'!$E$33,'Мар'!$E$33,'Апр'!$E$33,'Май'!$E$33,'Июн'!$E$33,'Июл'!$E$33,'Авг'!$E$33,'Сен'!$E$33,'Окт'!$E$33,'Ноя'!$E$33,'Дек'!$E$33)=TRUE,"✓",""))</f>
        <v/>
      </c>
      <c r="AD8" s="51">
        <f>IF('Старт'!$B$15="","",IF(CHOOSE(MATCH($B$2,'Списки'!$H$2:$H$13,0),'Янв'!$E$34,'Фев'!$E$34,'Мар'!$E$34,'Апр'!$E$34,'Май'!$E$34,'Июн'!$E$34,'Июл'!$E$34,'Авг'!$E$34,'Сен'!$E$34,'Окт'!$E$34,'Ноя'!$E$34,'Дек'!$E$34)=TRUE,"✓",""))</f>
        <v/>
      </c>
      <c r="AE8" s="51">
        <f>IF('Старт'!$B$15="","",IF(CHOOSE(MATCH($B$2,'Списки'!$H$2:$H$13,0),'Янв'!$E$35,'Фев'!$E$35,'Мар'!$E$35,'Апр'!$E$35,'Май'!$E$35,'Июн'!$E$35,'Июл'!$E$35,'Авг'!$E$35,'Сен'!$E$35,'Окт'!$E$35,'Ноя'!$E$35,'Дек'!$E$35)=TRUE,"✓",""))</f>
        <v/>
      </c>
      <c r="AF8" s="51">
        <f>IF('Старт'!$B$15="","",IF(CHOOSE(MATCH($B$2,'Списки'!$H$2:$H$13,0),'Янв'!$E$36,'Фев'!$E$36,'Мар'!$E$36,'Апр'!$E$36,'Май'!$E$36,'Июн'!$E$36,'Июл'!$E$36,'Авг'!$E$36,'Сен'!$E$36,'Окт'!$E$36,'Ноя'!$E$36,'Дек'!$E$36)=TRUE,"✓",""))</f>
        <v/>
      </c>
    </row>
    <row r="9" spans="1:32" ht="25.5" customHeight="1">
      <c r="A9" s="29">
        <f>IF('Старт'!$B$16="","",'Старт'!$B$16)</f>
        <v/>
      </c>
      <c r="B9" s="51">
        <f>IF('Старт'!$B$16="","",IF(CHOOSE(MATCH($B$2,'Списки'!$H$2:$H$13,0),'Янв'!$F$6,'Фев'!$F$6,'Мар'!$F$6,'Апр'!$F$6,'Май'!$F$6,'Июн'!$F$6,'Июл'!$F$6,'Авг'!$F$6,'Сен'!$F$6,'Окт'!$F$6,'Ноя'!$F$6,'Дек'!$F$6)=TRUE,"✓",""))</f>
        <v/>
      </c>
      <c r="C9" s="51">
        <f>IF('Старт'!$B$16="","",IF(CHOOSE(MATCH($B$2,'Списки'!$H$2:$H$13,0),'Янв'!$F$7,'Фев'!$F$7,'Мар'!$F$7,'Апр'!$F$7,'Май'!$F$7,'Июн'!$F$7,'Июл'!$F$7,'Авг'!$F$7,'Сен'!$F$7,'Окт'!$F$7,'Ноя'!$F$7,'Дек'!$F$7)=TRUE,"✓",""))</f>
        <v/>
      </c>
      <c r="D9" s="51">
        <f>IF('Старт'!$B$16="","",IF(CHOOSE(MATCH($B$2,'Списки'!$H$2:$H$13,0),'Янв'!$F$8,'Фев'!$F$8,'Мар'!$F$8,'Апр'!$F$8,'Май'!$F$8,'Июн'!$F$8,'Июл'!$F$8,'Авг'!$F$8,'Сен'!$F$8,'Окт'!$F$8,'Ноя'!$F$8,'Дек'!$F$8)=TRUE,"✓",""))</f>
        <v/>
      </c>
      <c r="E9" s="51">
        <f>IF('Старт'!$B$16="","",IF(CHOOSE(MATCH($B$2,'Списки'!$H$2:$H$13,0),'Янв'!$F$9,'Фев'!$F$9,'Мар'!$F$9,'Апр'!$F$9,'Май'!$F$9,'Июн'!$F$9,'Июл'!$F$9,'Авг'!$F$9,'Сен'!$F$9,'Окт'!$F$9,'Ноя'!$F$9,'Дек'!$F$9)=TRUE,"✓",""))</f>
        <v/>
      </c>
      <c r="F9" s="51">
        <f>IF('Старт'!$B$16="","",IF(CHOOSE(MATCH($B$2,'Списки'!$H$2:$H$13,0),'Янв'!$F$10,'Фев'!$F$10,'Мар'!$F$10,'Апр'!$F$10,'Май'!$F$10,'Июн'!$F$10,'Июл'!$F$10,'Авг'!$F$10,'Сен'!$F$10,'Окт'!$F$10,'Ноя'!$F$10,'Дек'!$F$10)=TRUE,"✓",""))</f>
        <v/>
      </c>
      <c r="G9" s="51">
        <f>IF('Старт'!$B$16="","",IF(CHOOSE(MATCH($B$2,'Списки'!$H$2:$H$13,0),'Янв'!$F$11,'Фев'!$F$11,'Мар'!$F$11,'Апр'!$F$11,'Май'!$F$11,'Июн'!$F$11,'Июл'!$F$11,'Авг'!$F$11,'Сен'!$F$11,'Окт'!$F$11,'Ноя'!$F$11,'Дек'!$F$11)=TRUE,"✓",""))</f>
        <v/>
      </c>
      <c r="H9" s="51">
        <f>IF('Старт'!$B$16="","",IF(CHOOSE(MATCH($B$2,'Списки'!$H$2:$H$13,0),'Янв'!$F$12,'Фев'!$F$12,'Мар'!$F$12,'Апр'!$F$12,'Май'!$F$12,'Июн'!$F$12,'Июл'!$F$12,'Авг'!$F$12,'Сен'!$F$12,'Окт'!$F$12,'Ноя'!$F$12,'Дек'!$F$12)=TRUE,"✓",""))</f>
        <v/>
      </c>
      <c r="I9" s="51">
        <f>IF('Старт'!$B$16="","",IF(CHOOSE(MATCH($B$2,'Списки'!$H$2:$H$13,0),'Янв'!$F$13,'Фев'!$F$13,'Мар'!$F$13,'Апр'!$F$13,'Май'!$F$13,'Июн'!$F$13,'Июл'!$F$13,'Авг'!$F$13,'Сен'!$F$13,'Окт'!$F$13,'Ноя'!$F$13,'Дек'!$F$13)=TRUE,"✓",""))</f>
        <v/>
      </c>
      <c r="J9" s="51">
        <f>IF('Старт'!$B$16="","",IF(CHOOSE(MATCH($B$2,'Списки'!$H$2:$H$13,0),'Янв'!$F$14,'Фев'!$F$14,'Мар'!$F$14,'Апр'!$F$14,'Май'!$F$14,'Июн'!$F$14,'Июл'!$F$14,'Авг'!$F$14,'Сен'!$F$14,'Окт'!$F$14,'Ноя'!$F$14,'Дек'!$F$14)=TRUE,"✓",""))</f>
        <v/>
      </c>
      <c r="K9" s="51">
        <f>IF('Старт'!$B$16="","",IF(CHOOSE(MATCH($B$2,'Списки'!$H$2:$H$13,0),'Янв'!$F$15,'Фев'!$F$15,'Мар'!$F$15,'Апр'!$F$15,'Май'!$F$15,'Июн'!$F$15,'Июл'!$F$15,'Авг'!$F$15,'Сен'!$F$15,'Окт'!$F$15,'Ноя'!$F$15,'Дек'!$F$15)=TRUE,"✓",""))</f>
        <v/>
      </c>
      <c r="L9" s="51">
        <f>IF('Старт'!$B$16="","",IF(CHOOSE(MATCH($B$2,'Списки'!$H$2:$H$13,0),'Янв'!$F$16,'Фев'!$F$16,'Мар'!$F$16,'Апр'!$F$16,'Май'!$F$16,'Июн'!$F$16,'Июл'!$F$16,'Авг'!$F$16,'Сен'!$F$16,'Окт'!$F$16,'Ноя'!$F$16,'Дек'!$F$16)=TRUE,"✓",""))</f>
        <v/>
      </c>
      <c r="M9" s="51">
        <f>IF('Старт'!$B$16="","",IF(CHOOSE(MATCH($B$2,'Списки'!$H$2:$H$13,0),'Янв'!$F$17,'Фев'!$F$17,'Мар'!$F$17,'Апр'!$F$17,'Май'!$F$17,'Июн'!$F$17,'Июл'!$F$17,'Авг'!$F$17,'Сен'!$F$17,'Окт'!$F$17,'Ноя'!$F$17,'Дек'!$F$17)=TRUE,"✓",""))</f>
        <v/>
      </c>
      <c r="N9" s="51">
        <f>IF('Старт'!$B$16="","",IF(CHOOSE(MATCH($B$2,'Списки'!$H$2:$H$13,0),'Янв'!$F$18,'Фев'!$F$18,'Мар'!$F$18,'Апр'!$F$18,'Май'!$F$18,'Июн'!$F$18,'Июл'!$F$18,'Авг'!$F$18,'Сен'!$F$18,'Окт'!$F$18,'Ноя'!$F$18,'Дек'!$F$18)=TRUE,"✓",""))</f>
        <v/>
      </c>
      <c r="O9" s="51">
        <f>IF('Старт'!$B$16="","",IF(CHOOSE(MATCH($B$2,'Списки'!$H$2:$H$13,0),'Янв'!$F$19,'Фев'!$F$19,'Мар'!$F$19,'Апр'!$F$19,'Май'!$F$19,'Июн'!$F$19,'Июл'!$F$19,'Авг'!$F$19,'Сен'!$F$19,'Окт'!$F$19,'Ноя'!$F$19,'Дек'!$F$19)=TRUE,"✓",""))</f>
        <v/>
      </c>
      <c r="P9" s="51">
        <f>IF('Старт'!$B$16="","",IF(CHOOSE(MATCH($B$2,'Списки'!$H$2:$H$13,0),'Янв'!$F$20,'Фев'!$F$20,'Мар'!$F$20,'Апр'!$F$20,'Май'!$F$20,'Июн'!$F$20,'Июл'!$F$20,'Авг'!$F$20,'Сен'!$F$20,'Окт'!$F$20,'Ноя'!$F$20,'Дек'!$F$20)=TRUE,"✓",""))</f>
        <v/>
      </c>
      <c r="Q9" s="51">
        <f>IF('Старт'!$B$16="","",IF(CHOOSE(MATCH($B$2,'Списки'!$H$2:$H$13,0),'Янв'!$F$21,'Фев'!$F$21,'Мар'!$F$21,'Апр'!$F$21,'Май'!$F$21,'Июн'!$F$21,'Июл'!$F$21,'Авг'!$F$21,'Сен'!$F$21,'Окт'!$F$21,'Ноя'!$F$21,'Дек'!$F$21)=TRUE,"✓",""))</f>
        <v/>
      </c>
      <c r="R9" s="51">
        <f>IF('Старт'!$B$16="","",IF(CHOOSE(MATCH($B$2,'Списки'!$H$2:$H$13,0),'Янв'!$F$22,'Фев'!$F$22,'Мар'!$F$22,'Апр'!$F$22,'Май'!$F$22,'Июн'!$F$22,'Июл'!$F$22,'Авг'!$F$22,'Сен'!$F$22,'Окт'!$F$22,'Ноя'!$F$22,'Дек'!$F$22)=TRUE,"✓",""))</f>
        <v/>
      </c>
      <c r="S9" s="51">
        <f>IF('Старт'!$B$16="","",IF(CHOOSE(MATCH($B$2,'Списки'!$H$2:$H$13,0),'Янв'!$F$23,'Фев'!$F$23,'Мар'!$F$23,'Апр'!$F$23,'Май'!$F$23,'Июн'!$F$23,'Июл'!$F$23,'Авг'!$F$23,'Сен'!$F$23,'Окт'!$F$23,'Ноя'!$F$23,'Дек'!$F$23)=TRUE,"✓",""))</f>
        <v/>
      </c>
      <c r="T9" s="51">
        <f>IF('Старт'!$B$16="","",IF(CHOOSE(MATCH($B$2,'Списки'!$H$2:$H$13,0),'Янв'!$F$24,'Фев'!$F$24,'Мар'!$F$24,'Апр'!$F$24,'Май'!$F$24,'Июн'!$F$24,'Июл'!$F$24,'Авг'!$F$24,'Сен'!$F$24,'Окт'!$F$24,'Ноя'!$F$24,'Дек'!$F$24)=TRUE,"✓",""))</f>
        <v/>
      </c>
      <c r="U9" s="51">
        <f>IF('Старт'!$B$16="","",IF(CHOOSE(MATCH($B$2,'Списки'!$H$2:$H$13,0),'Янв'!$F$25,'Фев'!$F$25,'Мар'!$F$25,'Апр'!$F$25,'Май'!$F$25,'Июн'!$F$25,'Июл'!$F$25,'Авг'!$F$25,'Сен'!$F$25,'Окт'!$F$25,'Ноя'!$F$25,'Дек'!$F$25)=TRUE,"✓",""))</f>
        <v/>
      </c>
      <c r="V9" s="51">
        <f>IF('Старт'!$B$16="","",IF(CHOOSE(MATCH($B$2,'Списки'!$H$2:$H$13,0),'Янв'!$F$26,'Фев'!$F$26,'Мар'!$F$26,'Апр'!$F$26,'Май'!$F$26,'Июн'!$F$26,'Июл'!$F$26,'Авг'!$F$26,'Сен'!$F$26,'Окт'!$F$26,'Ноя'!$F$26,'Дек'!$F$26)=TRUE,"✓",""))</f>
        <v/>
      </c>
      <c r="W9" s="51">
        <f>IF('Старт'!$B$16="","",IF(CHOOSE(MATCH($B$2,'Списки'!$H$2:$H$13,0),'Янв'!$F$27,'Фев'!$F$27,'Мар'!$F$27,'Апр'!$F$27,'Май'!$F$27,'Июн'!$F$27,'Июл'!$F$27,'Авг'!$F$27,'Сен'!$F$27,'Окт'!$F$27,'Ноя'!$F$27,'Дек'!$F$27)=TRUE,"✓",""))</f>
        <v/>
      </c>
      <c r="X9" s="51">
        <f>IF('Старт'!$B$16="","",IF(CHOOSE(MATCH($B$2,'Списки'!$H$2:$H$13,0),'Янв'!$F$28,'Фев'!$F$28,'Мар'!$F$28,'Апр'!$F$28,'Май'!$F$28,'Июн'!$F$28,'Июл'!$F$28,'Авг'!$F$28,'Сен'!$F$28,'Окт'!$F$28,'Ноя'!$F$28,'Дек'!$F$28)=TRUE,"✓",""))</f>
        <v/>
      </c>
      <c r="Y9" s="51">
        <f>IF('Старт'!$B$16="","",IF(CHOOSE(MATCH($B$2,'Списки'!$H$2:$H$13,0),'Янв'!$F$29,'Фев'!$F$29,'Мар'!$F$29,'Апр'!$F$29,'Май'!$F$29,'Июн'!$F$29,'Июл'!$F$29,'Авг'!$F$29,'Сен'!$F$29,'Окт'!$F$29,'Ноя'!$F$29,'Дек'!$F$29)=TRUE,"✓",""))</f>
        <v/>
      </c>
      <c r="Z9" s="51">
        <f>IF('Старт'!$B$16="","",IF(CHOOSE(MATCH($B$2,'Списки'!$H$2:$H$13,0),'Янв'!$F$30,'Фев'!$F$30,'Мар'!$F$30,'Апр'!$F$30,'Май'!$F$30,'Июн'!$F$30,'Июл'!$F$30,'Авг'!$F$30,'Сен'!$F$30,'Окт'!$F$30,'Ноя'!$F$30,'Дек'!$F$30)=TRUE,"✓",""))</f>
        <v/>
      </c>
      <c r="AA9" s="51">
        <f>IF('Старт'!$B$16="","",IF(CHOOSE(MATCH($B$2,'Списки'!$H$2:$H$13,0),'Янв'!$F$31,'Фев'!$F$31,'Мар'!$F$31,'Апр'!$F$31,'Май'!$F$31,'Июн'!$F$31,'Июл'!$F$31,'Авг'!$F$31,'Сен'!$F$31,'Окт'!$F$31,'Ноя'!$F$31,'Дек'!$F$31)=TRUE,"✓",""))</f>
        <v/>
      </c>
      <c r="AB9" s="51">
        <f>IF('Старт'!$B$16="","",IF(CHOOSE(MATCH($B$2,'Списки'!$H$2:$H$13,0),'Янв'!$F$32,'Фев'!$F$32,'Мар'!$F$32,'Апр'!$F$32,'Май'!$F$32,'Июн'!$F$32,'Июл'!$F$32,'Авг'!$F$32,'Сен'!$F$32,'Окт'!$F$32,'Ноя'!$F$32,'Дек'!$F$32)=TRUE,"✓",""))</f>
        <v/>
      </c>
      <c r="AC9" s="51">
        <f>IF('Старт'!$B$16="","",IF(CHOOSE(MATCH($B$2,'Списки'!$H$2:$H$13,0),'Янв'!$F$33,'Фев'!$F$33,'Мар'!$F$33,'Апр'!$F$33,'Май'!$F$33,'Июн'!$F$33,'Июл'!$F$33,'Авг'!$F$33,'Сен'!$F$33,'Окт'!$F$33,'Ноя'!$F$33,'Дек'!$F$33)=TRUE,"✓",""))</f>
        <v/>
      </c>
      <c r="AD9" s="51">
        <f>IF('Старт'!$B$16="","",IF(CHOOSE(MATCH($B$2,'Списки'!$H$2:$H$13,0),'Янв'!$F$34,'Фев'!$F$34,'Мар'!$F$34,'Апр'!$F$34,'Май'!$F$34,'Июн'!$F$34,'Июл'!$F$34,'Авг'!$F$34,'Сен'!$F$34,'Окт'!$F$34,'Ноя'!$F$34,'Дек'!$F$34)=TRUE,"✓",""))</f>
        <v/>
      </c>
      <c r="AE9" s="51">
        <f>IF('Старт'!$B$16="","",IF(CHOOSE(MATCH($B$2,'Списки'!$H$2:$H$13,0),'Янв'!$F$35,'Фев'!$F$35,'Мар'!$F$35,'Апр'!$F$35,'Май'!$F$35,'Июн'!$F$35,'Июл'!$F$35,'Авг'!$F$35,'Сен'!$F$35,'Окт'!$F$35,'Ноя'!$F$35,'Дек'!$F$35)=TRUE,"✓",""))</f>
        <v/>
      </c>
      <c r="AF9" s="51">
        <f>IF('Старт'!$B$16="","",IF(CHOOSE(MATCH($B$2,'Списки'!$H$2:$H$13,0),'Янв'!$F$36,'Фев'!$F$36,'Мар'!$F$36,'Апр'!$F$36,'Май'!$F$36,'Июн'!$F$36,'Июл'!$F$36,'Авг'!$F$36,'Сен'!$F$36,'Окт'!$F$36,'Ноя'!$F$36,'Дек'!$F$36)=TRUE,"✓",""))</f>
        <v/>
      </c>
    </row>
    <row r="10" spans="1:32" ht="25.5" customHeight="1">
      <c r="A10" s="29">
        <f>IF('Старт'!$B$17="","",'Старт'!$B$17)</f>
        <v/>
      </c>
      <c r="B10" s="51">
        <f>IF('Старт'!$B$17="","",IF(CHOOSE(MATCH($B$2,'Списки'!$H$2:$H$13,0),'Янв'!$G$6,'Фев'!$G$6,'Мар'!$G$6,'Апр'!$G$6,'Май'!$G$6,'Июн'!$G$6,'Июл'!$G$6,'Авг'!$G$6,'Сен'!$G$6,'Окт'!$G$6,'Ноя'!$G$6,'Дек'!$G$6)=TRUE,"✓",""))</f>
        <v/>
      </c>
      <c r="C10" s="51">
        <f>IF('Старт'!$B$17="","",IF(CHOOSE(MATCH($B$2,'Списки'!$H$2:$H$13,0),'Янв'!$G$7,'Фев'!$G$7,'Мар'!$G$7,'Апр'!$G$7,'Май'!$G$7,'Июн'!$G$7,'Июл'!$G$7,'Авг'!$G$7,'Сен'!$G$7,'Окт'!$G$7,'Ноя'!$G$7,'Дек'!$G$7)=TRUE,"✓",""))</f>
        <v/>
      </c>
      <c r="D10" s="51">
        <f>IF('Старт'!$B$17="","",IF(CHOOSE(MATCH($B$2,'Списки'!$H$2:$H$13,0),'Янв'!$G$8,'Фев'!$G$8,'Мар'!$G$8,'Апр'!$G$8,'Май'!$G$8,'Июн'!$G$8,'Июл'!$G$8,'Авг'!$G$8,'Сен'!$G$8,'Окт'!$G$8,'Ноя'!$G$8,'Дек'!$G$8)=TRUE,"✓",""))</f>
        <v/>
      </c>
      <c r="E10" s="51">
        <f>IF('Старт'!$B$17="","",IF(CHOOSE(MATCH($B$2,'Списки'!$H$2:$H$13,0),'Янв'!$G$9,'Фев'!$G$9,'Мар'!$G$9,'Апр'!$G$9,'Май'!$G$9,'Июн'!$G$9,'Июл'!$G$9,'Авг'!$G$9,'Сен'!$G$9,'Окт'!$G$9,'Ноя'!$G$9,'Дек'!$G$9)=TRUE,"✓",""))</f>
        <v/>
      </c>
      <c r="F10" s="51">
        <f>IF('Старт'!$B$17="","",IF(CHOOSE(MATCH($B$2,'Списки'!$H$2:$H$13,0),'Янв'!$G$10,'Фев'!$G$10,'Мар'!$G$10,'Апр'!$G$10,'Май'!$G$10,'Июн'!$G$10,'Июл'!$G$10,'Авг'!$G$10,'Сен'!$G$10,'Окт'!$G$10,'Ноя'!$G$10,'Дек'!$G$10)=TRUE,"✓",""))</f>
        <v/>
      </c>
      <c r="G10" s="51">
        <f>IF('Старт'!$B$17="","",IF(CHOOSE(MATCH($B$2,'Списки'!$H$2:$H$13,0),'Янв'!$G$11,'Фев'!$G$11,'Мар'!$G$11,'Апр'!$G$11,'Май'!$G$11,'Июн'!$G$11,'Июл'!$G$11,'Авг'!$G$11,'Сен'!$G$11,'Окт'!$G$11,'Ноя'!$G$11,'Дек'!$G$11)=TRUE,"✓",""))</f>
        <v/>
      </c>
      <c r="H10" s="51">
        <f>IF('Старт'!$B$17="","",IF(CHOOSE(MATCH($B$2,'Списки'!$H$2:$H$13,0),'Янв'!$G$12,'Фев'!$G$12,'Мар'!$G$12,'Апр'!$G$12,'Май'!$G$12,'Июн'!$G$12,'Июл'!$G$12,'Авг'!$G$12,'Сен'!$G$12,'Окт'!$G$12,'Ноя'!$G$12,'Дек'!$G$12)=TRUE,"✓",""))</f>
        <v/>
      </c>
      <c r="I10" s="51">
        <f>IF('Старт'!$B$17="","",IF(CHOOSE(MATCH($B$2,'Списки'!$H$2:$H$13,0),'Янв'!$G$13,'Фев'!$G$13,'Мар'!$G$13,'Апр'!$G$13,'Май'!$G$13,'Июн'!$G$13,'Июл'!$G$13,'Авг'!$G$13,'Сен'!$G$13,'Окт'!$G$13,'Ноя'!$G$13,'Дек'!$G$13)=TRUE,"✓",""))</f>
        <v/>
      </c>
      <c r="J10" s="51">
        <f>IF('Старт'!$B$17="","",IF(CHOOSE(MATCH($B$2,'Списки'!$H$2:$H$13,0),'Янв'!$G$14,'Фев'!$G$14,'Мар'!$G$14,'Апр'!$G$14,'Май'!$G$14,'Июн'!$G$14,'Июл'!$G$14,'Авг'!$G$14,'Сен'!$G$14,'Окт'!$G$14,'Ноя'!$G$14,'Дек'!$G$14)=TRUE,"✓",""))</f>
        <v/>
      </c>
      <c r="K10" s="51">
        <f>IF('Старт'!$B$17="","",IF(CHOOSE(MATCH($B$2,'Списки'!$H$2:$H$13,0),'Янв'!$G$15,'Фев'!$G$15,'Мар'!$G$15,'Апр'!$G$15,'Май'!$G$15,'Июн'!$G$15,'Июл'!$G$15,'Авг'!$G$15,'Сен'!$G$15,'Окт'!$G$15,'Ноя'!$G$15,'Дек'!$G$15)=TRUE,"✓",""))</f>
        <v/>
      </c>
      <c r="L10" s="51">
        <f>IF('Старт'!$B$17="","",IF(CHOOSE(MATCH($B$2,'Списки'!$H$2:$H$13,0),'Янв'!$G$16,'Фев'!$G$16,'Мар'!$G$16,'Апр'!$G$16,'Май'!$G$16,'Июн'!$G$16,'Июл'!$G$16,'Авг'!$G$16,'Сен'!$G$16,'Окт'!$G$16,'Ноя'!$G$16,'Дек'!$G$16)=TRUE,"✓",""))</f>
        <v/>
      </c>
      <c r="M10" s="51">
        <f>IF('Старт'!$B$17="","",IF(CHOOSE(MATCH($B$2,'Списки'!$H$2:$H$13,0),'Янв'!$G$17,'Фев'!$G$17,'Мар'!$G$17,'Апр'!$G$17,'Май'!$G$17,'Июн'!$G$17,'Июл'!$G$17,'Авг'!$G$17,'Сен'!$G$17,'Окт'!$G$17,'Ноя'!$G$17,'Дек'!$G$17)=TRUE,"✓",""))</f>
        <v/>
      </c>
      <c r="N10" s="51">
        <f>IF('Старт'!$B$17="","",IF(CHOOSE(MATCH($B$2,'Списки'!$H$2:$H$13,0),'Янв'!$G$18,'Фев'!$G$18,'Мар'!$G$18,'Апр'!$G$18,'Май'!$G$18,'Июн'!$G$18,'Июл'!$G$18,'Авг'!$G$18,'Сен'!$G$18,'Окт'!$G$18,'Ноя'!$G$18,'Дек'!$G$18)=TRUE,"✓",""))</f>
        <v/>
      </c>
      <c r="O10" s="51">
        <f>IF('Старт'!$B$17="","",IF(CHOOSE(MATCH($B$2,'Списки'!$H$2:$H$13,0),'Янв'!$G$19,'Фев'!$G$19,'Мар'!$G$19,'Апр'!$G$19,'Май'!$G$19,'Июн'!$G$19,'Июл'!$G$19,'Авг'!$G$19,'Сен'!$G$19,'Окт'!$G$19,'Ноя'!$G$19,'Дек'!$G$19)=TRUE,"✓",""))</f>
        <v/>
      </c>
      <c r="P10" s="51">
        <f>IF('Старт'!$B$17="","",IF(CHOOSE(MATCH($B$2,'Списки'!$H$2:$H$13,0),'Янв'!$G$20,'Фев'!$G$20,'Мар'!$G$20,'Апр'!$G$20,'Май'!$G$20,'Июн'!$G$20,'Июл'!$G$20,'Авг'!$G$20,'Сен'!$G$20,'Окт'!$G$20,'Ноя'!$G$20,'Дек'!$G$20)=TRUE,"✓",""))</f>
        <v/>
      </c>
      <c r="Q10" s="51">
        <f>IF('Старт'!$B$17="","",IF(CHOOSE(MATCH($B$2,'Списки'!$H$2:$H$13,0),'Янв'!$G$21,'Фев'!$G$21,'Мар'!$G$21,'Апр'!$G$21,'Май'!$G$21,'Июн'!$G$21,'Июл'!$G$21,'Авг'!$G$21,'Сен'!$G$21,'Окт'!$G$21,'Ноя'!$G$21,'Дек'!$G$21)=TRUE,"✓",""))</f>
        <v/>
      </c>
      <c r="R10" s="51">
        <f>IF('Старт'!$B$17="","",IF(CHOOSE(MATCH($B$2,'Списки'!$H$2:$H$13,0),'Янв'!$G$22,'Фев'!$G$22,'Мар'!$G$22,'Апр'!$G$22,'Май'!$G$22,'Июн'!$G$22,'Июл'!$G$22,'Авг'!$G$22,'Сен'!$G$22,'Окт'!$G$22,'Ноя'!$G$22,'Дек'!$G$22)=TRUE,"✓",""))</f>
        <v/>
      </c>
      <c r="S10" s="51">
        <f>IF('Старт'!$B$17="","",IF(CHOOSE(MATCH($B$2,'Списки'!$H$2:$H$13,0),'Янв'!$G$23,'Фев'!$G$23,'Мар'!$G$23,'Апр'!$G$23,'Май'!$G$23,'Июн'!$G$23,'Июл'!$G$23,'Авг'!$G$23,'Сен'!$G$23,'Окт'!$G$23,'Ноя'!$G$23,'Дек'!$G$23)=TRUE,"✓",""))</f>
        <v/>
      </c>
      <c r="T10" s="51">
        <f>IF('Старт'!$B$17="","",IF(CHOOSE(MATCH($B$2,'Списки'!$H$2:$H$13,0),'Янв'!$G$24,'Фев'!$G$24,'Мар'!$G$24,'Апр'!$G$24,'Май'!$G$24,'Июн'!$G$24,'Июл'!$G$24,'Авг'!$G$24,'Сен'!$G$24,'Окт'!$G$24,'Ноя'!$G$24,'Дек'!$G$24)=TRUE,"✓",""))</f>
        <v/>
      </c>
      <c r="U10" s="51">
        <f>IF('Старт'!$B$17="","",IF(CHOOSE(MATCH($B$2,'Списки'!$H$2:$H$13,0),'Янв'!$G$25,'Фев'!$G$25,'Мар'!$G$25,'Апр'!$G$25,'Май'!$G$25,'Июн'!$G$25,'Июл'!$G$25,'Авг'!$G$25,'Сен'!$G$25,'Окт'!$G$25,'Ноя'!$G$25,'Дек'!$G$25)=TRUE,"✓",""))</f>
        <v/>
      </c>
      <c r="V10" s="51">
        <f>IF('Старт'!$B$17="","",IF(CHOOSE(MATCH($B$2,'Списки'!$H$2:$H$13,0),'Янв'!$G$26,'Фев'!$G$26,'Мар'!$G$26,'Апр'!$G$26,'Май'!$G$26,'Июн'!$G$26,'Июл'!$G$26,'Авг'!$G$26,'Сен'!$G$26,'Окт'!$G$26,'Ноя'!$G$26,'Дек'!$G$26)=TRUE,"✓",""))</f>
        <v/>
      </c>
      <c r="W10" s="51">
        <f>IF('Старт'!$B$17="","",IF(CHOOSE(MATCH($B$2,'Списки'!$H$2:$H$13,0),'Янв'!$G$27,'Фев'!$G$27,'Мар'!$G$27,'Апр'!$G$27,'Май'!$G$27,'Июн'!$G$27,'Июл'!$G$27,'Авг'!$G$27,'Сен'!$G$27,'Окт'!$G$27,'Ноя'!$G$27,'Дек'!$G$27)=TRUE,"✓",""))</f>
        <v/>
      </c>
      <c r="X10" s="51">
        <f>IF('Старт'!$B$17="","",IF(CHOOSE(MATCH($B$2,'Списки'!$H$2:$H$13,0),'Янв'!$G$28,'Фев'!$G$28,'Мар'!$G$28,'Апр'!$G$28,'Май'!$G$28,'Июн'!$G$28,'Июл'!$G$28,'Авг'!$G$28,'Сен'!$G$28,'Окт'!$G$28,'Ноя'!$G$28,'Дек'!$G$28)=TRUE,"✓",""))</f>
        <v/>
      </c>
      <c r="Y10" s="51">
        <f>IF('Старт'!$B$17="","",IF(CHOOSE(MATCH($B$2,'Списки'!$H$2:$H$13,0),'Янв'!$G$29,'Фев'!$G$29,'Мар'!$G$29,'Апр'!$G$29,'Май'!$G$29,'Июн'!$G$29,'Июл'!$G$29,'Авг'!$G$29,'Сен'!$G$29,'Окт'!$G$29,'Ноя'!$G$29,'Дек'!$G$29)=TRUE,"✓",""))</f>
        <v/>
      </c>
      <c r="Z10" s="51">
        <f>IF('Старт'!$B$17="","",IF(CHOOSE(MATCH($B$2,'Списки'!$H$2:$H$13,0),'Янв'!$G$30,'Фев'!$G$30,'Мар'!$G$30,'Апр'!$G$30,'Май'!$G$30,'Июн'!$G$30,'Июл'!$G$30,'Авг'!$G$30,'Сен'!$G$30,'Окт'!$G$30,'Ноя'!$G$30,'Дек'!$G$30)=TRUE,"✓",""))</f>
        <v/>
      </c>
      <c r="AA10" s="51">
        <f>IF('Старт'!$B$17="","",IF(CHOOSE(MATCH($B$2,'Списки'!$H$2:$H$13,0),'Янв'!$G$31,'Фев'!$G$31,'Мар'!$G$31,'Апр'!$G$31,'Май'!$G$31,'Июн'!$G$31,'Июл'!$G$31,'Авг'!$G$31,'Сен'!$G$31,'Окт'!$G$31,'Ноя'!$G$31,'Дек'!$G$31)=TRUE,"✓",""))</f>
        <v/>
      </c>
      <c r="AB10" s="51">
        <f>IF('Старт'!$B$17="","",IF(CHOOSE(MATCH($B$2,'Списки'!$H$2:$H$13,0),'Янв'!$G$32,'Фев'!$G$32,'Мар'!$G$32,'Апр'!$G$32,'Май'!$G$32,'Июн'!$G$32,'Июл'!$G$32,'Авг'!$G$32,'Сен'!$G$32,'Окт'!$G$32,'Ноя'!$G$32,'Дек'!$G$32)=TRUE,"✓",""))</f>
        <v/>
      </c>
      <c r="AC10" s="51">
        <f>IF('Старт'!$B$17="","",IF(CHOOSE(MATCH($B$2,'Списки'!$H$2:$H$13,0),'Янв'!$G$33,'Фев'!$G$33,'Мар'!$G$33,'Апр'!$G$33,'Май'!$G$33,'Июн'!$G$33,'Июл'!$G$33,'Авг'!$G$33,'Сен'!$G$33,'Окт'!$G$33,'Ноя'!$G$33,'Дек'!$G$33)=TRUE,"✓",""))</f>
        <v/>
      </c>
      <c r="AD10" s="51">
        <f>IF('Старт'!$B$17="","",IF(CHOOSE(MATCH($B$2,'Списки'!$H$2:$H$13,0),'Янв'!$G$34,'Фев'!$G$34,'Мар'!$G$34,'Апр'!$G$34,'Май'!$G$34,'Июн'!$G$34,'Июл'!$G$34,'Авг'!$G$34,'Сен'!$G$34,'Окт'!$G$34,'Ноя'!$G$34,'Дек'!$G$34)=TRUE,"✓",""))</f>
        <v/>
      </c>
      <c r="AE10" s="51">
        <f>IF('Старт'!$B$17="","",IF(CHOOSE(MATCH($B$2,'Списки'!$H$2:$H$13,0),'Янв'!$G$35,'Фев'!$G$35,'Мар'!$G$35,'Апр'!$G$35,'Май'!$G$35,'Июн'!$G$35,'Июл'!$G$35,'Авг'!$G$35,'Сен'!$G$35,'Окт'!$G$35,'Ноя'!$G$35,'Дек'!$G$35)=TRUE,"✓",""))</f>
        <v/>
      </c>
      <c r="AF10" s="51">
        <f>IF('Старт'!$B$17="","",IF(CHOOSE(MATCH($B$2,'Списки'!$H$2:$H$13,0),'Янв'!$G$36,'Фев'!$G$36,'Мар'!$G$36,'Апр'!$G$36,'Май'!$G$36,'Июн'!$G$36,'Июл'!$G$36,'Авг'!$G$36,'Сен'!$G$36,'Окт'!$G$36,'Ноя'!$G$36,'Дек'!$G$36)=TRUE,"✓",""))</f>
        <v/>
      </c>
    </row>
    <row r="11" spans="1:32" ht="25.5" customHeight="1">
      <c r="A11" s="29">
        <f>IF('Старт'!$B$18="","",'Старт'!$B$18)</f>
        <v/>
      </c>
      <c r="B11" s="51">
        <f>IF('Старт'!$B$18="","",IF(CHOOSE(MATCH($B$2,'Списки'!$H$2:$H$13,0),'Янв'!$H$6,'Фев'!$H$6,'Мар'!$H$6,'Апр'!$H$6,'Май'!$H$6,'Июн'!$H$6,'Июл'!$H$6,'Авг'!$H$6,'Сен'!$H$6,'Окт'!$H$6,'Ноя'!$H$6,'Дек'!$H$6)=TRUE,"✓",""))</f>
        <v/>
      </c>
      <c r="C11" s="51">
        <f>IF('Старт'!$B$18="","",IF(CHOOSE(MATCH($B$2,'Списки'!$H$2:$H$13,0),'Янв'!$H$7,'Фев'!$H$7,'Мар'!$H$7,'Апр'!$H$7,'Май'!$H$7,'Июн'!$H$7,'Июл'!$H$7,'Авг'!$H$7,'Сен'!$H$7,'Окт'!$H$7,'Ноя'!$H$7,'Дек'!$H$7)=TRUE,"✓",""))</f>
        <v/>
      </c>
      <c r="D11" s="51">
        <f>IF('Старт'!$B$18="","",IF(CHOOSE(MATCH($B$2,'Списки'!$H$2:$H$13,0),'Янв'!$H$8,'Фев'!$H$8,'Мар'!$H$8,'Апр'!$H$8,'Май'!$H$8,'Июн'!$H$8,'Июл'!$H$8,'Авг'!$H$8,'Сен'!$H$8,'Окт'!$H$8,'Ноя'!$H$8,'Дек'!$H$8)=TRUE,"✓",""))</f>
        <v/>
      </c>
      <c r="E11" s="51">
        <f>IF('Старт'!$B$18="","",IF(CHOOSE(MATCH($B$2,'Списки'!$H$2:$H$13,0),'Янв'!$H$9,'Фев'!$H$9,'Мар'!$H$9,'Апр'!$H$9,'Май'!$H$9,'Июн'!$H$9,'Июл'!$H$9,'Авг'!$H$9,'Сен'!$H$9,'Окт'!$H$9,'Ноя'!$H$9,'Дек'!$H$9)=TRUE,"✓",""))</f>
        <v/>
      </c>
      <c r="F11" s="51">
        <f>IF('Старт'!$B$18="","",IF(CHOOSE(MATCH($B$2,'Списки'!$H$2:$H$13,0),'Янв'!$H$10,'Фев'!$H$10,'Мар'!$H$10,'Апр'!$H$10,'Май'!$H$10,'Июн'!$H$10,'Июл'!$H$10,'Авг'!$H$10,'Сен'!$H$10,'Окт'!$H$10,'Ноя'!$H$10,'Дек'!$H$10)=TRUE,"✓",""))</f>
        <v/>
      </c>
      <c r="G11" s="51">
        <f>IF('Старт'!$B$18="","",IF(CHOOSE(MATCH($B$2,'Списки'!$H$2:$H$13,0),'Янв'!$H$11,'Фев'!$H$11,'Мар'!$H$11,'Апр'!$H$11,'Май'!$H$11,'Июн'!$H$11,'Июл'!$H$11,'Авг'!$H$11,'Сен'!$H$11,'Окт'!$H$11,'Ноя'!$H$11,'Дек'!$H$11)=TRUE,"✓",""))</f>
        <v/>
      </c>
      <c r="H11" s="51">
        <f>IF('Старт'!$B$18="","",IF(CHOOSE(MATCH($B$2,'Списки'!$H$2:$H$13,0),'Янв'!$H$12,'Фев'!$H$12,'Мар'!$H$12,'Апр'!$H$12,'Май'!$H$12,'Июн'!$H$12,'Июл'!$H$12,'Авг'!$H$12,'Сен'!$H$12,'Окт'!$H$12,'Ноя'!$H$12,'Дек'!$H$12)=TRUE,"✓",""))</f>
        <v/>
      </c>
      <c r="I11" s="51">
        <f>IF('Старт'!$B$18="","",IF(CHOOSE(MATCH($B$2,'Списки'!$H$2:$H$13,0),'Янв'!$H$13,'Фев'!$H$13,'Мар'!$H$13,'Апр'!$H$13,'Май'!$H$13,'Июн'!$H$13,'Июл'!$H$13,'Авг'!$H$13,'Сен'!$H$13,'Окт'!$H$13,'Ноя'!$H$13,'Дек'!$H$13)=TRUE,"✓",""))</f>
        <v/>
      </c>
      <c r="J11" s="51">
        <f>IF('Старт'!$B$18="","",IF(CHOOSE(MATCH($B$2,'Списки'!$H$2:$H$13,0),'Янв'!$H$14,'Фев'!$H$14,'Мар'!$H$14,'Апр'!$H$14,'Май'!$H$14,'Июн'!$H$14,'Июл'!$H$14,'Авг'!$H$14,'Сен'!$H$14,'Окт'!$H$14,'Ноя'!$H$14,'Дек'!$H$14)=TRUE,"✓",""))</f>
        <v/>
      </c>
      <c r="K11" s="51">
        <f>IF('Старт'!$B$18="","",IF(CHOOSE(MATCH($B$2,'Списки'!$H$2:$H$13,0),'Янв'!$H$15,'Фев'!$H$15,'Мар'!$H$15,'Апр'!$H$15,'Май'!$H$15,'Июн'!$H$15,'Июл'!$H$15,'Авг'!$H$15,'Сен'!$H$15,'Окт'!$H$15,'Ноя'!$H$15,'Дек'!$H$15)=TRUE,"✓",""))</f>
        <v/>
      </c>
      <c r="L11" s="51">
        <f>IF('Старт'!$B$18="","",IF(CHOOSE(MATCH($B$2,'Списки'!$H$2:$H$13,0),'Янв'!$H$16,'Фев'!$H$16,'Мар'!$H$16,'Апр'!$H$16,'Май'!$H$16,'Июн'!$H$16,'Июл'!$H$16,'Авг'!$H$16,'Сен'!$H$16,'Окт'!$H$16,'Ноя'!$H$16,'Дек'!$H$16)=TRUE,"✓",""))</f>
        <v/>
      </c>
      <c r="M11" s="51">
        <f>IF('Старт'!$B$18="","",IF(CHOOSE(MATCH($B$2,'Списки'!$H$2:$H$13,0),'Янв'!$H$17,'Фев'!$H$17,'Мар'!$H$17,'Апр'!$H$17,'Май'!$H$17,'Июн'!$H$17,'Июл'!$H$17,'Авг'!$H$17,'Сен'!$H$17,'Окт'!$H$17,'Ноя'!$H$17,'Дек'!$H$17)=TRUE,"✓",""))</f>
        <v/>
      </c>
      <c r="N11" s="51">
        <f>IF('Старт'!$B$18="","",IF(CHOOSE(MATCH($B$2,'Списки'!$H$2:$H$13,0),'Янв'!$H$18,'Фев'!$H$18,'Мар'!$H$18,'Апр'!$H$18,'Май'!$H$18,'Июн'!$H$18,'Июл'!$H$18,'Авг'!$H$18,'Сен'!$H$18,'Окт'!$H$18,'Ноя'!$H$18,'Дек'!$H$18)=TRUE,"✓",""))</f>
        <v/>
      </c>
      <c r="O11" s="51">
        <f>IF('Старт'!$B$18="","",IF(CHOOSE(MATCH($B$2,'Списки'!$H$2:$H$13,0),'Янв'!$H$19,'Фев'!$H$19,'Мар'!$H$19,'Апр'!$H$19,'Май'!$H$19,'Июн'!$H$19,'Июл'!$H$19,'Авг'!$H$19,'Сен'!$H$19,'Окт'!$H$19,'Ноя'!$H$19,'Дек'!$H$19)=TRUE,"✓",""))</f>
        <v/>
      </c>
      <c r="P11" s="51">
        <f>IF('Старт'!$B$18="","",IF(CHOOSE(MATCH($B$2,'Списки'!$H$2:$H$13,0),'Янв'!$H$20,'Фев'!$H$20,'Мар'!$H$20,'Апр'!$H$20,'Май'!$H$20,'Июн'!$H$20,'Июл'!$H$20,'Авг'!$H$20,'Сен'!$H$20,'Окт'!$H$20,'Ноя'!$H$20,'Дек'!$H$20)=TRUE,"✓",""))</f>
        <v/>
      </c>
      <c r="Q11" s="51">
        <f>IF('Старт'!$B$18="","",IF(CHOOSE(MATCH($B$2,'Списки'!$H$2:$H$13,0),'Янв'!$H$21,'Фев'!$H$21,'Мар'!$H$21,'Апр'!$H$21,'Май'!$H$21,'Июн'!$H$21,'Июл'!$H$21,'Авг'!$H$21,'Сен'!$H$21,'Окт'!$H$21,'Ноя'!$H$21,'Дек'!$H$21)=TRUE,"✓",""))</f>
        <v/>
      </c>
      <c r="R11" s="51">
        <f>IF('Старт'!$B$18="","",IF(CHOOSE(MATCH($B$2,'Списки'!$H$2:$H$13,0),'Янв'!$H$22,'Фев'!$H$22,'Мар'!$H$22,'Апр'!$H$22,'Май'!$H$22,'Июн'!$H$22,'Июл'!$H$22,'Авг'!$H$22,'Сен'!$H$22,'Окт'!$H$22,'Ноя'!$H$22,'Дек'!$H$22)=TRUE,"✓",""))</f>
        <v/>
      </c>
      <c r="S11" s="51">
        <f>IF('Старт'!$B$18="","",IF(CHOOSE(MATCH($B$2,'Списки'!$H$2:$H$13,0),'Янв'!$H$23,'Фев'!$H$23,'Мар'!$H$23,'Апр'!$H$23,'Май'!$H$23,'Июн'!$H$23,'Июл'!$H$23,'Авг'!$H$23,'Сен'!$H$23,'Окт'!$H$23,'Ноя'!$H$23,'Дек'!$H$23)=TRUE,"✓",""))</f>
        <v/>
      </c>
      <c r="T11" s="51">
        <f>IF('Старт'!$B$18="","",IF(CHOOSE(MATCH($B$2,'Списки'!$H$2:$H$13,0),'Янв'!$H$24,'Фев'!$H$24,'Мар'!$H$24,'Апр'!$H$24,'Май'!$H$24,'Июн'!$H$24,'Июл'!$H$24,'Авг'!$H$24,'Сен'!$H$24,'Окт'!$H$24,'Ноя'!$H$24,'Дек'!$H$24)=TRUE,"✓",""))</f>
        <v/>
      </c>
      <c r="U11" s="51">
        <f>IF('Старт'!$B$18="","",IF(CHOOSE(MATCH($B$2,'Списки'!$H$2:$H$13,0),'Янв'!$H$25,'Фев'!$H$25,'Мар'!$H$25,'Апр'!$H$25,'Май'!$H$25,'Июн'!$H$25,'Июл'!$H$25,'Авг'!$H$25,'Сен'!$H$25,'Окт'!$H$25,'Ноя'!$H$25,'Дек'!$H$25)=TRUE,"✓",""))</f>
        <v/>
      </c>
      <c r="V11" s="51">
        <f>IF('Старт'!$B$18="","",IF(CHOOSE(MATCH($B$2,'Списки'!$H$2:$H$13,0),'Янв'!$H$26,'Фев'!$H$26,'Мар'!$H$26,'Апр'!$H$26,'Май'!$H$26,'Июн'!$H$26,'Июл'!$H$26,'Авг'!$H$26,'Сен'!$H$26,'Окт'!$H$26,'Ноя'!$H$26,'Дек'!$H$26)=TRUE,"✓",""))</f>
        <v/>
      </c>
      <c r="W11" s="51">
        <f>IF('Старт'!$B$18="","",IF(CHOOSE(MATCH($B$2,'Списки'!$H$2:$H$13,0),'Янв'!$H$27,'Фев'!$H$27,'Мар'!$H$27,'Апр'!$H$27,'Май'!$H$27,'Июн'!$H$27,'Июл'!$H$27,'Авг'!$H$27,'Сен'!$H$27,'Окт'!$H$27,'Ноя'!$H$27,'Дек'!$H$27)=TRUE,"✓",""))</f>
        <v/>
      </c>
      <c r="X11" s="51">
        <f>IF('Старт'!$B$18="","",IF(CHOOSE(MATCH($B$2,'Списки'!$H$2:$H$13,0),'Янв'!$H$28,'Фев'!$H$28,'Мар'!$H$28,'Апр'!$H$28,'Май'!$H$28,'Июн'!$H$28,'Июл'!$H$28,'Авг'!$H$28,'Сен'!$H$28,'Окт'!$H$28,'Ноя'!$H$28,'Дек'!$H$28)=TRUE,"✓",""))</f>
        <v/>
      </c>
      <c r="Y11" s="51">
        <f>IF('Старт'!$B$18="","",IF(CHOOSE(MATCH($B$2,'Списки'!$H$2:$H$13,0),'Янв'!$H$29,'Фев'!$H$29,'Мар'!$H$29,'Апр'!$H$29,'Май'!$H$29,'Июн'!$H$29,'Июл'!$H$29,'Авг'!$H$29,'Сен'!$H$29,'Окт'!$H$29,'Ноя'!$H$29,'Дек'!$H$29)=TRUE,"✓",""))</f>
        <v/>
      </c>
      <c r="Z11" s="51">
        <f>IF('Старт'!$B$18="","",IF(CHOOSE(MATCH($B$2,'Списки'!$H$2:$H$13,0),'Янв'!$H$30,'Фев'!$H$30,'Мар'!$H$30,'Апр'!$H$30,'Май'!$H$30,'Июн'!$H$30,'Июл'!$H$30,'Авг'!$H$30,'Сен'!$H$30,'Окт'!$H$30,'Ноя'!$H$30,'Дек'!$H$30)=TRUE,"✓",""))</f>
        <v/>
      </c>
      <c r="AA11" s="51">
        <f>IF('Старт'!$B$18="","",IF(CHOOSE(MATCH($B$2,'Списки'!$H$2:$H$13,0),'Янв'!$H$31,'Фев'!$H$31,'Мар'!$H$31,'Апр'!$H$31,'Май'!$H$31,'Июн'!$H$31,'Июл'!$H$31,'Авг'!$H$31,'Сен'!$H$31,'Окт'!$H$31,'Ноя'!$H$31,'Дек'!$H$31)=TRUE,"✓",""))</f>
        <v/>
      </c>
      <c r="AB11" s="51">
        <f>IF('Старт'!$B$18="","",IF(CHOOSE(MATCH($B$2,'Списки'!$H$2:$H$13,0),'Янв'!$H$32,'Фев'!$H$32,'Мар'!$H$32,'Апр'!$H$32,'Май'!$H$32,'Июн'!$H$32,'Июл'!$H$32,'Авг'!$H$32,'Сен'!$H$32,'Окт'!$H$32,'Ноя'!$H$32,'Дек'!$H$32)=TRUE,"✓",""))</f>
        <v/>
      </c>
      <c r="AC11" s="51">
        <f>IF('Старт'!$B$18="","",IF(CHOOSE(MATCH($B$2,'Списки'!$H$2:$H$13,0),'Янв'!$H$33,'Фев'!$H$33,'Мар'!$H$33,'Апр'!$H$33,'Май'!$H$33,'Июн'!$H$33,'Июл'!$H$33,'Авг'!$H$33,'Сен'!$H$33,'Окт'!$H$33,'Ноя'!$H$33,'Дек'!$H$33)=TRUE,"✓",""))</f>
        <v/>
      </c>
      <c r="AD11" s="51">
        <f>IF('Старт'!$B$18="","",IF(CHOOSE(MATCH($B$2,'Списки'!$H$2:$H$13,0),'Янв'!$H$34,'Фев'!$H$34,'Мар'!$H$34,'Апр'!$H$34,'Май'!$H$34,'Июн'!$H$34,'Июл'!$H$34,'Авг'!$H$34,'Сен'!$H$34,'Окт'!$H$34,'Ноя'!$H$34,'Дек'!$H$34)=TRUE,"✓",""))</f>
        <v/>
      </c>
      <c r="AE11" s="51">
        <f>IF('Старт'!$B$18="","",IF(CHOOSE(MATCH($B$2,'Списки'!$H$2:$H$13,0),'Янв'!$H$35,'Фев'!$H$35,'Мар'!$H$35,'Апр'!$H$35,'Май'!$H$35,'Июн'!$H$35,'Июл'!$H$35,'Авг'!$H$35,'Сен'!$H$35,'Окт'!$H$35,'Ноя'!$H$35,'Дек'!$H$35)=TRUE,"✓",""))</f>
        <v/>
      </c>
      <c r="AF11" s="51">
        <f>IF('Старт'!$B$18="","",IF(CHOOSE(MATCH($B$2,'Списки'!$H$2:$H$13,0),'Янв'!$H$36,'Фев'!$H$36,'Мар'!$H$36,'Апр'!$H$36,'Май'!$H$36,'Июн'!$H$36,'Июл'!$H$36,'Авг'!$H$36,'Сен'!$H$36,'Окт'!$H$36,'Ноя'!$H$36,'Дек'!$H$36)=TRUE,"✓",""))</f>
        <v/>
      </c>
    </row>
  </sheetData>
  <mergeCells count="1">
    <mergeCell ref="A1:I1"/>
  </mergeCells>
  <dataValidations count="1">
    <dataValidation type="list" allowBlank="1" showInputMessage="1" showErrorMessage="1" sqref="B2">
      <formula1>"Янв,Фев,Мар,Апр,Май,Июн,Июл,Авг,Сен,Окт,Ноя,Дек"</formula1>
    </dataValidation>
  </dataValidation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E1" t="s">
        <v>156</v>
      </c>
      <c r="F1" t="s">
        <v>61</v>
      </c>
      <c r="H1" t="s">
        <v>64</v>
      </c>
    </row>
    <row r="2" spans="1:8">
      <c r="A2" t="s">
        <v>133</v>
      </c>
      <c r="B2" t="s">
        <v>137</v>
      </c>
      <c r="C2" t="s">
        <v>140</v>
      </c>
      <c r="D2" t="s">
        <v>10</v>
      </c>
      <c r="E2">
        <v>0</v>
      </c>
      <c r="F2" t="s">
        <v>157</v>
      </c>
      <c r="H2" t="s">
        <v>35</v>
      </c>
    </row>
    <row r="3" spans="1:8">
      <c r="A3" t="s">
        <v>134</v>
      </c>
      <c r="B3" t="s">
        <v>138</v>
      </c>
      <c r="C3" t="s">
        <v>141</v>
      </c>
      <c r="D3" t="s">
        <v>13</v>
      </c>
      <c r="E3">
        <v>200</v>
      </c>
      <c r="F3" t="s">
        <v>157</v>
      </c>
      <c r="H3" t="s">
        <v>36</v>
      </c>
    </row>
    <row r="4" spans="1:8">
      <c r="A4" t="s">
        <v>135</v>
      </c>
      <c r="B4" t="s">
        <v>139</v>
      </c>
      <c r="C4" t="s">
        <v>142</v>
      </c>
      <c r="D4" t="s">
        <v>16</v>
      </c>
      <c r="E4">
        <v>600</v>
      </c>
      <c r="F4" t="s">
        <v>157</v>
      </c>
      <c r="H4" t="s">
        <v>37</v>
      </c>
    </row>
    <row r="5" spans="1:8">
      <c r="A5" t="s">
        <v>136</v>
      </c>
      <c r="C5" t="s">
        <v>143</v>
      </c>
      <c r="D5" t="s">
        <v>19</v>
      </c>
      <c r="E5">
        <v>1200</v>
      </c>
      <c r="F5" t="s">
        <v>158</v>
      </c>
      <c r="H5" t="s">
        <v>38</v>
      </c>
    </row>
    <row r="6" spans="1:8">
      <c r="C6" t="s">
        <v>144</v>
      </c>
      <c r="D6" t="s">
        <v>145</v>
      </c>
      <c r="E6">
        <v>2000</v>
      </c>
      <c r="F6" t="s">
        <v>158</v>
      </c>
      <c r="H6" t="s">
        <v>39</v>
      </c>
    </row>
    <row r="7" spans="1:8">
      <c r="D7" t="s">
        <v>22</v>
      </c>
      <c r="E7">
        <v>3000</v>
      </c>
      <c r="F7" t="s">
        <v>158</v>
      </c>
      <c r="H7" t="s">
        <v>40</v>
      </c>
    </row>
    <row r="8" spans="1:8">
      <c r="D8" t="s">
        <v>146</v>
      </c>
      <c r="E8">
        <v>4200</v>
      </c>
      <c r="F8" t="s">
        <v>158</v>
      </c>
      <c r="H8" t="s">
        <v>41</v>
      </c>
    </row>
    <row r="9" spans="1:8">
      <c r="D9" t="s">
        <v>147</v>
      </c>
      <c r="E9">
        <v>5600</v>
      </c>
      <c r="F9" t="s">
        <v>159</v>
      </c>
      <c r="H9" t="s">
        <v>42</v>
      </c>
    </row>
    <row r="10" spans="1:8">
      <c r="D10" t="s">
        <v>148</v>
      </c>
      <c r="E10">
        <v>7200</v>
      </c>
      <c r="F10" t="s">
        <v>159</v>
      </c>
      <c r="H10" t="s">
        <v>43</v>
      </c>
    </row>
    <row r="11" spans="1:8">
      <c r="D11" t="s">
        <v>149</v>
      </c>
      <c r="E11">
        <v>9000</v>
      </c>
      <c r="F11" t="s">
        <v>159</v>
      </c>
      <c r="H11" t="s">
        <v>44</v>
      </c>
    </row>
    <row r="12" spans="1:8">
      <c r="D12" t="s">
        <v>150</v>
      </c>
      <c r="E12">
        <v>11000</v>
      </c>
      <c r="F12" t="s">
        <v>159</v>
      </c>
      <c r="H12" t="s">
        <v>45</v>
      </c>
    </row>
    <row r="13" spans="1:8">
      <c r="D13" t="s">
        <v>151</v>
      </c>
      <c r="E13">
        <v>13200</v>
      </c>
      <c r="F13" t="s">
        <v>160</v>
      </c>
      <c r="H13" t="s">
        <v>46</v>
      </c>
    </row>
    <row r="14" spans="1:8">
      <c r="D14" t="s">
        <v>152</v>
      </c>
      <c r="E14">
        <v>15600</v>
      </c>
      <c r="F14" t="s">
        <v>160</v>
      </c>
    </row>
    <row r="15" spans="1:8">
      <c r="D15" t="s">
        <v>153</v>
      </c>
      <c r="E15">
        <v>18200</v>
      </c>
      <c r="F15" t="s">
        <v>160</v>
      </c>
    </row>
    <row r="16" spans="1:8">
      <c r="D16" t="s">
        <v>154</v>
      </c>
      <c r="E16">
        <v>21000</v>
      </c>
      <c r="F16" t="s">
        <v>160</v>
      </c>
    </row>
    <row r="17" spans="4:6">
      <c r="D17" t="s">
        <v>155</v>
      </c>
      <c r="E17">
        <v>24000</v>
      </c>
      <c r="F17" t="s">
        <v>160</v>
      </c>
    </row>
    <row r="18" spans="4:6">
      <c r="E18">
        <v>27200</v>
      </c>
      <c r="F18" t="s">
        <v>160</v>
      </c>
    </row>
    <row r="19" spans="4:6">
      <c r="E19">
        <v>30600</v>
      </c>
      <c r="F19" t="s">
        <v>160</v>
      </c>
    </row>
    <row r="20" spans="4:6">
      <c r="E20">
        <v>34200</v>
      </c>
      <c r="F20" t="s">
        <v>160</v>
      </c>
    </row>
    <row r="21" spans="4:6">
      <c r="E21">
        <v>38000</v>
      </c>
      <c r="F2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12</vt:i4>
      </vt:variant>
    </vt:vector>
  </HeadingPairs>
  <TitlesOfParts>
    <vt:vector size="29" baseType="lpstr">
      <vt:lpstr>Старт</vt:lpstr>
      <vt:lpstr>Янв</vt:lpstr>
      <vt:lpstr>Фев</vt:lpstr>
      <vt:lpstr>Мар</vt:lpstr>
      <vt:lpstr>Апр</vt:lpstr>
      <vt:lpstr>Май</vt:lpstr>
      <vt:lpstr>Июн</vt:lpstr>
      <vt:lpstr>Июл</vt:lpstr>
      <vt:lpstr>Авг</vt:lpstr>
      <vt:lpstr>Сен</vt:lpstr>
      <vt:lpstr>Окт</vt:lpstr>
      <vt:lpstr>Ноя</vt:lpstr>
      <vt:lpstr>Дек</vt:lpstr>
      <vt:lpstr>Расчёт</vt:lpstr>
      <vt:lpstr>Год</vt:lpstr>
      <vt:lpstr>Обзор</vt:lpstr>
      <vt:lpstr>Списки</vt:lpstr>
      <vt:lpstr>Авг!Print_Area</vt:lpstr>
      <vt:lpstr>Апр!Print_Area</vt:lpstr>
      <vt:lpstr>Дек!Print_Area</vt:lpstr>
      <vt:lpstr>Июл!Print_Area</vt:lpstr>
      <vt:lpstr>Июн!Print_Area</vt:lpstr>
      <vt:lpstr>Май!Print_Area</vt:lpstr>
      <vt:lpstr>Мар!Print_Area</vt:lpstr>
      <vt:lpstr>Ноя!Print_Area</vt:lpstr>
      <vt:lpstr>Окт!Print_Area</vt:lpstr>
      <vt:lpstr>Сен!Print_Area</vt:lpstr>
      <vt:lpstr>Фев!Print_Area</vt:lpstr>
      <vt:lpstr>Янв!Print_Area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Режим · планер привычек</dc:title>
  <dc:creator/>
  <dc:description>Собрано build.py, v2.0</dc:description>
  <cp:lastModifiedBy/>
  <dcterms:created xsi:type="dcterms:W3CDTF">2026-09-21T09:04:52Z</dcterms:created>
  <dcterms:modified xsi:type="dcterms:W3CDTF">2026-09-21T09:04:52Z</dcterms:modified>
</cp:coreProperties>
</file>