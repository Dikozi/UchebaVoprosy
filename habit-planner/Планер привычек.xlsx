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Старт" sheetId="1" r:id="rId1"/>
    <sheet name="Год" sheetId="2" r:id="rId2"/>
    <sheet name="Январь" sheetId="3" r:id="rId3"/>
    <sheet name="Февраль" sheetId="4" r:id="rId4"/>
    <sheet name="Март" sheetId="5" r:id="rId5"/>
    <sheet name="Апрель" sheetId="6" r:id="rId6"/>
    <sheet name="Май" sheetId="7" r:id="rId7"/>
    <sheet name="Июнь" sheetId="8" r:id="rId8"/>
    <sheet name="Июль" sheetId="9" r:id="rId9"/>
    <sheet name="Август" sheetId="10" r:id="rId10"/>
    <sheet name="Сентябрь" sheetId="11" r:id="rId11"/>
    <sheet name="Октябрь" sheetId="12" r:id="rId12"/>
    <sheet name="Ноябрь" sheetId="13" r:id="rId13"/>
    <sheet name="Декабрь" sheetId="14" r:id="rId14"/>
    <sheet name="Списки" sheetId="15" state="hidden" r:id="rId15"/>
  </sheets>
  <definedNames>
    <definedName name="_xlnm.Print_Area" localSheetId="9">Август!$A$1:$AN$81</definedName>
    <definedName name="_xlnm.Print_Area" localSheetId="5">Апрель!$A$1:$AN$81</definedName>
    <definedName name="_xlnm.Print_Area" localSheetId="1">Год!$A$1:$P$56</definedName>
    <definedName name="_xlnm.Print_Area" localSheetId="13">Декабрь!$A$1:$AN$81</definedName>
    <definedName name="_xlnm.Print_Area" localSheetId="8">Июль!$A$1:$AN$81</definedName>
    <definedName name="_xlnm.Print_Area" localSheetId="7">Июнь!$A$1:$AN$81</definedName>
    <definedName name="_xlnm.Print_Area" localSheetId="6">Май!$A$1:$AN$81</definedName>
    <definedName name="_xlnm.Print_Area" localSheetId="4">Март!$A$1:$AN$81</definedName>
    <definedName name="_xlnm.Print_Area" localSheetId="12">Ноябрь!$A$1:$AN$81</definedName>
    <definedName name="_xlnm.Print_Area" localSheetId="11">Октябрь!$A$1:$AN$81</definedName>
    <definedName name="_xlnm.Print_Area" localSheetId="10">Сентябрь!$A$1:$AN$81</definedName>
    <definedName name="_xlnm.Print_Area" localSheetId="3">Февраль!$A$1:$AN$81</definedName>
    <definedName name="_xlnm.Print_Area" localSheetId="2">Январь!$A$1:$AN$81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8"/>
            <color indexed="81"/>
            <rFont val="Tahoma"/>
            <family val="2"/>
          </rPr>
          <t>Сколько дней в месяц планируешь. Пусто = каждый день. Например, тренировки 3 раза в неделю ≈ 12.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sharedStrings.xml><?xml version="1.0" encoding="utf-8"?>
<sst xmlns="http://schemas.openxmlformats.org/spreadsheetml/2006/main" count="640" uniqueCount="157">
  <si>
    <t>ПЛАНЕР ПРИВЫЧЕК</t>
  </si>
  <si>
    <t>Один файл на весь год · 12 месяцев · чекбоксы в один клик · статистика, серии и инсайты считаются сами</t>
  </si>
  <si>
    <t>НАСТРОЙКИ</t>
  </si>
  <si>
    <t>Год</t>
  </si>
  <si>
    <t>все 12 месяцев подстроятся под этот год</t>
  </si>
  <si>
    <t>Имя</t>
  </si>
  <si>
    <t>необязательно</t>
  </si>
  <si>
    <t>Девиз года</t>
  </si>
  <si>
    <t>МОИ ПРИВЫЧКИ</t>
  </si>
  <si>
    <t>№</t>
  </si>
  <si>
    <t>Сфера</t>
  </si>
  <si>
    <t>Привычка</t>
  </si>
  <si>
    <t>Цель, дней в месяц</t>
  </si>
  <si>
    <t>Зачем мне это</t>
  </si>
  <si>
    <t>Здоровье</t>
  </si>
  <si>
    <t>Подъём до 7:00</t>
  </si>
  <si>
    <t>Утро задаёт весь день</t>
  </si>
  <si>
    <t>Спорт</t>
  </si>
  <si>
    <t>Тренировка</t>
  </si>
  <si>
    <t>Сила, энергия, форма</t>
  </si>
  <si>
    <t>10 000 шагов</t>
  </si>
  <si>
    <t>Голова яснее, сон крепче</t>
  </si>
  <si>
    <t>Учёба</t>
  </si>
  <si>
    <t>Чтение 20 минут</t>
  </si>
  <si>
    <t>24 книги за год</t>
  </si>
  <si>
    <t>Личное</t>
  </si>
  <si>
    <t>Медитация 10 минут</t>
  </si>
  <si>
    <t>Спокойствие и фокус</t>
  </si>
  <si>
    <t>Без сахара</t>
  </si>
  <si>
    <t>Ровная энергия весь день</t>
  </si>
  <si>
    <t>Работа</t>
  </si>
  <si>
    <t>План на завтра</t>
  </si>
  <si>
    <t>Утро без хаоса</t>
  </si>
  <si>
    <t>Английский 15 минут</t>
  </si>
  <si>
    <t>Свободно говорить к лету</t>
  </si>
  <si>
    <t>Ячейки с золотистым фоном — для заполнения. Всё остальное считается автоматически.</t>
  </si>
  <si>
    <t>Впиши 5–10 привычек: больше — перегруз, меньше — мало данных для статистики.</t>
  </si>
  <si>
    <t>Пример уже заполнен — просто замени его своими привычками.</t>
  </si>
  <si>
    <t>Название на конкретном месяце можно перезаписать прямо на листе месяца.</t>
  </si>
  <si>
    <t>КАК ПОЛЬЗОВАТЬСЯ</t>
  </si>
  <si>
    <t>1. Впиши год и свои привычки слева. Они появятся на всех 12 листах-месяцах.</t>
  </si>
  <si>
    <t>2. «Цель, дней в месяц» — для привычек не на каждый день (зал 3 раза в неделю ≈ 12). Пусто = ежедневно.</t>
  </si>
  <si>
    <t>3. Открой лист текущего месяца и каждый вечер ставь галочки. Один клик — готово.</t>
  </si>
  <si>
    <t>4. Под сеткой отмечай сон, энергию и настроение — планер покажет, как они влияют на результат.</t>
  </si>
  <si>
    <t>5. В дневнике внизу листа пиши одну строку в день: событие, урок, победа.</t>
  </si>
  <si>
    <t>6. Раз в неделю смотри «Прогресс», серии 🔥, слабый день и «Подтянуть» — и корректируй план.</t>
  </si>
  <si>
    <t>ЧТО СЧИТАЕТСЯ САМО</t>
  </si>
  <si>
    <t>• Прогресс каждой привычки, каждого дня, недели и месяца — относительно уже прошедших дней.</t>
  </si>
  <si>
    <t>• Серии подряд 🔥 и личный рекорд по каждой привычке.</t>
  </si>
  <si>
    <t>• Лучший и слабый день, топ-привычка и что подтянуть, идеальные дни (100%).</t>
  </si>
  <si>
    <t>• Инсайты: средний сон и энергия, прогресс при хорошем и плохом сне.</t>
  </si>
  <si>
    <t>• Лист «Год»: итоги по месяцам, график и тепловая карта «привычки × месяцы».</t>
  </si>
  <si>
    <t>СОВМЕСТИМОСТЬ</t>
  </si>
  <si>
    <t>• Excel 365 (Windows, Mac, Web, iPhone/iPad, Android) — чекбоксы работают сразу.</t>
  </si>
  <si>
    <t>• Google Таблицы: после импорта выдели область галочек → Вставка → Флажок. Формулы работают.</t>
  </si>
  <si>
    <t>• Старые версии Excel: вместо галочки ставь 1 — всё считается так же.</t>
  </si>
  <si>
    <t>• Формулы в серых ячейках лучше не трогать. Скрытые колонки справа от статистики — служебные.</t>
  </si>
  <si>
    <t>Месяцы без отметок остаются пустыми. Всё обновляется само.</t>
  </si>
  <si>
    <t>ПРОГРЕСС ГОДА</t>
  </si>
  <si>
    <t>средний прогресс начатых месяцев</t>
  </si>
  <si>
    <t>ОТМЕТОК ЗА ГОД</t>
  </si>
  <si>
    <t>выполненных привычек</t>
  </si>
  <si>
    <t>ИДЕАЛЬНЫХ ДНЕЙ</t>
  </si>
  <si>
    <t>дней, когда сделано всё</t>
  </si>
  <si>
    <t>ЛУЧШИЙ МЕСЯЦ</t>
  </si>
  <si>
    <t>по прогрессу</t>
  </si>
  <si>
    <t>РЕКОРД СЕРИИ</t>
  </si>
  <si>
    <t>самая длинная серия года</t>
  </si>
  <si>
    <t>Месяц</t>
  </si>
  <si>
    <t>Прогресс</t>
  </si>
  <si>
    <t>Отметок</t>
  </si>
  <si>
    <t>Идеальных дней</t>
  </si>
  <si>
    <t>Лучшая серия</t>
  </si>
  <si>
    <t>Сон, ч</t>
  </si>
  <si>
    <t>Энергия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</si>
  <si>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</si>
  <si>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</si>
  <si>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</si>
  <si>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</si>
  <si>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</si>
  <si>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</si>
  <si>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</si>
  <si>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</si>
  <si>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</si>
  <si>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</si>
  <si>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</si>
  <si>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</si>
  <si>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 / среднее</t>
  </si>
  <si>
    <t>ПРОГРЕСС ПО МЕСЯЦАМ</t>
  </si>
  <si>
    <t>КАРТА ПРИВЫЧЕК: ПРОГРЕСС ПО МЕСЯЦАМ</t>
  </si>
  <si>
    <t>янв</t>
  </si>
  <si>
    <t>фев</t>
  </si>
  <si>
    <t>мар</t>
  </si>
  <si>
    <t>апр</t>
  </si>
  <si>
    <t>мая</t>
  </si>
  <si>
    <t>июн</t>
  </si>
  <si>
    <t>июл</t>
  </si>
  <si>
    <t>авг</t>
  </si>
  <si>
    <t>сен</t>
  </si>
  <si>
    <t>окт</t>
  </si>
  <si>
    <t>ноя</t>
  </si>
  <si>
    <t>дек</t>
  </si>
  <si>
    <t>Ставь галочку каждый день · сон, энергия и настроение — под сеткой · список привычек и цели — на листе «Старт»</t>
  </si>
  <si>
    <t>Ты — это то, что ты делаешь каждый день.</t>
  </si>
  <si>
    <t>ПРОГРЕСС МЕСЯЦА</t>
  </si>
  <si>
    <t>ЛУЧШАЯ СЕРИЯ 🔥</t>
  </si>
  <si>
    <t>ЛУЧШИЙ ДЕНЬ</t>
  </si>
  <si>
    <t>СЛАБЫЙ ДЕНЬ</t>
  </si>
  <si>
    <t>ТОП ПРИВЫЧКА</t>
  </si>
  <si>
    <t>СТАТИСТИКА</t>
  </si>
  <si>
    <t>Цель</t>
  </si>
  <si>
    <t>Сделано</t>
  </si>
  <si>
    <t>Серия 🔥</t>
  </si>
  <si>
    <t>Рекорд</t>
  </si>
  <si>
    <t>Выполнено за день</t>
  </si>
  <si>
    <t>Процент дня</t>
  </si>
  <si>
    <t>всего отметок</t>
  </si>
  <si>
    <t>прогресс месяца</t>
  </si>
  <si>
    <t>Сон, часов</t>
  </si>
  <si>
    <t>Энергия, 1–5</t>
  </si>
  <si>
    <t>Настроение</t>
  </si>
  <si>
    <t>часы, например 7,5</t>
  </si>
  <si>
    <t>1 — нет сил, 5 — полон сил</t>
  </si>
  <si>
    <t>выбери смайлик из списка</t>
  </si>
  <si>
    <t>ВЫПОЛНЕНИЕ ПО ДНЯМ</t>
  </si>
  <si>
    <t>ИНСАЙТЫ МЕСЯЦА</t>
  </si>
  <si>
    <t>Средний сон</t>
  </si>
  <si>
    <t>Средняя энергия</t>
  </si>
  <si>
    <t>Частое настроение</t>
  </si>
  <si>
    <t>Прогресс при сне ≥ 7 ч</t>
  </si>
  <si>
    <t>Прогресс при сне &lt; 7 ч</t>
  </si>
  <si>
    <t>Прогресс при энергии ≥ 4</t>
  </si>
  <si>
    <t>ДНЕВНИК МЕСЯЦА</t>
  </si>
  <si>
    <t>Одна строка в день: главное событие, урок или победа. Это твоя история месяца.</t>
  </si>
  <si>
    <t>День</t>
  </si>
  <si>
    <t>Итог дня</t>
  </si>
  <si>
    <t>Маленькие шаги каждый день и есть большой результат.</t>
  </si>
  <si>
    <t>Мотивация запускает. Привычка везёт.</t>
  </si>
  <si>
    <t>Не идеально, а регулярно.</t>
  </si>
  <si>
    <t>Дисциплина — выбор между «хочу сейчас» и «хочу больше всего».</t>
  </si>
  <si>
    <t>Сегодня — самый важный день серии.</t>
  </si>
  <si>
    <t>Плюс 1% в день — в 37 раз лучше за год.</t>
  </si>
  <si>
    <t>Пропустить один раз — случайность. Дважды — новая привычка.</t>
  </si>
  <si>
    <t>Система важнее цели.</t>
  </si>
  <si>
    <t>Прогресс, а не совершенство.</t>
  </si>
  <si>
    <t>Каждая галочка — голос за того, кем ты становишься.</t>
  </si>
  <si>
    <t>Год — это 365 маленьких решений.</t>
  </si>
  <si>
    <t>Сферы</t>
  </si>
  <si>
    <t>Финансы</t>
  </si>
  <si>
    <t>Отношения</t>
  </si>
  <si>
    <t>Творчество</t>
  </si>
  <si>
    <t>😄</t>
  </si>
  <si>
    <t>🙂</t>
  </si>
  <si>
    <t>😐</t>
  </si>
  <si>
    <t>😕</t>
  </si>
  <si>
    <t>😫</t>
  </si>
  <si>
    <t>Месяцы</t>
  </si>
</sst>
</file>

<file path=xl/styles.xml><?xml version="1.0" encoding="utf-8"?>
<styleSheet xmlns="http://schemas.openxmlformats.org/spreadsheetml/2006/main">
  <numFmts count="3">
    <numFmt numFmtId="164" formatCode="0%"/>
    <numFmt numFmtId="165" formatCode="0&quot; дн.&quot;"/>
    <numFmt numFmtId="166" formatCode="[&gt;=3]0&quot; 🔥&quot;;0"/>
  </numFmts>
  <fonts count="29">
    <font>
      <sz val="10"/>
      <color theme="1"/>
      <name val="Arial"/>
      <family val="2"/>
    </font>
    <font>
      <sz val="10"/>
      <color rgb="FFECEEF3"/>
      <name val="Arial"/>
      <family val="2"/>
    </font>
    <font>
      <b/>
      <sz val="24"/>
      <color rgb="FFECEEF3"/>
      <name val="Arial"/>
      <family val="2"/>
    </font>
    <font>
      <sz val="10"/>
      <color rgb="FF8A90A3"/>
      <name val="Arial"/>
      <family val="2"/>
    </font>
    <font>
      <b/>
      <sz val="9"/>
      <color rgb="FFF6C453"/>
      <name val="Arial"/>
      <family val="2"/>
    </font>
    <font>
      <sz val="9"/>
      <color rgb="FF8A90A3"/>
      <name val="Arial"/>
      <family val="2"/>
    </font>
    <font>
      <sz val="8"/>
      <color rgb="FF5E6478"/>
      <name val="Arial"/>
      <family val="2"/>
    </font>
    <font>
      <sz val="9"/>
      <color rgb="FFECEEF3"/>
      <name val="Arial"/>
      <family val="2"/>
    </font>
    <font>
      <b/>
      <sz val="8"/>
      <color rgb="FF8A90A3"/>
      <name val="Arial"/>
      <family val="2"/>
    </font>
    <font>
      <sz val="9"/>
      <color rgb="FF5E6478"/>
      <name val="Arial"/>
      <family val="2"/>
    </font>
    <font>
      <b/>
      <sz val="10"/>
      <color rgb="FFECEEF3"/>
      <name val="Arial"/>
      <family val="2"/>
    </font>
    <font>
      <b/>
      <sz val="18"/>
      <color rgb="FFF6C453"/>
      <name val="Arial"/>
      <family val="2"/>
    </font>
    <font>
      <b/>
      <sz val="18"/>
      <color rgb="FFECEEF3"/>
      <name val="Arial"/>
      <family val="2"/>
    </font>
    <font>
      <sz val="8"/>
      <color rgb="FF8A90A3"/>
      <name val="Arial"/>
      <family val="2"/>
    </font>
    <font>
      <b/>
      <sz val="10"/>
      <color rgb="FFF6C453"/>
      <name val="Arial"/>
      <family val="2"/>
    </font>
    <font>
      <b/>
      <sz val="9"/>
      <color rgb="FFECEEF3"/>
      <name val="Arial"/>
      <family val="2"/>
    </font>
    <font>
      <sz val="8"/>
      <color rgb="FFECEEF3"/>
      <name val="Arial"/>
      <family val="2"/>
    </font>
    <font>
      <sz val="10"/>
      <color rgb="FF5E6478"/>
      <name val="Arial"/>
      <family val="2"/>
    </font>
    <font>
      <b/>
      <sz val="22"/>
      <color rgb="FFECEEF3"/>
      <name val="Arial"/>
      <family val="2"/>
    </font>
    <font>
      <i/>
      <sz val="9"/>
      <color rgb="FFF6C453"/>
      <name val="Arial"/>
      <family val="2"/>
    </font>
    <font>
      <b/>
      <sz val="14"/>
      <color rgb="FFECEEF3"/>
      <name val="Arial"/>
      <family val="2"/>
    </font>
    <font>
      <b/>
      <sz val="8"/>
      <color rgb="FFFFFFFF"/>
      <name val="Arial"/>
      <family val="2"/>
    </font>
    <font>
      <sz val="7"/>
      <color rgb="FF8A90A3"/>
      <name val="Arial"/>
      <family val="2"/>
    </font>
    <font>
      <b/>
      <sz val="8"/>
      <color rgb="FFECEEF3"/>
      <name val="Arial"/>
      <family val="2"/>
    </font>
    <font>
      <sz val="7"/>
      <color rgb="FFECEEF3"/>
      <name val="Arial"/>
      <family val="2"/>
    </font>
    <font>
      <sz val="7"/>
      <color rgb="FF5E6478"/>
      <name val="Arial"/>
      <family val="2"/>
    </font>
    <font>
      <b/>
      <sz val="11"/>
      <color rgb="FFECEEF3"/>
      <name val="Arial"/>
      <family val="2"/>
    </font>
    <font>
      <i/>
      <sz val="8"/>
      <color rgb="FF8A90A3"/>
      <name val="Arial"/>
      <family val="2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E1016"/>
        <bgColor indexed="64"/>
      </patternFill>
    </fill>
    <fill>
      <patternFill patternType="solid">
        <fgColor rgb="FF2A2617"/>
        <bgColor indexed="64"/>
      </patternFill>
    </fill>
    <fill>
      <patternFill patternType="solid">
        <fgColor rgb="FF171A23"/>
        <bgColor indexed="64"/>
      </patternFill>
    </fill>
    <fill>
      <patternFill patternType="solid">
        <fgColor rgb="FF20242F"/>
        <bgColor indexed="64"/>
      </patternFill>
    </fill>
    <fill>
      <patternFill patternType="solid">
        <fgColor rgb="FFE0456A"/>
        <bgColor indexed="64"/>
      </patternFill>
    </fill>
    <fill>
      <patternFill patternType="solid">
        <fgColor rgb="FF7C4DE8"/>
        <bgColor indexed="64"/>
      </patternFill>
    </fill>
    <fill>
      <patternFill patternType="solid">
        <fgColor rgb="FF2A9FD6"/>
        <bgColor indexed="64"/>
      </patternFill>
    </fill>
    <fill>
      <patternFill patternType="solid">
        <fgColor rgb="FFE8792F"/>
        <bgColor indexed="64"/>
      </patternFill>
    </fill>
    <fill>
      <patternFill patternType="solid">
        <fgColor rgb="FF22B183"/>
        <bgColor indexed="64"/>
      </patternFill>
    </fill>
  </fills>
  <borders count="6">
    <border>
      <left/>
      <right/>
      <top/>
      <bottom/>
      <diagonal/>
    </border>
    <border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  <border>
      <left/>
      <right/>
      <top/>
      <bottom style="thin">
        <color rgb="FF3A4052"/>
      </bottom>
      <diagonal/>
    </border>
    <border>
      <left style="thick">
        <color rgb="FFF6C453"/>
      </left>
      <right/>
      <top/>
      <bottom/>
      <diagonal/>
    </border>
    <border>
      <left/>
      <right/>
      <top style="thin">
        <color rgb="FF3A4052"/>
      </top>
      <bottom/>
      <diagonal/>
    </border>
    <border>
      <left style="thin">
        <color rgb="FF0E1016"/>
      </left>
      <right style="thin">
        <color rgb="FF0E1016"/>
      </right>
      <top style="thin">
        <color rgb="FF0E1016"/>
      </top>
      <bottom style="thin">
        <color rgb="FF0E1016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indent="1" wrapText="1"/>
    </xf>
    <xf numFmtId="0" fontId="9" fillId="4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indent="1"/>
    </xf>
    <xf numFmtId="164" fontId="11" fillId="4" borderId="3" xfId="0" applyNumberFormat="1" applyFont="1" applyFill="1" applyBorder="1" applyAlignment="1">
      <alignment horizontal="left" vertical="center" indent="1"/>
    </xf>
    <xf numFmtId="0" fontId="12" fillId="4" borderId="3" xfId="0" applyFont="1" applyFill="1" applyBorder="1" applyAlignment="1">
      <alignment horizontal="left" vertical="center" indent="1"/>
    </xf>
    <xf numFmtId="165" fontId="12" fillId="4" borderId="3" xfId="0" applyNumberFormat="1" applyFont="1" applyFill="1" applyBorder="1" applyAlignment="1">
      <alignment horizontal="left" vertical="center" indent="1"/>
    </xf>
    <xf numFmtId="0" fontId="13" fillId="4" borderId="3" xfId="0" applyFont="1" applyFill="1" applyBorder="1" applyAlignment="1">
      <alignment horizontal="left" vertical="top" indent="1"/>
    </xf>
    <xf numFmtId="0" fontId="8" fillId="4" borderId="2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left" vertical="center" indent="1"/>
    </xf>
    <xf numFmtId="164" fontId="14" fillId="5" borderId="4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 indent="1"/>
    </xf>
    <xf numFmtId="164" fontId="16" fillId="4" borderId="5" xfId="0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0" fontId="20" fillId="4" borderId="3" xfId="0" applyFont="1" applyFill="1" applyBorder="1" applyAlignment="1">
      <alignment horizontal="left" vertical="center" indent="1"/>
    </xf>
    <xf numFmtId="164" fontId="17" fillId="2" borderId="0" xfId="0" applyNumberFormat="1" applyFont="1" applyFill="1"/>
    <xf numFmtId="0" fontId="21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6" fontId="14" fillId="4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164" fontId="2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indent="1"/>
    </xf>
    <xf numFmtId="0" fontId="22" fillId="4" borderId="0" xfId="0" applyFont="1" applyFill="1" applyAlignment="1">
      <alignment horizontal="left" indent="1"/>
    </xf>
    <xf numFmtId="0" fontId="26" fillId="4" borderId="0" xfId="0" applyFont="1" applyFill="1" applyAlignment="1">
      <alignment horizontal="left" vertical="top" indent="1"/>
    </xf>
    <xf numFmtId="0" fontId="0" fillId="4" borderId="0" xfId="0" applyFill="1"/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19">
    <dxf>
      <font>
        <b/>
        <color rgb="FF34D399"/>
      </font>
      <fill>
        <patternFill>
          <bgColor rgb="FF163730"/>
        </patternFill>
      </fill>
    </dxf>
    <dxf>
      <font>
        <b/>
        <color rgb="FF38BDF8"/>
      </font>
      <fill>
        <patternFill>
          <bgColor rgb="FF163343"/>
        </patternFill>
      </fill>
    </dxf>
    <dxf>
      <font>
        <b/>
        <color rgb="FFF59E0B"/>
      </font>
      <fill>
        <patternFill>
          <bgColor rgb="FF3C2C14"/>
        </patternFill>
      </fill>
    </dxf>
    <dxf>
      <font>
        <b/>
        <color rgb="FFA78BFA"/>
      </font>
      <fill>
        <patternFill>
          <bgColor rgb="FF2D2944"/>
        </patternFill>
      </fill>
    </dxf>
    <dxf>
      <font>
        <b/>
        <color rgb="FFF472B6"/>
      </font>
      <fill>
        <patternFill>
          <bgColor rgb="FF3C2436"/>
        </patternFill>
      </fill>
    </dxf>
    <dxf>
      <font>
        <b/>
        <color rgb="FFFCD34D"/>
      </font>
      <fill>
        <patternFill>
          <bgColor rgb="FF3E3721"/>
        </patternFill>
      </fill>
    </dxf>
    <dxf>
      <font>
        <b/>
        <color rgb="FFFB7185"/>
      </font>
      <fill>
        <patternFill>
          <bgColor rgb="FF3D232C"/>
        </patternFill>
      </fill>
    </dxf>
    <dxf>
      <font>
        <b/>
        <color rgb="FF22D3EE"/>
      </font>
      <fill>
        <patternFill>
          <bgColor rgb="FF123741"/>
        </patternFill>
      </fill>
    </dxf>
    <dxf>
      <fill>
        <patternFill>
          <bgColor rgb="FF3B3320"/>
        </patternFill>
      </fill>
    </dxf>
    <dxf>
      <font>
        <color rgb="FF0E1016"/>
      </font>
      <fill>
        <patternFill>
          <bgColor rgb="FF0E1016"/>
        </patternFill>
      </fill>
    </dxf>
    <dxf>
      <font>
        <b/>
        <color rgb="FFF3FFF7"/>
      </font>
      <fill>
        <patternFill>
          <bgColor rgb="FF2FD07A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color rgb="FF0E1016"/>
      </font>
      <fill>
        <patternFill>
          <bgColor rgb="FF0E1016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color rgb="FFF6C453"/>
      </font>
      <fill>
        <patternFill>
          <bgColor rgb="FF3B3320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ill>
        <patternFill>
          <bgColor rgb="FF1B1E29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b/>
        <color rgb="FFFF5C7A"/>
      </font>
    </dxf>
    <dxf>
      <font>
        <b/>
        <color rgb="FF2FD07A"/>
      </font>
    </dxf>
    <dxf>
      <font>
        <b/>
        <color rgb="FF1A1400"/>
      </font>
      <fill>
        <patternFill>
          <bgColor rgb="FFF6C453"/>
        </patternFill>
      </fill>
    </dxf>
    <dxf>
      <font>
        <color rgb="FFFF5C7A"/>
      </font>
    </dxf>
    <dxf>
      <fill>
        <patternFill>
          <bgColor rgb="FF1B1E2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Прогресс</c:v>
          </c:tx>
          <c:spPr>
            <a:solidFill>
              <a:srgbClr val="F6C453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8A90A3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'Год'!$B$10:$B$21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'Год'!$C$10:$C$21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'Январь'!$AP$7:$AP$8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'Январь'!$E$11:$AI$11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'Январь'!$E$28:$AI$28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'Февраль'!$AP$7:$AP$8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'Февраль'!$E$11:$AI$11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'Февраль'!$E$28:$AI$28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'Март'!$AP$7:$AP$8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'Март'!$E$11:$AI$11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'Март'!$E$28:$AI$28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70001"/>
        <c:axId val="50070002"/>
      </c:barChart>
      <c:catAx>
        <c:axId val="500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'Апрель'!$AP$7:$AP$8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'Апрель'!$E$11:$AI$11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'Апрель'!$E$28:$AI$28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90001"/>
        <c:axId val="50090002"/>
      </c:bar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'Май'!$AP$7:$AP$8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'Май'!$E$11:$AI$11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'Май'!$E$28:$AI$28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10001"/>
        <c:axId val="50110002"/>
      </c:barChart>
      <c:catAx>
        <c:axId val="501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'Июнь'!$AP$7:$AP$8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'Июнь'!$E$11:$AI$11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'Июнь'!$E$28:$AI$28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30001"/>
        <c:axId val="50130002"/>
      </c:barChart>
      <c:catAx>
        <c:axId val="501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'Июль'!$AP$7:$AP$8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'Июль'!$E$11:$AI$11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'Июль'!$E$28:$AI$28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50001"/>
        <c:axId val="50150002"/>
      </c:barChart>
      <c:catAx>
        <c:axId val="501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'Август'!$AP$7:$AP$8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'Август'!$E$11:$AI$11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'Август'!$E$28:$AI$28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70001"/>
        <c:axId val="50170002"/>
      </c:barChart>
      <c:catAx>
        <c:axId val="501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'Сентябрь'!$AP$7:$AP$8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'Сентябрь'!$E$11:$AI$11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'Сентябрь'!$E$28:$AI$28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90001"/>
        <c:axId val="50190002"/>
      </c:barChart>
      <c:catAx>
        <c:axId val="501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'Октябрь'!$AP$7:$AP$8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'Октябрь'!$E$11:$AI$11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'Октябрь'!$E$28:$AI$28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10001"/>
        <c:axId val="50210002"/>
      </c:barChart>
      <c:catAx>
        <c:axId val="502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'Ноябрь'!$AP$7:$AP$8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'Ноябрь'!$E$11:$AI$11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'Ноябрь'!$E$28:$AI$28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30001"/>
        <c:axId val="50230002"/>
      </c:barChart>
      <c:catAx>
        <c:axId val="502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'Декабрь'!$AP$7:$AP$8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'Декабрь'!$E$11:$AI$11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'Декабрь'!$E$28:$AI$28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50001"/>
        <c:axId val="50250002"/>
      </c:barChart>
      <c:catAx>
        <c:axId val="502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Янва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Февра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Март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Апре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Май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Июн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Ию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Август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Сент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Окт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Но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Дека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11.vml"/><Relationship Id="rId3" Type="http://schemas.openxmlformats.org/officeDocument/2006/relationships/comments" Target="../comments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12.vml"/><Relationship Id="rId3" Type="http://schemas.openxmlformats.org/officeDocument/2006/relationships/comments" Target="../comments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13.vml"/><Relationship Id="rId3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6C453"/>
    <pageSetUpPr fitToPage="1"/>
  </sheetPr>
  <dimension ref="A1:XFD31"/>
  <sheetViews>
    <sheetView showGridLines="0" workbookViewId="0"/>
  </sheetViews>
  <sheetFormatPr defaultRowHeight="16" customHeight="1"/>
  <cols>
    <col min="1" max="1" width="2.28515625" style="1" customWidth="1"/>
    <col min="2" max="2" width="5.28515625" style="1" customWidth="1"/>
    <col min="3" max="3" width="14.7109375" style="1" customWidth="1"/>
    <col min="4" max="4" width="34.7109375" style="1" customWidth="1"/>
    <col min="5" max="5" width="13.7109375" style="1" customWidth="1"/>
    <col min="6" max="6" width="36.7109375" style="1" customWidth="1"/>
    <col min="7" max="7" width="3.28515625" style="1" customWidth="1"/>
    <col min="8" max="8" width="82.7109375" style="1" customWidth="1"/>
    <col min="9" max="9" width="2.28515625" style="1" customWidth="1"/>
    <col min="10" max="16384" width="9.140625" style="1"/>
  </cols>
  <sheetData>
    <row r="1" spans="2:8" ht="6" customHeight="1"/>
    <row r="2" spans="2:8" ht="34" customHeight="1">
      <c r="B2" s="2" t="s">
        <v>0</v>
      </c>
      <c r="C2" s="2"/>
      <c r="D2" s="2"/>
      <c r="E2" s="2"/>
      <c r="F2" s="2"/>
      <c r="G2" s="2"/>
      <c r="H2" s="2"/>
    </row>
    <row r="3" spans="2:8" ht="16" customHeight="1">
      <c r="B3" s="3" t="s">
        <v>1</v>
      </c>
      <c r="C3" s="3"/>
      <c r="D3" s="3"/>
      <c r="E3" s="3"/>
      <c r="F3" s="3"/>
      <c r="G3" s="3"/>
      <c r="H3" s="3"/>
    </row>
    <row r="4" spans="2:8" ht="10" customHeight="1"/>
    <row r="5" spans="2:8" ht="20" customHeight="1">
      <c r="B5" s="4" t="s">
        <v>2</v>
      </c>
      <c r="C5" s="4"/>
      <c r="D5" s="4"/>
      <c r="E5" s="4"/>
      <c r="F5" s="4"/>
      <c r="H5" s="4" t="s">
        <v>39</v>
      </c>
    </row>
    <row r="6" spans="2:8" ht="24" customHeight="1">
      <c r="C6" s="5" t="s">
        <v>3</v>
      </c>
      <c r="D6" s="6">
        <v>2026</v>
      </c>
      <c r="E6" s="7" t="s">
        <v>4</v>
      </c>
      <c r="F6" s="7"/>
      <c r="H6" s="8" t="s">
        <v>40</v>
      </c>
    </row>
    <row r="7" spans="2:8" ht="24" customHeight="1">
      <c r="C7" s="5" t="s">
        <v>5</v>
      </c>
      <c r="D7" s="9"/>
      <c r="E7" s="7" t="s">
        <v>6</v>
      </c>
      <c r="F7" s="7"/>
      <c r="H7" s="8" t="s">
        <v>41</v>
      </c>
    </row>
    <row r="8" spans="2:8" ht="24" customHeight="1">
      <c r="C8" s="5" t="s">
        <v>7</v>
      </c>
      <c r="D8" s="9"/>
      <c r="E8" s="9"/>
      <c r="F8" s="9"/>
      <c r="H8" s="8" t="s">
        <v>42</v>
      </c>
    </row>
    <row r="9" spans="2:8" ht="10" customHeight="1"/>
    <row r="10" spans="2:8" ht="24" customHeight="1">
      <c r="B10" s="4" t="s">
        <v>8</v>
      </c>
      <c r="C10" s="4"/>
      <c r="D10" s="4"/>
      <c r="E10" s="4"/>
      <c r="F10" s="4"/>
      <c r="H10" s="8" t="s">
        <v>43</v>
      </c>
    </row>
    <row r="11" spans="2:8" ht="30" customHeight="1">
      <c r="B11" s="10" t="s">
        <v>9</v>
      </c>
      <c r="C11" s="11" t="s">
        <v>10</v>
      </c>
      <c r="D11" s="11" t="s">
        <v>11</v>
      </c>
      <c r="E11" s="10" t="s">
        <v>12</v>
      </c>
      <c r="F11" s="11" t="s">
        <v>13</v>
      </c>
      <c r="H11" s="8" t="s">
        <v>44</v>
      </c>
    </row>
    <row r="12" spans="2:8" ht="24" customHeight="1">
      <c r="B12" s="12">
        <v>1</v>
      </c>
      <c r="C12" s="6" t="s">
        <v>14</v>
      </c>
      <c r="D12" s="13" t="s">
        <v>15</v>
      </c>
      <c r="E12" s="6"/>
      <c r="F12" s="9" t="s">
        <v>16</v>
      </c>
      <c r="H12" s="8" t="s">
        <v>45</v>
      </c>
    </row>
    <row r="13" spans="2:8" ht="24" customHeight="1">
      <c r="B13" s="12">
        <v>2</v>
      </c>
      <c r="C13" s="6" t="s">
        <v>17</v>
      </c>
      <c r="D13" s="13" t="s">
        <v>18</v>
      </c>
      <c r="E13" s="6">
        <v>12</v>
      </c>
      <c r="F13" s="9" t="s">
        <v>19</v>
      </c>
      <c r="H13" s="4" t="s">
        <v>46</v>
      </c>
    </row>
    <row r="14" spans="2:8" ht="24" customHeight="1">
      <c r="B14" s="12">
        <v>3</v>
      </c>
      <c r="C14" s="6" t="s">
        <v>14</v>
      </c>
      <c r="D14" s="13" t="s">
        <v>20</v>
      </c>
      <c r="E14" s="6"/>
      <c r="F14" s="9" t="s">
        <v>21</v>
      </c>
      <c r="H14" s="8" t="s">
        <v>47</v>
      </c>
    </row>
    <row r="15" spans="2:8" ht="24" customHeight="1">
      <c r="B15" s="12">
        <v>4</v>
      </c>
      <c r="C15" s="6" t="s">
        <v>22</v>
      </c>
      <c r="D15" s="13" t="s">
        <v>23</v>
      </c>
      <c r="E15" s="6"/>
      <c r="F15" s="9" t="s">
        <v>24</v>
      </c>
      <c r="H15" s="8" t="s">
        <v>48</v>
      </c>
    </row>
    <row r="16" spans="2:8" ht="24" customHeight="1">
      <c r="B16" s="12">
        <v>5</v>
      </c>
      <c r="C16" s="6" t="s">
        <v>25</v>
      </c>
      <c r="D16" s="13" t="s">
        <v>26</v>
      </c>
      <c r="E16" s="6"/>
      <c r="F16" s="9" t="s">
        <v>27</v>
      </c>
      <c r="H16" s="8" t="s">
        <v>49</v>
      </c>
    </row>
    <row r="17" spans="2:8" ht="24" customHeight="1">
      <c r="B17" s="12">
        <v>6</v>
      </c>
      <c r="C17" s="6" t="s">
        <v>14</v>
      </c>
      <c r="D17" s="13" t="s">
        <v>28</v>
      </c>
      <c r="E17" s="6"/>
      <c r="F17" s="9" t="s">
        <v>29</v>
      </c>
      <c r="H17" s="8" t="s">
        <v>50</v>
      </c>
    </row>
    <row r="18" spans="2:8" ht="24" customHeight="1">
      <c r="B18" s="12">
        <v>7</v>
      </c>
      <c r="C18" s="6" t="s">
        <v>30</v>
      </c>
      <c r="D18" s="13" t="s">
        <v>31</v>
      </c>
      <c r="E18" s="6"/>
      <c r="F18" s="9" t="s">
        <v>32</v>
      </c>
      <c r="H18" s="8" t="s">
        <v>51</v>
      </c>
    </row>
    <row r="19" spans="2:8" ht="24" customHeight="1">
      <c r="B19" s="12">
        <v>8</v>
      </c>
      <c r="C19" s="6" t="s">
        <v>22</v>
      </c>
      <c r="D19" s="13" t="s">
        <v>33</v>
      </c>
      <c r="E19" s="6">
        <v>20</v>
      </c>
      <c r="F19" s="9" t="s">
        <v>34</v>
      </c>
      <c r="H19" s="4" t="s">
        <v>52</v>
      </c>
    </row>
    <row r="20" spans="2:8" ht="24" customHeight="1">
      <c r="B20" s="12">
        <v>9</v>
      </c>
      <c r="C20" s="6"/>
      <c r="D20" s="13"/>
      <c r="E20" s="6"/>
      <c r="F20" s="9"/>
      <c r="H20" s="8" t="s">
        <v>53</v>
      </c>
    </row>
    <row r="21" spans="2:8" ht="24" customHeight="1">
      <c r="B21" s="12">
        <v>10</v>
      </c>
      <c r="C21" s="6"/>
      <c r="D21" s="13"/>
      <c r="E21" s="6"/>
      <c r="F21" s="9"/>
      <c r="H21" s="8" t="s">
        <v>54</v>
      </c>
    </row>
    <row r="22" spans="2:8" ht="24" customHeight="1">
      <c r="B22" s="12">
        <v>11</v>
      </c>
      <c r="C22" s="6"/>
      <c r="D22" s="13"/>
      <c r="E22" s="6"/>
      <c r="F22" s="9"/>
      <c r="H22" s="8" t="s">
        <v>55</v>
      </c>
    </row>
    <row r="23" spans="2:8" ht="24" customHeight="1">
      <c r="B23" s="12">
        <v>12</v>
      </c>
      <c r="C23" s="6"/>
      <c r="D23" s="13"/>
      <c r="E23" s="6"/>
      <c r="F23" s="9"/>
      <c r="H23" s="8" t="s">
        <v>56</v>
      </c>
    </row>
    <row r="24" spans="2:8" ht="24" customHeight="1">
      <c r="B24" s="12">
        <v>13</v>
      </c>
      <c r="C24" s="6"/>
      <c r="D24" s="13"/>
      <c r="E24" s="6"/>
      <c r="F24" s="9"/>
    </row>
    <row r="25" spans="2:8" ht="24" customHeight="1">
      <c r="B25" s="12">
        <v>14</v>
      </c>
      <c r="C25" s="6"/>
      <c r="D25" s="13"/>
      <c r="E25" s="6"/>
      <c r="F25" s="9"/>
    </row>
    <row r="26" spans="2:8" ht="24" customHeight="1">
      <c r="B26" s="12">
        <v>15</v>
      </c>
      <c r="C26" s="6"/>
      <c r="D26" s="13"/>
      <c r="E26" s="6"/>
      <c r="F26" s="9"/>
    </row>
    <row r="27" spans="2:8" ht="8" customHeight="1"/>
    <row r="28" spans="2:8" ht="15" customHeight="1">
      <c r="B28" s="7" t="s">
        <v>35</v>
      </c>
      <c r="C28" s="7"/>
      <c r="D28" s="7"/>
      <c r="E28" s="7"/>
      <c r="F28" s="7"/>
    </row>
    <row r="29" spans="2:8" ht="15" customHeight="1">
      <c r="B29" s="7" t="s">
        <v>36</v>
      </c>
      <c r="C29" s="7"/>
      <c r="D29" s="7"/>
      <c r="E29" s="7"/>
      <c r="F29" s="7"/>
    </row>
    <row r="30" spans="2:8" ht="15" customHeight="1">
      <c r="B30" s="7" t="s">
        <v>37</v>
      </c>
      <c r="C30" s="7"/>
      <c r="D30" s="7"/>
      <c r="E30" s="7"/>
      <c r="F30" s="7"/>
    </row>
    <row r="31" spans="2:8" ht="15" customHeight="1">
      <c r="B31" s="7" t="s">
        <v>38</v>
      </c>
      <c r="C31" s="7"/>
      <c r="D31" s="7"/>
      <c r="E31" s="7"/>
      <c r="F31" s="7"/>
    </row>
  </sheetData>
  <mergeCells count="11">
    <mergeCell ref="B2:H2"/>
    <mergeCell ref="B3:H3"/>
    <mergeCell ref="B5:F5"/>
    <mergeCell ref="E6:F6"/>
    <mergeCell ref="E7:F7"/>
    <mergeCell ref="D8:F8"/>
    <mergeCell ref="B10:F10"/>
    <mergeCell ref="B28:F28"/>
    <mergeCell ref="B29:F29"/>
    <mergeCell ref="B30:F30"/>
    <mergeCell ref="B31:F31"/>
  </mergeCells>
  <conditionalFormatting sqref="C12:C26">
    <cfRule type="expression" dxfId="0" priority="1">
      <formula>$C12="Здоровье"</formula>
    </cfRule>
    <cfRule type="expression" dxfId="1" priority="2">
      <formula>$C12="Спорт"</formula>
    </cfRule>
    <cfRule type="expression" dxfId="2" priority="3">
      <formula>$C12="Работа"</formula>
    </cfRule>
    <cfRule type="expression" dxfId="3" priority="4">
      <formula>$C12="Учёба"</formula>
    </cfRule>
    <cfRule type="expression" dxfId="4" priority="5">
      <formula>$C12="Личное"</formula>
    </cfRule>
    <cfRule type="expression" dxfId="5" priority="6">
      <formula>$C12="Финансы"</formula>
    </cfRule>
    <cfRule type="expression" dxfId="6" priority="7">
      <formula>$C12="Отношения"</formula>
    </cfRule>
    <cfRule type="expression" dxfId="7" priority="8">
      <formula>$C12="Творчество"</formula>
    </cfRule>
  </conditionalFormatting>
  <dataValidations count="3">
    <dataValidation type="whole" allowBlank="1" showInputMessage="1" showErrorMessage="1" errorTitle="Год" error="Введи год числом, например 2026" sqref="D6">
      <formula1>2000</formula1>
      <formula2>2100</formula2>
    </dataValidation>
    <dataValidation type="list" allowBlank="1" showInputMessage="1" showErrorMessage="1" errorTitle="Сфера" error="Выбери сферу из списка (или оставь пустой)" sqref="C12:C26">
      <formula1>'Списки'!$A$2:$A$9</formula1>
    </dataValidation>
    <dataValidation type="whole" allowBlank="1" showInputMessage="1" showErrorMessage="1" errorTitle="Цель" error="Число дней в месяц от 1 до 31. Пусто = каждый день" sqref="E12:E26">
      <formula1>1</formula1>
      <formula2>31</formula2>
    </dataValidation>
  </dataValidations>
  <pageMargins left="0.7" right="0.7" top="0.75" bottom="0.75" header="0.3" footer="0.3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  <pageSetUpPr fitToPage="1"/>
  </sheetPr>
  <dimension ref="A1:XFD56"/>
  <sheetViews>
    <sheetView showGridLines="0" zoomScale="90" zoomScaleNormal="90" workbookViewId="0"/>
  </sheetViews>
  <sheetFormatPr defaultRowHeight="16" customHeight="1" x14ac:dyDescent="0.25"/>
  <cols>
    <col min="1" max="1" width="2.28515625" style="1" customWidth="1"/>
    <col min="2" max="2" width="20.7109375" style="1" customWidth="1"/>
    <col min="3" max="15" width="9.7109375" style="1" customWidth="1"/>
    <col min="16" max="16" width="2.28515625" style="1" customWidth="1"/>
    <col min="17" max="16384" width="9.140625" style="1"/>
  </cols>
  <sheetData>
    <row r="1" spans="2:15" ht="6" customHeight="1" x14ac:dyDescent="0.25"/>
    <row r="2" spans="2:15" ht="34" customHeight="1" x14ac:dyDescent="0.25">
      <c r="B2" s="2" t="str">
        <f>"ГОД "&amp;'Старт'!$D$6&amp;" — ИТОГИ"</f>
        <v>ГОД 2026 — ИТОГИ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6" customHeight="1" x14ac:dyDescent="0.25">
      <c r="B3" s="3" t="s">
        <v>57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0" customHeight="1" x14ac:dyDescent="0.25"/>
    <row r="5" spans="2:15" ht="14" customHeight="1" x14ac:dyDescent="0.25">
      <c r="B5" s="14" t="s">
        <v>58</v>
      </c>
      <c r="C5" s="14"/>
      <c r="D5" s="14" t="s">
        <v>60</v>
      </c>
      <c r="E5" s="14"/>
      <c r="F5" s="14"/>
      <c r="G5" s="14" t="s">
        <v>62</v>
      </c>
      <c r="H5" s="14"/>
      <c r="I5" s="14"/>
      <c r="J5" s="14" t="s">
        <v>64</v>
      </c>
      <c r="K5" s="14"/>
      <c r="L5" s="14"/>
      <c r="M5" s="14" t="s">
        <v>66</v>
      </c>
      <c r="N5" s="14"/>
      <c r="O5" s="14"/>
    </row>
    <row r="6" spans="2:15" ht="28" customHeight="1" x14ac:dyDescent="0.25">
      <c r="B6" s="15">
        <f>$C$22</f>
        <v>0</v>
      </c>
      <c r="C6" s="15"/>
      <c r="D6" s="16">
        <f>$D$22</f>
        <v>0</v>
      </c>
      <c r="E6" s="16"/>
      <c r="F6" s="16"/>
      <c r="G6" s="16">
        <f>$E$22</f>
        <v>0</v>
      </c>
      <c r="H6" s="16"/>
      <c r="I6" s="16"/>
      <c r="J6" s="16" t="str">
        <f>IFERROR(INDEX($B$10:$B$21,MATCH(MAX($C$10:$C$21),$C$10:$C$21,0)),"—")</f>
        <v>—</v>
      </c>
      <c r="K6" s="16"/>
      <c r="L6" s="16"/>
      <c r="M6" s="17">
        <f>$F$22</f>
        <v>0</v>
      </c>
      <c r="N6" s="17"/>
      <c r="O6" s="17"/>
    </row>
    <row r="7" spans="2:15" ht="14" customHeight="1" x14ac:dyDescent="0.25">
      <c r="B7" s="18" t="s">
        <v>59</v>
      </c>
      <c r="C7" s="18"/>
      <c r="D7" s="18" t="s">
        <v>61</v>
      </c>
      <c r="E7" s="18"/>
      <c r="F7" s="18"/>
      <c r="G7" s="18" t="s">
        <v>63</v>
      </c>
      <c r="H7" s="18"/>
      <c r="I7" s="18"/>
      <c r="J7" s="18" t="s">
        <v>65</v>
      </c>
      <c r="K7" s="18"/>
      <c r="L7" s="18"/>
      <c r="M7" s="18" t="s">
        <v>67</v>
      </c>
      <c r="N7" s="18"/>
      <c r="O7" s="18"/>
    </row>
    <row r="8" spans="2:15" ht="10" customHeight="1" x14ac:dyDescent="0.25"/>
    <row r="9" spans="2:15" ht="30" customHeight="1" x14ac:dyDescent="0.25">
      <c r="B9" s="19" t="s">
        <v>68</v>
      </c>
      <c r="C9" s="10" t="s">
        <v>69</v>
      </c>
      <c r="D9" s="10" t="s">
        <v>70</v>
      </c>
      <c r="E9" s="10" t="s">
        <v>71</v>
      </c>
      <c r="F9" s="10" t="s">
        <v>72</v>
      </c>
      <c r="G9" s="10" t="s">
        <v>73</v>
      </c>
      <c r="H9" s="10" t="s">
        <v>74</v>
      </c>
    </row>
    <row r="10" spans="2:15" ht="20" customHeight="1" x14ac:dyDescent="0.25">
      <c r="B10" s="20" t="s">
        <v>75</v>
      </c>
      <c r="C10" s="21">
        <f>IF(OR('Январь'!$AP$3=0,'Январь'!$AP$6=0),"",'Январь'!$AP$7)</f>
        <v/>
      </c>
      <c r="D10" s="22">
        <f>IF(OR('Январь'!$AP$3=0,'Январь'!$AP$6=0),"",'Январь'!$AP$6)</f>
        <v/>
      </c>
      <c r="E10" s="22">
        <f>IF(OR('Январь'!$AP$3=0,'Январь'!$AP$6=0),"",'Январь'!$AP$9)</f>
        <v/>
      </c>
      <c r="F10" s="22">
        <f>IF(OR('Январь'!$AP$3=0,'Январь'!$AP$6=0),"",MAX('Январь'!$AN$12:$AN$26))</f>
        <v/>
      </c>
      <c r="G10" s="22">
        <f>IF(OR('Январь'!$AP$3=0,'Январь'!$AP$6=0),"",IFERROR(ROUND(AVERAGE('Январь'!$E$30:$AI$30),1),"—"))</f>
        <v/>
      </c>
      <c r="H10" s="22">
        <f>IF(OR('Январь'!$AP$3=0,'Январь'!$AP$6=0),"",IFERROR(ROUND(AVERAGE('Январь'!$E$31:$AI$31),1),"—"))</f>
        <v/>
      </c>
    </row>
    <row r="11" spans="2:15" ht="20" customHeight="1" x14ac:dyDescent="0.25">
      <c r="B11" s="20" t="s">
        <v>76</v>
      </c>
      <c r="C11" s="21">
        <f>IF(OR('Февраль'!$AP$3=0,'Февраль'!$AP$6=0),"",'Февраль'!$AP$7)</f>
        <v/>
      </c>
      <c r="D11" s="22">
        <f>IF(OR('Февраль'!$AP$3=0,'Февраль'!$AP$6=0),"",'Февраль'!$AP$6)</f>
        <v/>
      </c>
      <c r="E11" s="22">
        <f>IF(OR('Февраль'!$AP$3=0,'Февраль'!$AP$6=0),"",'Февраль'!$AP$9)</f>
        <v/>
      </c>
      <c r="F11" s="22">
        <f>IF(OR('Февраль'!$AP$3=0,'Февраль'!$AP$6=0),"",MAX('Февраль'!$AN$12:$AN$26))</f>
        <v/>
      </c>
      <c r="G11" s="22">
        <f>IF(OR('Февраль'!$AP$3=0,'Февраль'!$AP$6=0),"",IFERROR(ROUND(AVERAGE('Февраль'!$E$30:$AI$30),1),"—"))</f>
        <v/>
      </c>
      <c r="H11" s="22">
        <f>IF(OR('Февраль'!$AP$3=0,'Февраль'!$AP$6=0),"",IFERROR(ROUND(AVERAGE('Февраль'!$E$31:$AI$31),1),"—"))</f>
        <v/>
      </c>
    </row>
    <row r="12" spans="2:15" ht="20" customHeight="1" x14ac:dyDescent="0.25">
      <c r="B12" s="20" t="s">
        <v>77</v>
      </c>
      <c r="C12" s="21">
        <f>IF(OR('Март'!$AP$3=0,'Март'!$AP$6=0),"",'Март'!$AP$7)</f>
        <v/>
      </c>
      <c r="D12" s="22">
        <f>IF(OR('Март'!$AP$3=0,'Март'!$AP$6=0),"",'Март'!$AP$6)</f>
        <v/>
      </c>
      <c r="E12" s="22">
        <f>IF(OR('Март'!$AP$3=0,'Март'!$AP$6=0),"",'Март'!$AP$9)</f>
        <v/>
      </c>
      <c r="F12" s="22">
        <f>IF(OR('Март'!$AP$3=0,'Март'!$AP$6=0),"",MAX('Март'!$AN$12:$AN$26))</f>
        <v/>
      </c>
      <c r="G12" s="22">
        <f>IF(OR('Март'!$AP$3=0,'Март'!$AP$6=0),"",IFERROR(ROUND(AVERAGE('Март'!$E$30:$AI$30),1),"—"))</f>
        <v/>
      </c>
      <c r="H12" s="22">
        <f>IF(OR('Март'!$AP$3=0,'Март'!$AP$6=0),"",IFERROR(ROUND(AVERAGE('Март'!$E$31:$AI$31),1),"—"))</f>
        <v/>
      </c>
    </row>
    <row r="13" spans="2:15" ht="20" customHeight="1" x14ac:dyDescent="0.25">
      <c r="B13" s="20" t="s">
        <v>78</v>
      </c>
      <c r="C13" s="21">
        <f>IF(OR('Апрель'!$AP$3=0,'Апрель'!$AP$6=0),"",'Апрель'!$AP$7)</f>
        <v/>
      </c>
      <c r="D13" s="22">
        <f>IF(OR('Апрель'!$AP$3=0,'Апрель'!$AP$6=0),"",'Апрель'!$AP$6)</f>
        <v/>
      </c>
      <c r="E13" s="22">
        <f>IF(OR('Апрель'!$AP$3=0,'Апрель'!$AP$6=0),"",'Апрель'!$AP$9)</f>
        <v/>
      </c>
      <c r="F13" s="22">
        <f>IF(OR('Апрель'!$AP$3=0,'Апрель'!$AP$6=0),"",MAX('Апрель'!$AN$12:$AN$26))</f>
        <v/>
      </c>
      <c r="G13" s="22">
        <f>IF(OR('Апрель'!$AP$3=0,'Апрель'!$AP$6=0),"",IFERROR(ROUND(AVERAGE('Апрель'!$E$30:$AI$30),1),"—"))</f>
        <v/>
      </c>
      <c r="H13" s="22">
        <f>IF(OR('Апрель'!$AP$3=0,'Апрель'!$AP$6=0),"",IFERROR(ROUND(AVERAGE('Апрель'!$E$31:$AI$31),1),"—"))</f>
        <v/>
      </c>
    </row>
    <row r="14" spans="2:15" ht="20" customHeight="1" x14ac:dyDescent="0.25">
      <c r="B14" s="20" t="s">
        <v>79</v>
      </c>
      <c r="C14" s="21">
        <f>IF(OR('Май'!$AP$3=0,'Май'!$AP$6=0),"",'Май'!$AP$7)</f>
        <v/>
      </c>
      <c r="D14" s="22">
        <f>IF(OR('Май'!$AP$3=0,'Май'!$AP$6=0),"",'Май'!$AP$6)</f>
        <v/>
      </c>
      <c r="E14" s="22">
        <f>IF(OR('Май'!$AP$3=0,'Май'!$AP$6=0),"",'Май'!$AP$9)</f>
        <v/>
      </c>
      <c r="F14" s="22">
        <f>IF(OR('Май'!$AP$3=0,'Май'!$AP$6=0),"",MAX('Май'!$AN$12:$AN$26))</f>
        <v/>
      </c>
      <c r="G14" s="22">
        <f>IF(OR('Май'!$AP$3=0,'Май'!$AP$6=0),"",IFERROR(ROUND(AVERAGE('Май'!$E$30:$AI$30),1),"—"))</f>
        <v/>
      </c>
      <c r="H14" s="22">
        <f>IF(OR('Май'!$AP$3=0,'Май'!$AP$6=0),"",IFERROR(ROUND(AVERAGE('Май'!$E$31:$AI$31),1),"—"))</f>
        <v/>
      </c>
    </row>
    <row r="15" spans="2:15" ht="20" customHeight="1" x14ac:dyDescent="0.25">
      <c r="B15" s="20" t="s">
        <v>80</v>
      </c>
      <c r="C15" s="21">
        <f>IF(OR('Июнь'!$AP$3=0,'Июнь'!$AP$6=0),"",'Июнь'!$AP$7)</f>
        <v/>
      </c>
      <c r="D15" s="22">
        <f>IF(OR('Июнь'!$AP$3=0,'Июнь'!$AP$6=0),"",'Июнь'!$AP$6)</f>
        <v/>
      </c>
      <c r="E15" s="22">
        <f>IF(OR('Июнь'!$AP$3=0,'Июнь'!$AP$6=0),"",'Июнь'!$AP$9)</f>
        <v/>
      </c>
      <c r="F15" s="22">
        <f>IF(OR('Июнь'!$AP$3=0,'Июнь'!$AP$6=0),"",MAX('Июнь'!$AN$12:$AN$26))</f>
        <v/>
      </c>
      <c r="G15" s="22">
        <f>IF(OR('Июнь'!$AP$3=0,'Июнь'!$AP$6=0),"",IFERROR(ROUND(AVERAGE('Июнь'!$E$30:$AI$30),1),"—"))</f>
        <v/>
      </c>
      <c r="H15" s="22">
        <f>IF(OR('Июнь'!$AP$3=0,'Июнь'!$AP$6=0),"",IFERROR(ROUND(AVERAGE('Июнь'!$E$31:$AI$31),1),"—"))</f>
        <v/>
      </c>
    </row>
    <row r="16" spans="2:15" ht="20" customHeight="1" x14ac:dyDescent="0.25">
      <c r="B16" s="20" t="s">
        <v>81</v>
      </c>
      <c r="C16" s="21">
        <f>IF(OR('Июль'!$AP$3=0,'Июль'!$AP$6=0),"",'Июль'!$AP$7)</f>
        <v/>
      </c>
      <c r="D16" s="22">
        <f>IF(OR('Июль'!$AP$3=0,'Июль'!$AP$6=0),"",'Июль'!$AP$6)</f>
        <v/>
      </c>
      <c r="E16" s="22">
        <f>IF(OR('Июль'!$AP$3=0,'Июль'!$AP$6=0),"",'Июль'!$AP$9)</f>
        <v/>
      </c>
      <c r="F16" s="22">
        <f>IF(OR('Июль'!$AP$3=0,'Июль'!$AP$6=0),"",MAX('Июль'!$AN$12:$AN$26))</f>
        <v/>
      </c>
      <c r="G16" s="22">
        <f>IF(OR('Июль'!$AP$3=0,'Июль'!$AP$6=0),"",IFERROR(ROUND(AVERAGE('Июль'!$E$30:$AI$30),1),"—"))</f>
        <v/>
      </c>
      <c r="H16" s="22">
        <f>IF(OR('Июль'!$AP$3=0,'Июль'!$AP$6=0),"",IFERROR(ROUND(AVERAGE('Июль'!$E$31:$AI$31),1),"—"))</f>
        <v/>
      </c>
    </row>
    <row r="17" spans="2:15" ht="20" customHeight="1" x14ac:dyDescent="0.25">
      <c r="B17" s="20" t="s">
        <v>82</v>
      </c>
      <c r="C17" s="21">
        <f>IF(OR('Август'!$AP$3=0,'Август'!$AP$6=0),"",'Август'!$AP$7)</f>
        <v/>
      </c>
      <c r="D17" s="22">
        <f>IF(OR('Август'!$AP$3=0,'Август'!$AP$6=0),"",'Август'!$AP$6)</f>
        <v/>
      </c>
      <c r="E17" s="22">
        <f>IF(OR('Август'!$AP$3=0,'Август'!$AP$6=0),"",'Август'!$AP$9)</f>
        <v/>
      </c>
      <c r="F17" s="22">
        <f>IF(OR('Август'!$AP$3=0,'Август'!$AP$6=0),"",MAX('Август'!$AN$12:$AN$26))</f>
        <v/>
      </c>
      <c r="G17" s="22">
        <f>IF(OR('Август'!$AP$3=0,'Август'!$AP$6=0),"",IFERROR(ROUND(AVERAGE('Август'!$E$30:$AI$30),1),"—"))</f>
        <v/>
      </c>
      <c r="H17" s="22">
        <f>IF(OR('Август'!$AP$3=0,'Август'!$AP$6=0),"",IFERROR(ROUND(AVERAGE('Август'!$E$31:$AI$31),1),"—"))</f>
        <v/>
      </c>
    </row>
    <row r="18" spans="2:15" ht="20" customHeight="1" x14ac:dyDescent="0.25">
      <c r="B18" s="20" t="s">
        <v>83</v>
      </c>
      <c r="C18" s="21">
        <f>IF(OR('Сентябрь'!$AP$3=0,'Сентябрь'!$AP$6=0),"",'Сентябрь'!$AP$7)</f>
        <v/>
      </c>
      <c r="D18" s="22">
        <f>IF(OR('Сентябрь'!$AP$3=0,'Сентябрь'!$AP$6=0),"",'Сентябрь'!$AP$6)</f>
        <v/>
      </c>
      <c r="E18" s="22">
        <f>IF(OR('Сентябрь'!$AP$3=0,'Сентябрь'!$AP$6=0),"",'Сентябрь'!$AP$9)</f>
        <v/>
      </c>
      <c r="F18" s="22">
        <f>IF(OR('Сентябрь'!$AP$3=0,'Сентябрь'!$AP$6=0),"",MAX('Сентябрь'!$AN$12:$AN$26))</f>
        <v/>
      </c>
      <c r="G18" s="22">
        <f>IF(OR('Сентябрь'!$AP$3=0,'Сентябрь'!$AP$6=0),"",IFERROR(ROUND(AVERAGE('Сентябрь'!$E$30:$AI$30),1),"—"))</f>
        <v/>
      </c>
      <c r="H18" s="22">
        <f>IF(OR('Сентябрь'!$AP$3=0,'Сентябрь'!$AP$6=0),"",IFERROR(ROUND(AVERAGE('Сентябрь'!$E$31:$AI$31),1),"—"))</f>
        <v/>
      </c>
    </row>
    <row r="19" spans="2:15" ht="20" customHeight="1" x14ac:dyDescent="0.25">
      <c r="B19" s="20" t="s">
        <v>84</v>
      </c>
      <c r="C19" s="21">
        <f>IF(OR('Октябрь'!$AP$3=0,'Октябрь'!$AP$6=0),"",'Октябрь'!$AP$7)</f>
        <v/>
      </c>
      <c r="D19" s="22">
        <f>IF(OR('Октябрь'!$AP$3=0,'Октябрь'!$AP$6=0),"",'Октябрь'!$AP$6)</f>
        <v/>
      </c>
      <c r="E19" s="22">
        <f>IF(OR('Октябрь'!$AP$3=0,'Октябрь'!$AP$6=0),"",'Октябрь'!$AP$9)</f>
        <v/>
      </c>
      <c r="F19" s="22">
        <f>IF(OR('Октябрь'!$AP$3=0,'Октябрь'!$AP$6=0),"",MAX('Октябрь'!$AN$12:$AN$26))</f>
        <v/>
      </c>
      <c r="G19" s="22">
        <f>IF(OR('Октябрь'!$AP$3=0,'Октябрь'!$AP$6=0),"",IFERROR(ROUND(AVERAGE('Октябрь'!$E$30:$AI$30),1),"—"))</f>
        <v/>
      </c>
      <c r="H19" s="22">
        <f>IF(OR('Октябрь'!$AP$3=0,'Октябрь'!$AP$6=0),"",IFERROR(ROUND(AVERAGE('Октябрь'!$E$31:$AI$31),1),"—"))</f>
        <v/>
      </c>
    </row>
    <row r="20" spans="2:15" ht="20" customHeight="1" x14ac:dyDescent="0.25">
      <c r="B20" s="20" t="s">
        <v>85</v>
      </c>
      <c r="C20" s="21">
        <f>IF(OR('Ноябрь'!$AP$3=0,'Ноябрь'!$AP$6=0),"",'Ноябрь'!$AP$7)</f>
        <v/>
      </c>
      <c r="D20" s="22">
        <f>IF(OR('Ноябрь'!$AP$3=0,'Ноябрь'!$AP$6=0),"",'Ноябрь'!$AP$6)</f>
        <v/>
      </c>
      <c r="E20" s="22">
        <f>IF(OR('Ноябрь'!$AP$3=0,'Ноябрь'!$AP$6=0),"",'Ноябрь'!$AP$9)</f>
        <v/>
      </c>
      <c r="F20" s="22">
        <f>IF(OR('Ноябрь'!$AP$3=0,'Ноябрь'!$AP$6=0),"",MAX('Ноябрь'!$AN$12:$AN$26))</f>
        <v/>
      </c>
      <c r="G20" s="22">
        <f>IF(OR('Ноябрь'!$AP$3=0,'Ноябрь'!$AP$6=0),"",IFERROR(ROUND(AVERAGE('Ноябрь'!$E$30:$AI$30),1),"—"))</f>
        <v/>
      </c>
      <c r="H20" s="22">
        <f>IF(OR('Ноябрь'!$AP$3=0,'Ноябрь'!$AP$6=0),"",IFERROR(ROUND(AVERAGE('Ноябрь'!$E$31:$AI$31),1),"—"))</f>
        <v/>
      </c>
    </row>
    <row r="21" spans="2:15" ht="20" customHeight="1" x14ac:dyDescent="0.25">
      <c r="B21" s="20" t="s">
        <v>86</v>
      </c>
      <c r="C21" s="21">
        <f>IF(OR('Декабрь'!$AP$3=0,'Декабрь'!$AP$6=0),"",'Декабрь'!$AP$7)</f>
        <v/>
      </c>
      <c r="D21" s="22">
        <f>IF(OR('Декабрь'!$AP$3=0,'Декабрь'!$AP$6=0),"",'Декабрь'!$AP$6)</f>
        <v/>
      </c>
      <c r="E21" s="22">
        <f>IF(OR('Декабрь'!$AP$3=0,'Декабрь'!$AP$6=0),"",'Декабрь'!$AP$9)</f>
        <v/>
      </c>
      <c r="F21" s="22">
        <f>IF(OR('Декабрь'!$AP$3=0,'Декабрь'!$AP$6=0),"",MAX('Декабрь'!$AN$12:$AN$26))</f>
        <v/>
      </c>
      <c r="G21" s="22">
        <f>IF(OR('Декабрь'!$AP$3=0,'Декабрь'!$AP$6=0),"",IFERROR(ROUND(AVERAGE('Декабрь'!$E$30:$AI$30),1),"—"))</f>
        <v/>
      </c>
      <c r="H21" s="22">
        <f>IF(OR('Декабрь'!$AP$3=0,'Декабрь'!$AP$6=0),"",IFERROR(ROUND(AVERAGE('Декабрь'!$E$31:$AI$31),1),"—"))</f>
        <v/>
      </c>
    </row>
    <row r="22" spans="2:15" ht="22" customHeight="1" x14ac:dyDescent="0.25">
      <c r="B22" s="23" t="s">
        <v>87</v>
      </c>
      <c r="C22" s="24">
        <f>IFERROR(AVERAGE($C$10:$C$21),0)</f>
        <v>0</v>
      </c>
      <c r="D22" s="25">
        <f>SUM($D$10:$D$21)</f>
        <v>0</v>
      </c>
      <c r="E22" s="25">
        <f>SUM($E$10:$E$21)</f>
        <v>0</v>
      </c>
      <c r="F22" s="25">
        <f>MAX(0,MAX($F$10:$F$21))</f>
        <v>0</v>
      </c>
      <c r="G22" s="25" t="str">
        <f>IFERROR(ROUND(AVERAGE($G$10:$G$21),1),"—")</f>
        <v>—</v>
      </c>
      <c r="H22" s="25" t="str">
        <f>IFERROR(ROUND(AVERAGE($H$10:$H$21),1),"—")</f>
        <v>—</v>
      </c>
    </row>
    <row r="24" spans="2:15" ht="18" customHeight="1" x14ac:dyDescent="0.25">
      <c r="B24" s="26" t="s">
        <v>88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2:15" ht="15" customHeight="1" x14ac:dyDescent="0.25"/>
    <row r="26" spans="2:15" ht="15" customHeight="1" x14ac:dyDescent="0.25"/>
    <row r="27" spans="2:15" ht="15" customHeight="1" x14ac:dyDescent="0.25"/>
    <row r="28" spans="2:15" ht="15" customHeight="1" x14ac:dyDescent="0.25"/>
    <row r="29" spans="2:15" ht="15" customHeight="1" x14ac:dyDescent="0.25"/>
    <row r="30" spans="2:15" ht="15" customHeight="1" x14ac:dyDescent="0.25"/>
    <row r="31" spans="2:15" ht="15" customHeight="1" x14ac:dyDescent="0.25"/>
    <row r="32" spans="2:15" ht="15" customHeight="1" x14ac:dyDescent="0.25"/>
    <row r="33" spans="2:15" ht="15" customHeight="1" x14ac:dyDescent="0.25"/>
    <row r="34" spans="2:15" ht="15" customHeight="1" x14ac:dyDescent="0.25"/>
    <row r="35" spans="2:15" ht="15" customHeight="1" x14ac:dyDescent="0.25"/>
    <row r="36" spans="2:15" ht="15" customHeight="1" x14ac:dyDescent="0.25"/>
    <row r="37" spans="2:15" ht="15" customHeight="1" x14ac:dyDescent="0.25"/>
    <row r="38" spans="2:15" ht="15" customHeight="1" x14ac:dyDescent="0.25"/>
    <row r="40" spans="2:15" ht="18" customHeight="1" x14ac:dyDescent="0.25">
      <c r="B40" s="26" t="s">
        <v>89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2:15" ht="20" customHeight="1" x14ac:dyDescent="0.25">
      <c r="B41" s="19" t="s">
        <v>11</v>
      </c>
      <c r="C41" s="10" t="s">
        <v>90</v>
      </c>
      <c r="D41" s="10" t="s">
        <v>91</v>
      </c>
      <c r="E41" s="10" t="s">
        <v>92</v>
      </c>
      <c r="F41" s="10" t="s">
        <v>93</v>
      </c>
      <c r="G41" s="10" t="s">
        <v>94</v>
      </c>
      <c r="H41" s="10" t="s">
        <v>95</v>
      </c>
      <c r="I41" s="10" t="s">
        <v>96</v>
      </c>
      <c r="J41" s="10" t="s">
        <v>97</v>
      </c>
      <c r="K41" s="10" t="s">
        <v>98</v>
      </c>
      <c r="L41" s="10" t="s">
        <v>99</v>
      </c>
      <c r="M41" s="10" t="s">
        <v>100</v>
      </c>
      <c r="N41" s="10" t="s">
        <v>101</v>
      </c>
      <c r="O41" s="10" t="s">
        <v>3</v>
      </c>
    </row>
    <row r="42" spans="2:15" ht="18" customHeight="1" x14ac:dyDescent="0.25">
      <c r="B42" s="27" t="str">
        <f>IF('Старт'!$D$12="","",'Старт'!$D$12)</f>
        <v>Подъём до 7:00</v>
      </c>
      <c r="C42" s="28">
        <f>IF(OR('Январь'!$AP$3=0,'Январь'!$AP$6=0,'Январь'!$AL$12=""),"",'Январь'!$AL$12)</f>
        <v/>
      </c>
      <c r="D42" s="28">
        <f>IF(OR('Февраль'!$AP$3=0,'Февраль'!$AP$6=0,'Февраль'!$AL$12=""),"",'Февраль'!$AL$12)</f>
        <v/>
      </c>
      <c r="E42" s="28">
        <f>IF(OR('Март'!$AP$3=0,'Март'!$AP$6=0,'Март'!$AL$12=""),"",'Март'!$AL$12)</f>
        <v/>
      </c>
      <c r="F42" s="28">
        <f>IF(OR('Апрель'!$AP$3=0,'Апрель'!$AP$6=0,'Апрель'!$AL$12=""),"",'Апрель'!$AL$12)</f>
        <v/>
      </c>
      <c r="G42" s="28">
        <f>IF(OR('Май'!$AP$3=0,'Май'!$AP$6=0,'Май'!$AL$12=""),"",'Май'!$AL$12)</f>
        <v/>
      </c>
      <c r="H42" s="28">
        <f>IF(OR('Июнь'!$AP$3=0,'Июнь'!$AP$6=0,'Июнь'!$AL$12=""),"",'Июнь'!$AL$12)</f>
        <v/>
      </c>
      <c r="I42" s="28">
        <f>IF(OR('Июль'!$AP$3=0,'Июль'!$AP$6=0,'Июль'!$AL$12=""),"",'Июль'!$AL$12)</f>
        <v/>
      </c>
      <c r="J42" s="28">
        <f>IF(OR('Август'!$AP$3=0,'Август'!$AP$6=0,'Август'!$AL$12=""),"",'Август'!$AL$12)</f>
        <v/>
      </c>
      <c r="K42" s="28">
        <f>IF(OR('Сентябрь'!$AP$3=0,'Сентябрь'!$AP$6=0,'Сентябрь'!$AL$12=""),"",'Сентябрь'!$AL$12)</f>
        <v/>
      </c>
      <c r="L42" s="28">
        <f>IF(OR('Октябрь'!$AP$3=0,'Октябрь'!$AP$6=0,'Октябрь'!$AL$12=""),"",'Октябрь'!$AL$12)</f>
        <v/>
      </c>
      <c r="M42" s="28">
        <f>IF(OR('Ноябрь'!$AP$3=0,'Ноябрь'!$AP$6=0,'Ноябрь'!$AL$12=""),"",'Ноябрь'!$AL$12)</f>
        <v/>
      </c>
      <c r="N42" s="28">
        <f>IF(OR('Декабрь'!$AP$3=0,'Декабрь'!$AP$6=0,'Декабрь'!$AL$12=""),"",'Декабрь'!$AL$12)</f>
        <v/>
      </c>
      <c r="O42" s="28">
        <f>IFERROR(AVERAGE($C$42:$N$42),"")</f>
        <v/>
      </c>
    </row>
    <row r="43" spans="2:15" ht="18" customHeight="1" x14ac:dyDescent="0.25">
      <c r="B43" s="27" t="str">
        <f>IF('Старт'!$D$13="","",'Старт'!$D$13)</f>
        <v>Тренировка</v>
      </c>
      <c r="C43" s="28">
        <f>IF(OR('Январь'!$AP$3=0,'Январь'!$AP$6=0,'Январь'!$AL$13=""),"",'Январь'!$AL$13)</f>
        <v/>
      </c>
      <c r="D43" s="28">
        <f>IF(OR('Февраль'!$AP$3=0,'Февраль'!$AP$6=0,'Февраль'!$AL$13=""),"",'Февраль'!$AL$13)</f>
        <v/>
      </c>
      <c r="E43" s="28">
        <f>IF(OR('Март'!$AP$3=0,'Март'!$AP$6=0,'Март'!$AL$13=""),"",'Март'!$AL$13)</f>
        <v/>
      </c>
      <c r="F43" s="28">
        <f>IF(OR('Апрель'!$AP$3=0,'Апрель'!$AP$6=0,'Апрель'!$AL$13=""),"",'Апрель'!$AL$13)</f>
        <v/>
      </c>
      <c r="G43" s="28">
        <f>IF(OR('Май'!$AP$3=0,'Май'!$AP$6=0,'Май'!$AL$13=""),"",'Май'!$AL$13)</f>
        <v/>
      </c>
      <c r="H43" s="28">
        <f>IF(OR('Июнь'!$AP$3=0,'Июнь'!$AP$6=0,'Июнь'!$AL$13=""),"",'Июнь'!$AL$13)</f>
        <v/>
      </c>
      <c r="I43" s="28">
        <f>IF(OR('Июль'!$AP$3=0,'Июль'!$AP$6=0,'Июль'!$AL$13=""),"",'Июль'!$AL$13)</f>
        <v/>
      </c>
      <c r="J43" s="28">
        <f>IF(OR('Август'!$AP$3=0,'Август'!$AP$6=0,'Август'!$AL$13=""),"",'Август'!$AL$13)</f>
        <v/>
      </c>
      <c r="K43" s="28">
        <f>IF(OR('Сентябрь'!$AP$3=0,'Сентябрь'!$AP$6=0,'Сентябрь'!$AL$13=""),"",'Сентябрь'!$AL$13)</f>
        <v/>
      </c>
      <c r="L43" s="28">
        <f>IF(OR('Октябрь'!$AP$3=0,'Октябрь'!$AP$6=0,'Октябрь'!$AL$13=""),"",'Октябрь'!$AL$13)</f>
        <v/>
      </c>
      <c r="M43" s="28">
        <f>IF(OR('Ноябрь'!$AP$3=0,'Ноябрь'!$AP$6=0,'Ноябрь'!$AL$13=""),"",'Ноябрь'!$AL$13)</f>
        <v/>
      </c>
      <c r="N43" s="28">
        <f>IF(OR('Декабрь'!$AP$3=0,'Декабрь'!$AP$6=0,'Декабрь'!$AL$13=""),"",'Декабрь'!$AL$13)</f>
        <v/>
      </c>
      <c r="O43" s="28">
        <f>IFERROR(AVERAGE($C$43:$N$43),"")</f>
        <v/>
      </c>
    </row>
    <row r="44" spans="2:15" ht="18" customHeight="1" x14ac:dyDescent="0.25">
      <c r="B44" s="27" t="str">
        <f>IF('Старт'!$D$14="","",'Старт'!$D$14)</f>
        <v>10 000 шагов</v>
      </c>
      <c r="C44" s="28">
        <f>IF(OR('Январь'!$AP$3=0,'Январь'!$AP$6=0,'Январь'!$AL$14=""),"",'Январь'!$AL$14)</f>
        <v/>
      </c>
      <c r="D44" s="28">
        <f>IF(OR('Февраль'!$AP$3=0,'Февраль'!$AP$6=0,'Февраль'!$AL$14=""),"",'Февраль'!$AL$14)</f>
        <v/>
      </c>
      <c r="E44" s="28">
        <f>IF(OR('Март'!$AP$3=0,'Март'!$AP$6=0,'Март'!$AL$14=""),"",'Март'!$AL$14)</f>
        <v/>
      </c>
      <c r="F44" s="28">
        <f>IF(OR('Апрель'!$AP$3=0,'Апрель'!$AP$6=0,'Апрель'!$AL$14=""),"",'Апрель'!$AL$14)</f>
        <v/>
      </c>
      <c r="G44" s="28">
        <f>IF(OR('Май'!$AP$3=0,'Май'!$AP$6=0,'Май'!$AL$14=""),"",'Май'!$AL$14)</f>
        <v/>
      </c>
      <c r="H44" s="28">
        <f>IF(OR('Июнь'!$AP$3=0,'Июнь'!$AP$6=0,'Июнь'!$AL$14=""),"",'Июнь'!$AL$14)</f>
        <v/>
      </c>
      <c r="I44" s="28">
        <f>IF(OR('Июль'!$AP$3=0,'Июль'!$AP$6=0,'Июль'!$AL$14=""),"",'Июль'!$AL$14)</f>
        <v/>
      </c>
      <c r="J44" s="28">
        <f>IF(OR('Август'!$AP$3=0,'Август'!$AP$6=0,'Август'!$AL$14=""),"",'Август'!$AL$14)</f>
        <v/>
      </c>
      <c r="K44" s="28">
        <f>IF(OR('Сентябрь'!$AP$3=0,'Сентябрь'!$AP$6=0,'Сентябрь'!$AL$14=""),"",'Сентябрь'!$AL$14)</f>
        <v/>
      </c>
      <c r="L44" s="28">
        <f>IF(OR('Октябрь'!$AP$3=0,'Октябрь'!$AP$6=0,'Октябрь'!$AL$14=""),"",'Октябрь'!$AL$14)</f>
        <v/>
      </c>
      <c r="M44" s="28">
        <f>IF(OR('Ноябрь'!$AP$3=0,'Ноябрь'!$AP$6=0,'Ноябрь'!$AL$14=""),"",'Ноябрь'!$AL$14)</f>
        <v/>
      </c>
      <c r="N44" s="28">
        <f>IF(OR('Декабрь'!$AP$3=0,'Декабрь'!$AP$6=0,'Декабрь'!$AL$14=""),"",'Декабрь'!$AL$14)</f>
        <v/>
      </c>
      <c r="O44" s="28">
        <f>IFERROR(AVERAGE($C$44:$N$44),"")</f>
        <v/>
      </c>
    </row>
    <row r="45" spans="2:15" ht="18" customHeight="1" x14ac:dyDescent="0.25">
      <c r="B45" s="27" t="str">
        <f>IF('Старт'!$D$15="","",'Старт'!$D$15)</f>
        <v>Чтение 20 минут</v>
      </c>
      <c r="C45" s="28">
        <f>IF(OR('Январь'!$AP$3=0,'Январь'!$AP$6=0,'Январь'!$AL$15=""),"",'Январь'!$AL$15)</f>
        <v/>
      </c>
      <c r="D45" s="28">
        <f>IF(OR('Февраль'!$AP$3=0,'Февраль'!$AP$6=0,'Февраль'!$AL$15=""),"",'Февраль'!$AL$15)</f>
        <v/>
      </c>
      <c r="E45" s="28">
        <f>IF(OR('Март'!$AP$3=0,'Март'!$AP$6=0,'Март'!$AL$15=""),"",'Март'!$AL$15)</f>
        <v/>
      </c>
      <c r="F45" s="28">
        <f>IF(OR('Апрель'!$AP$3=0,'Апрель'!$AP$6=0,'Апрель'!$AL$15=""),"",'Апрель'!$AL$15)</f>
        <v/>
      </c>
      <c r="G45" s="28">
        <f>IF(OR('Май'!$AP$3=0,'Май'!$AP$6=0,'Май'!$AL$15=""),"",'Май'!$AL$15)</f>
        <v/>
      </c>
      <c r="H45" s="28">
        <f>IF(OR('Июнь'!$AP$3=0,'Июнь'!$AP$6=0,'Июнь'!$AL$15=""),"",'Июнь'!$AL$15)</f>
        <v/>
      </c>
      <c r="I45" s="28">
        <f>IF(OR('Июль'!$AP$3=0,'Июль'!$AP$6=0,'Июль'!$AL$15=""),"",'Июль'!$AL$15)</f>
        <v/>
      </c>
      <c r="J45" s="28">
        <f>IF(OR('Август'!$AP$3=0,'Август'!$AP$6=0,'Август'!$AL$15=""),"",'Август'!$AL$15)</f>
        <v/>
      </c>
      <c r="K45" s="28">
        <f>IF(OR('Сентябрь'!$AP$3=0,'Сентябрь'!$AP$6=0,'Сентябрь'!$AL$15=""),"",'Сентябрь'!$AL$15)</f>
        <v/>
      </c>
      <c r="L45" s="28">
        <f>IF(OR('Октябрь'!$AP$3=0,'Октябрь'!$AP$6=0,'Октябрь'!$AL$15=""),"",'Октябрь'!$AL$15)</f>
        <v/>
      </c>
      <c r="M45" s="28">
        <f>IF(OR('Ноябрь'!$AP$3=0,'Ноябрь'!$AP$6=0,'Ноябрь'!$AL$15=""),"",'Ноябрь'!$AL$15)</f>
        <v/>
      </c>
      <c r="N45" s="28">
        <f>IF(OR('Декабрь'!$AP$3=0,'Декабрь'!$AP$6=0,'Декабрь'!$AL$15=""),"",'Декабрь'!$AL$15)</f>
        <v/>
      </c>
      <c r="O45" s="28">
        <f>IFERROR(AVERAGE($C$45:$N$45),"")</f>
        <v/>
      </c>
    </row>
    <row r="46" spans="2:15" ht="18" customHeight="1" x14ac:dyDescent="0.25">
      <c r="B46" s="27" t="str">
        <f>IF('Старт'!$D$16="","",'Старт'!$D$16)</f>
        <v>Медитация 10 минут</v>
      </c>
      <c r="C46" s="28">
        <f>IF(OR('Январь'!$AP$3=0,'Январь'!$AP$6=0,'Январь'!$AL$16=""),"",'Январь'!$AL$16)</f>
        <v/>
      </c>
      <c r="D46" s="28">
        <f>IF(OR('Февраль'!$AP$3=0,'Февраль'!$AP$6=0,'Февраль'!$AL$16=""),"",'Февраль'!$AL$16)</f>
        <v/>
      </c>
      <c r="E46" s="28">
        <f>IF(OR('Март'!$AP$3=0,'Март'!$AP$6=0,'Март'!$AL$16=""),"",'Март'!$AL$16)</f>
        <v/>
      </c>
      <c r="F46" s="28">
        <f>IF(OR('Апрель'!$AP$3=0,'Апрель'!$AP$6=0,'Апрель'!$AL$16=""),"",'Апрель'!$AL$16)</f>
        <v/>
      </c>
      <c r="G46" s="28">
        <f>IF(OR('Май'!$AP$3=0,'Май'!$AP$6=0,'Май'!$AL$16=""),"",'Май'!$AL$16)</f>
        <v/>
      </c>
      <c r="H46" s="28">
        <f>IF(OR('Июнь'!$AP$3=0,'Июнь'!$AP$6=0,'Июнь'!$AL$16=""),"",'Июнь'!$AL$16)</f>
        <v/>
      </c>
      <c r="I46" s="28">
        <f>IF(OR('Июль'!$AP$3=0,'Июль'!$AP$6=0,'Июль'!$AL$16=""),"",'Июль'!$AL$16)</f>
        <v/>
      </c>
      <c r="J46" s="28">
        <f>IF(OR('Август'!$AP$3=0,'Август'!$AP$6=0,'Август'!$AL$16=""),"",'Август'!$AL$16)</f>
        <v/>
      </c>
      <c r="K46" s="28">
        <f>IF(OR('Сентябрь'!$AP$3=0,'Сентябрь'!$AP$6=0,'Сентябрь'!$AL$16=""),"",'Сентябрь'!$AL$16)</f>
        <v/>
      </c>
      <c r="L46" s="28">
        <f>IF(OR('Октябрь'!$AP$3=0,'Октябрь'!$AP$6=0,'Октябрь'!$AL$16=""),"",'Октябрь'!$AL$16)</f>
        <v/>
      </c>
      <c r="M46" s="28">
        <f>IF(OR('Ноябрь'!$AP$3=0,'Ноябрь'!$AP$6=0,'Ноябрь'!$AL$16=""),"",'Ноябрь'!$AL$16)</f>
        <v/>
      </c>
      <c r="N46" s="28">
        <f>IF(OR('Декабрь'!$AP$3=0,'Декабрь'!$AP$6=0,'Декабрь'!$AL$16=""),"",'Декабрь'!$AL$16)</f>
        <v/>
      </c>
      <c r="O46" s="28">
        <f>IFERROR(AVERAGE($C$46:$N$46),"")</f>
        <v/>
      </c>
    </row>
    <row r="47" spans="2:15" ht="18" customHeight="1" x14ac:dyDescent="0.25">
      <c r="B47" s="27" t="str">
        <f>IF('Старт'!$D$17="","",'Старт'!$D$17)</f>
        <v>Без сахара</v>
      </c>
      <c r="C47" s="28">
        <f>IF(OR('Январь'!$AP$3=0,'Январь'!$AP$6=0,'Январь'!$AL$17=""),"",'Январь'!$AL$17)</f>
        <v/>
      </c>
      <c r="D47" s="28">
        <f>IF(OR('Февраль'!$AP$3=0,'Февраль'!$AP$6=0,'Февраль'!$AL$17=""),"",'Февраль'!$AL$17)</f>
        <v/>
      </c>
      <c r="E47" s="28">
        <f>IF(OR('Март'!$AP$3=0,'Март'!$AP$6=0,'Март'!$AL$17=""),"",'Март'!$AL$17)</f>
        <v/>
      </c>
      <c r="F47" s="28">
        <f>IF(OR('Апрель'!$AP$3=0,'Апрель'!$AP$6=0,'Апрель'!$AL$17=""),"",'Апрель'!$AL$17)</f>
        <v/>
      </c>
      <c r="G47" s="28">
        <f>IF(OR('Май'!$AP$3=0,'Май'!$AP$6=0,'Май'!$AL$17=""),"",'Май'!$AL$17)</f>
        <v/>
      </c>
      <c r="H47" s="28">
        <f>IF(OR('Июнь'!$AP$3=0,'Июнь'!$AP$6=0,'Июнь'!$AL$17=""),"",'Июнь'!$AL$17)</f>
        <v/>
      </c>
      <c r="I47" s="28">
        <f>IF(OR('Июль'!$AP$3=0,'Июль'!$AP$6=0,'Июль'!$AL$17=""),"",'Июль'!$AL$17)</f>
        <v/>
      </c>
      <c r="J47" s="28">
        <f>IF(OR('Август'!$AP$3=0,'Август'!$AP$6=0,'Август'!$AL$17=""),"",'Август'!$AL$17)</f>
        <v/>
      </c>
      <c r="K47" s="28">
        <f>IF(OR('Сентябрь'!$AP$3=0,'Сентябрь'!$AP$6=0,'Сентябрь'!$AL$17=""),"",'Сентябрь'!$AL$17)</f>
        <v/>
      </c>
      <c r="L47" s="28">
        <f>IF(OR('Октябрь'!$AP$3=0,'Октябрь'!$AP$6=0,'Октябрь'!$AL$17=""),"",'Октябрь'!$AL$17)</f>
        <v/>
      </c>
      <c r="M47" s="28">
        <f>IF(OR('Ноябрь'!$AP$3=0,'Ноябрь'!$AP$6=0,'Ноябрь'!$AL$17=""),"",'Ноябрь'!$AL$17)</f>
        <v/>
      </c>
      <c r="N47" s="28">
        <f>IF(OR('Декабрь'!$AP$3=0,'Декабрь'!$AP$6=0,'Декабрь'!$AL$17=""),"",'Декабрь'!$AL$17)</f>
        <v/>
      </c>
      <c r="O47" s="28">
        <f>IFERROR(AVERAGE($C$47:$N$47),"")</f>
        <v/>
      </c>
    </row>
    <row r="48" spans="2:15" ht="18" customHeight="1" x14ac:dyDescent="0.25">
      <c r="B48" s="27" t="str">
        <f>IF('Старт'!$D$18="","",'Старт'!$D$18)</f>
        <v>План на завтра</v>
      </c>
      <c r="C48" s="28">
        <f>IF(OR('Январь'!$AP$3=0,'Январь'!$AP$6=0,'Январь'!$AL$18=""),"",'Январь'!$AL$18)</f>
        <v/>
      </c>
      <c r="D48" s="28">
        <f>IF(OR('Февраль'!$AP$3=0,'Февраль'!$AP$6=0,'Февраль'!$AL$18=""),"",'Февраль'!$AL$18)</f>
        <v/>
      </c>
      <c r="E48" s="28">
        <f>IF(OR('Март'!$AP$3=0,'Март'!$AP$6=0,'Март'!$AL$18=""),"",'Март'!$AL$18)</f>
        <v/>
      </c>
      <c r="F48" s="28">
        <f>IF(OR('Апрель'!$AP$3=0,'Апрель'!$AP$6=0,'Апрель'!$AL$18=""),"",'Апрель'!$AL$18)</f>
        <v/>
      </c>
      <c r="G48" s="28">
        <f>IF(OR('Май'!$AP$3=0,'Май'!$AP$6=0,'Май'!$AL$18=""),"",'Май'!$AL$18)</f>
        <v/>
      </c>
      <c r="H48" s="28">
        <f>IF(OR('Июнь'!$AP$3=0,'Июнь'!$AP$6=0,'Июнь'!$AL$18=""),"",'Июнь'!$AL$18)</f>
        <v/>
      </c>
      <c r="I48" s="28">
        <f>IF(OR('Июль'!$AP$3=0,'Июль'!$AP$6=0,'Июль'!$AL$18=""),"",'Июль'!$AL$18)</f>
        <v/>
      </c>
      <c r="J48" s="28">
        <f>IF(OR('Август'!$AP$3=0,'Август'!$AP$6=0,'Август'!$AL$18=""),"",'Август'!$AL$18)</f>
        <v/>
      </c>
      <c r="K48" s="28">
        <f>IF(OR('Сентябрь'!$AP$3=0,'Сентябрь'!$AP$6=0,'Сентябрь'!$AL$18=""),"",'Сентябрь'!$AL$18)</f>
        <v/>
      </c>
      <c r="L48" s="28">
        <f>IF(OR('Октябрь'!$AP$3=0,'Октябрь'!$AP$6=0,'Октябрь'!$AL$18=""),"",'Октябрь'!$AL$18)</f>
        <v/>
      </c>
      <c r="M48" s="28">
        <f>IF(OR('Ноябрь'!$AP$3=0,'Ноябрь'!$AP$6=0,'Ноябрь'!$AL$18=""),"",'Ноябрь'!$AL$18)</f>
        <v/>
      </c>
      <c r="N48" s="28">
        <f>IF(OR('Декабрь'!$AP$3=0,'Декабрь'!$AP$6=0,'Декабрь'!$AL$18=""),"",'Декабрь'!$AL$18)</f>
        <v/>
      </c>
      <c r="O48" s="28">
        <f>IFERROR(AVERAGE($C$48:$N$48),"")</f>
        <v/>
      </c>
    </row>
    <row r="49" spans="2:15" ht="18" customHeight="1" x14ac:dyDescent="0.25">
      <c r="B49" s="27" t="str">
        <f>IF('Старт'!$D$19="","",'Старт'!$D$19)</f>
        <v>Английский 15 минут</v>
      </c>
      <c r="C49" s="28">
        <f>IF(OR('Январь'!$AP$3=0,'Январь'!$AP$6=0,'Январь'!$AL$19=""),"",'Январь'!$AL$19)</f>
        <v/>
      </c>
      <c r="D49" s="28">
        <f>IF(OR('Февраль'!$AP$3=0,'Февраль'!$AP$6=0,'Февраль'!$AL$19=""),"",'Февраль'!$AL$19)</f>
        <v/>
      </c>
      <c r="E49" s="28">
        <f>IF(OR('Март'!$AP$3=0,'Март'!$AP$6=0,'Март'!$AL$19=""),"",'Март'!$AL$19)</f>
        <v/>
      </c>
      <c r="F49" s="28">
        <f>IF(OR('Апрель'!$AP$3=0,'Апрель'!$AP$6=0,'Апрель'!$AL$19=""),"",'Апрель'!$AL$19)</f>
        <v/>
      </c>
      <c r="G49" s="28">
        <f>IF(OR('Май'!$AP$3=0,'Май'!$AP$6=0,'Май'!$AL$19=""),"",'Май'!$AL$19)</f>
        <v/>
      </c>
      <c r="H49" s="28">
        <f>IF(OR('Июнь'!$AP$3=0,'Июнь'!$AP$6=0,'Июнь'!$AL$19=""),"",'Июнь'!$AL$19)</f>
        <v/>
      </c>
      <c r="I49" s="28">
        <f>IF(OR('Июль'!$AP$3=0,'Июль'!$AP$6=0,'Июль'!$AL$19=""),"",'Июль'!$AL$19)</f>
        <v/>
      </c>
      <c r="J49" s="28">
        <f>IF(OR('Август'!$AP$3=0,'Август'!$AP$6=0,'Август'!$AL$19=""),"",'Август'!$AL$19)</f>
        <v/>
      </c>
      <c r="K49" s="28">
        <f>IF(OR('Сентябрь'!$AP$3=0,'Сентябрь'!$AP$6=0,'Сентябрь'!$AL$19=""),"",'Сентябрь'!$AL$19)</f>
        <v/>
      </c>
      <c r="L49" s="28">
        <f>IF(OR('Октябрь'!$AP$3=0,'Октябрь'!$AP$6=0,'Октябрь'!$AL$19=""),"",'Октябрь'!$AL$19)</f>
        <v/>
      </c>
      <c r="M49" s="28">
        <f>IF(OR('Ноябрь'!$AP$3=0,'Ноябрь'!$AP$6=0,'Ноябрь'!$AL$19=""),"",'Ноябрь'!$AL$19)</f>
        <v/>
      </c>
      <c r="N49" s="28">
        <f>IF(OR('Декабрь'!$AP$3=0,'Декабрь'!$AP$6=0,'Декабрь'!$AL$19=""),"",'Декабрь'!$AL$19)</f>
        <v/>
      </c>
      <c r="O49" s="28">
        <f>IFERROR(AVERAGE($C$49:$N$49),"")</f>
        <v/>
      </c>
    </row>
    <row r="50" spans="2:15" ht="18" customHeight="1" x14ac:dyDescent="0.25">
      <c r="B50" s="27">
        <f>IF('Старт'!$D$20="","",'Старт'!$D$20)</f>
        <v/>
      </c>
      <c r="C50" s="28">
        <f>IF(OR('Январь'!$AP$3=0,'Январь'!$AP$6=0,'Январь'!$AL$20=""),"",'Январь'!$AL$20)</f>
        <v/>
      </c>
      <c r="D50" s="28">
        <f>IF(OR('Февраль'!$AP$3=0,'Февраль'!$AP$6=0,'Февраль'!$AL$20=""),"",'Февраль'!$AL$20)</f>
        <v/>
      </c>
      <c r="E50" s="28">
        <f>IF(OR('Март'!$AP$3=0,'Март'!$AP$6=0,'Март'!$AL$20=""),"",'Март'!$AL$20)</f>
        <v/>
      </c>
      <c r="F50" s="28">
        <f>IF(OR('Апрель'!$AP$3=0,'Апрель'!$AP$6=0,'Апрель'!$AL$20=""),"",'Апрель'!$AL$20)</f>
        <v/>
      </c>
      <c r="G50" s="28">
        <f>IF(OR('Май'!$AP$3=0,'Май'!$AP$6=0,'Май'!$AL$20=""),"",'Май'!$AL$20)</f>
        <v/>
      </c>
      <c r="H50" s="28">
        <f>IF(OR('Июнь'!$AP$3=0,'Июнь'!$AP$6=0,'Июнь'!$AL$20=""),"",'Июнь'!$AL$20)</f>
        <v/>
      </c>
      <c r="I50" s="28">
        <f>IF(OR('Июль'!$AP$3=0,'Июль'!$AP$6=0,'Июль'!$AL$20=""),"",'Июль'!$AL$20)</f>
        <v/>
      </c>
      <c r="J50" s="28">
        <f>IF(OR('Август'!$AP$3=0,'Август'!$AP$6=0,'Август'!$AL$20=""),"",'Август'!$AL$20)</f>
        <v/>
      </c>
      <c r="K50" s="28">
        <f>IF(OR('Сентябрь'!$AP$3=0,'Сентябрь'!$AP$6=0,'Сентябрь'!$AL$20=""),"",'Сентябрь'!$AL$20)</f>
        <v/>
      </c>
      <c r="L50" s="28">
        <f>IF(OR('Октябрь'!$AP$3=0,'Октябрь'!$AP$6=0,'Октябрь'!$AL$20=""),"",'Октябрь'!$AL$20)</f>
        <v/>
      </c>
      <c r="M50" s="28">
        <f>IF(OR('Ноябрь'!$AP$3=0,'Ноябрь'!$AP$6=0,'Ноябрь'!$AL$20=""),"",'Ноябрь'!$AL$20)</f>
        <v/>
      </c>
      <c r="N50" s="28">
        <f>IF(OR('Декабрь'!$AP$3=0,'Декабрь'!$AP$6=0,'Декабрь'!$AL$20=""),"",'Декабрь'!$AL$20)</f>
        <v/>
      </c>
      <c r="O50" s="28">
        <f>IFERROR(AVERAGE($C$50:$N$50),"")</f>
        <v/>
      </c>
    </row>
    <row r="51" spans="2:15" ht="18" customHeight="1" x14ac:dyDescent="0.25">
      <c r="B51" s="27">
        <f>IF('Старт'!$D$21="","",'Старт'!$D$21)</f>
        <v/>
      </c>
      <c r="C51" s="28">
        <f>IF(OR('Январь'!$AP$3=0,'Январь'!$AP$6=0,'Январь'!$AL$21=""),"",'Январь'!$AL$21)</f>
        <v/>
      </c>
      <c r="D51" s="28">
        <f>IF(OR('Февраль'!$AP$3=0,'Февраль'!$AP$6=0,'Февраль'!$AL$21=""),"",'Февраль'!$AL$21)</f>
        <v/>
      </c>
      <c r="E51" s="28">
        <f>IF(OR('Март'!$AP$3=0,'Март'!$AP$6=0,'Март'!$AL$21=""),"",'Март'!$AL$21)</f>
        <v/>
      </c>
      <c r="F51" s="28">
        <f>IF(OR('Апрель'!$AP$3=0,'Апрель'!$AP$6=0,'Апрель'!$AL$21=""),"",'Апрель'!$AL$21)</f>
        <v/>
      </c>
      <c r="G51" s="28">
        <f>IF(OR('Май'!$AP$3=0,'Май'!$AP$6=0,'Май'!$AL$21=""),"",'Май'!$AL$21)</f>
        <v/>
      </c>
      <c r="H51" s="28">
        <f>IF(OR('Июнь'!$AP$3=0,'Июнь'!$AP$6=0,'Июнь'!$AL$21=""),"",'Июнь'!$AL$21)</f>
        <v/>
      </c>
      <c r="I51" s="28">
        <f>IF(OR('Июль'!$AP$3=0,'Июль'!$AP$6=0,'Июль'!$AL$21=""),"",'Июль'!$AL$21)</f>
        <v/>
      </c>
      <c r="J51" s="28">
        <f>IF(OR('Август'!$AP$3=0,'Август'!$AP$6=0,'Август'!$AL$21=""),"",'Август'!$AL$21)</f>
        <v/>
      </c>
      <c r="K51" s="28">
        <f>IF(OR('Сентябрь'!$AP$3=0,'Сентябрь'!$AP$6=0,'Сентябрь'!$AL$21=""),"",'Сентябрь'!$AL$21)</f>
        <v/>
      </c>
      <c r="L51" s="28">
        <f>IF(OR('Октябрь'!$AP$3=0,'Октябрь'!$AP$6=0,'Октябрь'!$AL$21=""),"",'Октябрь'!$AL$21)</f>
        <v/>
      </c>
      <c r="M51" s="28">
        <f>IF(OR('Ноябрь'!$AP$3=0,'Ноябрь'!$AP$6=0,'Ноябрь'!$AL$21=""),"",'Ноябрь'!$AL$21)</f>
        <v/>
      </c>
      <c r="N51" s="28">
        <f>IF(OR('Декабрь'!$AP$3=0,'Декабрь'!$AP$6=0,'Декабрь'!$AL$21=""),"",'Декабрь'!$AL$21)</f>
        <v/>
      </c>
      <c r="O51" s="28">
        <f>IFERROR(AVERAGE($C$51:$N$51),"")</f>
        <v/>
      </c>
    </row>
    <row r="52" spans="2:15" ht="18" customHeight="1" x14ac:dyDescent="0.25">
      <c r="B52" s="27">
        <f>IF('Старт'!$D$22="","",'Старт'!$D$22)</f>
        <v/>
      </c>
      <c r="C52" s="28">
        <f>IF(OR('Январь'!$AP$3=0,'Январь'!$AP$6=0,'Январь'!$AL$22=""),"",'Январь'!$AL$22)</f>
        <v/>
      </c>
      <c r="D52" s="28">
        <f>IF(OR('Февраль'!$AP$3=0,'Февраль'!$AP$6=0,'Февраль'!$AL$22=""),"",'Февраль'!$AL$22)</f>
        <v/>
      </c>
      <c r="E52" s="28">
        <f>IF(OR('Март'!$AP$3=0,'Март'!$AP$6=0,'Март'!$AL$22=""),"",'Март'!$AL$22)</f>
        <v/>
      </c>
      <c r="F52" s="28">
        <f>IF(OR('Апрель'!$AP$3=0,'Апрель'!$AP$6=0,'Апрель'!$AL$22=""),"",'Апрель'!$AL$22)</f>
        <v/>
      </c>
      <c r="G52" s="28">
        <f>IF(OR('Май'!$AP$3=0,'Май'!$AP$6=0,'Май'!$AL$22=""),"",'Май'!$AL$22)</f>
        <v/>
      </c>
      <c r="H52" s="28">
        <f>IF(OR('Июнь'!$AP$3=0,'Июнь'!$AP$6=0,'Июнь'!$AL$22=""),"",'Июнь'!$AL$22)</f>
        <v/>
      </c>
      <c r="I52" s="28">
        <f>IF(OR('Июль'!$AP$3=0,'Июль'!$AP$6=0,'Июль'!$AL$22=""),"",'Июль'!$AL$22)</f>
        <v/>
      </c>
      <c r="J52" s="28">
        <f>IF(OR('Август'!$AP$3=0,'Август'!$AP$6=0,'Август'!$AL$22=""),"",'Август'!$AL$22)</f>
        <v/>
      </c>
      <c r="K52" s="28">
        <f>IF(OR('Сентябрь'!$AP$3=0,'Сентябрь'!$AP$6=0,'Сентябрь'!$AL$22=""),"",'Сентябрь'!$AL$22)</f>
        <v/>
      </c>
      <c r="L52" s="28">
        <f>IF(OR('Октябрь'!$AP$3=0,'Октябрь'!$AP$6=0,'Октябрь'!$AL$22=""),"",'Октябрь'!$AL$22)</f>
        <v/>
      </c>
      <c r="M52" s="28">
        <f>IF(OR('Ноябрь'!$AP$3=0,'Ноябрь'!$AP$6=0,'Ноябрь'!$AL$22=""),"",'Ноябрь'!$AL$22)</f>
        <v/>
      </c>
      <c r="N52" s="28">
        <f>IF(OR('Декабрь'!$AP$3=0,'Декабрь'!$AP$6=0,'Декабрь'!$AL$22=""),"",'Декабрь'!$AL$22)</f>
        <v/>
      </c>
      <c r="O52" s="28">
        <f>IFERROR(AVERAGE($C$52:$N$52),"")</f>
        <v/>
      </c>
    </row>
    <row r="53" spans="2:15" ht="18" customHeight="1" x14ac:dyDescent="0.25">
      <c r="B53" s="27">
        <f>IF('Старт'!$D$23="","",'Старт'!$D$23)</f>
        <v/>
      </c>
      <c r="C53" s="28">
        <f>IF(OR('Январь'!$AP$3=0,'Январь'!$AP$6=0,'Январь'!$AL$23=""),"",'Январь'!$AL$23)</f>
        <v/>
      </c>
      <c r="D53" s="28">
        <f>IF(OR('Февраль'!$AP$3=0,'Февраль'!$AP$6=0,'Февраль'!$AL$23=""),"",'Февраль'!$AL$23)</f>
        <v/>
      </c>
      <c r="E53" s="28">
        <f>IF(OR('Март'!$AP$3=0,'Март'!$AP$6=0,'Март'!$AL$23=""),"",'Март'!$AL$23)</f>
        <v/>
      </c>
      <c r="F53" s="28">
        <f>IF(OR('Апрель'!$AP$3=0,'Апрель'!$AP$6=0,'Апрель'!$AL$23=""),"",'Апрель'!$AL$23)</f>
        <v/>
      </c>
      <c r="G53" s="28">
        <f>IF(OR('Май'!$AP$3=0,'Май'!$AP$6=0,'Май'!$AL$23=""),"",'Май'!$AL$23)</f>
        <v/>
      </c>
      <c r="H53" s="28">
        <f>IF(OR('Июнь'!$AP$3=0,'Июнь'!$AP$6=0,'Июнь'!$AL$23=""),"",'Июнь'!$AL$23)</f>
        <v/>
      </c>
      <c r="I53" s="28">
        <f>IF(OR('Июль'!$AP$3=0,'Июль'!$AP$6=0,'Июль'!$AL$23=""),"",'Июль'!$AL$23)</f>
        <v/>
      </c>
      <c r="J53" s="28">
        <f>IF(OR('Август'!$AP$3=0,'Август'!$AP$6=0,'Август'!$AL$23=""),"",'Август'!$AL$23)</f>
        <v/>
      </c>
      <c r="K53" s="28">
        <f>IF(OR('Сентябрь'!$AP$3=0,'Сентябрь'!$AP$6=0,'Сентябрь'!$AL$23=""),"",'Сентябрь'!$AL$23)</f>
        <v/>
      </c>
      <c r="L53" s="28">
        <f>IF(OR('Октябрь'!$AP$3=0,'Октябрь'!$AP$6=0,'Октябрь'!$AL$23=""),"",'Октябрь'!$AL$23)</f>
        <v/>
      </c>
      <c r="M53" s="28">
        <f>IF(OR('Ноябрь'!$AP$3=0,'Ноябрь'!$AP$6=0,'Ноябрь'!$AL$23=""),"",'Ноябрь'!$AL$23)</f>
        <v/>
      </c>
      <c r="N53" s="28">
        <f>IF(OR('Декабрь'!$AP$3=0,'Декабрь'!$AP$6=0,'Декабрь'!$AL$23=""),"",'Декабрь'!$AL$23)</f>
        <v/>
      </c>
      <c r="O53" s="28">
        <f>IFERROR(AVERAGE($C$53:$N$53),"")</f>
        <v/>
      </c>
    </row>
    <row r="54" spans="2:15" ht="18" customHeight="1" x14ac:dyDescent="0.25">
      <c r="B54" s="27">
        <f>IF('Старт'!$D$24="","",'Старт'!$D$24)</f>
        <v/>
      </c>
      <c r="C54" s="28">
        <f>IF(OR('Январь'!$AP$3=0,'Январь'!$AP$6=0,'Январь'!$AL$24=""),"",'Январь'!$AL$24)</f>
        <v/>
      </c>
      <c r="D54" s="28">
        <f>IF(OR('Февраль'!$AP$3=0,'Февраль'!$AP$6=0,'Февраль'!$AL$24=""),"",'Февраль'!$AL$24)</f>
        <v/>
      </c>
      <c r="E54" s="28">
        <f>IF(OR('Март'!$AP$3=0,'Март'!$AP$6=0,'Март'!$AL$24=""),"",'Март'!$AL$24)</f>
        <v/>
      </c>
      <c r="F54" s="28">
        <f>IF(OR('Апрель'!$AP$3=0,'Апрель'!$AP$6=0,'Апрель'!$AL$24=""),"",'Апрель'!$AL$24)</f>
        <v/>
      </c>
      <c r="G54" s="28">
        <f>IF(OR('Май'!$AP$3=0,'Май'!$AP$6=0,'Май'!$AL$24=""),"",'Май'!$AL$24)</f>
        <v/>
      </c>
      <c r="H54" s="28">
        <f>IF(OR('Июнь'!$AP$3=0,'Июнь'!$AP$6=0,'Июнь'!$AL$24=""),"",'Июнь'!$AL$24)</f>
        <v/>
      </c>
      <c r="I54" s="28">
        <f>IF(OR('Июль'!$AP$3=0,'Июль'!$AP$6=0,'Июль'!$AL$24=""),"",'Июль'!$AL$24)</f>
        <v/>
      </c>
      <c r="J54" s="28">
        <f>IF(OR('Август'!$AP$3=0,'Август'!$AP$6=0,'Август'!$AL$24=""),"",'Август'!$AL$24)</f>
        <v/>
      </c>
      <c r="K54" s="28">
        <f>IF(OR('Сентябрь'!$AP$3=0,'Сентябрь'!$AP$6=0,'Сентябрь'!$AL$24=""),"",'Сентябрь'!$AL$24)</f>
        <v/>
      </c>
      <c r="L54" s="28">
        <f>IF(OR('Октябрь'!$AP$3=0,'Октябрь'!$AP$6=0,'Октябрь'!$AL$24=""),"",'Октябрь'!$AL$24)</f>
        <v/>
      </c>
      <c r="M54" s="28">
        <f>IF(OR('Ноябрь'!$AP$3=0,'Ноябрь'!$AP$6=0,'Ноябрь'!$AL$24=""),"",'Ноябрь'!$AL$24)</f>
        <v/>
      </c>
      <c r="N54" s="28">
        <f>IF(OR('Декабрь'!$AP$3=0,'Декабрь'!$AP$6=0,'Декабрь'!$AL$24=""),"",'Декабрь'!$AL$24)</f>
        <v/>
      </c>
      <c r="O54" s="28">
        <f>IFERROR(AVERAGE($C$54:$N$54),"")</f>
        <v/>
      </c>
    </row>
    <row r="55" spans="2:15" ht="18" customHeight="1" x14ac:dyDescent="0.25">
      <c r="B55" s="27">
        <f>IF('Старт'!$D$25="","",'Старт'!$D$25)</f>
        <v/>
      </c>
      <c r="C55" s="28">
        <f>IF(OR('Январь'!$AP$3=0,'Январь'!$AP$6=0,'Январь'!$AL$25=""),"",'Январь'!$AL$25)</f>
        <v/>
      </c>
      <c r="D55" s="28">
        <f>IF(OR('Февраль'!$AP$3=0,'Февраль'!$AP$6=0,'Февраль'!$AL$25=""),"",'Февраль'!$AL$25)</f>
        <v/>
      </c>
      <c r="E55" s="28">
        <f>IF(OR('Март'!$AP$3=0,'Март'!$AP$6=0,'Март'!$AL$25=""),"",'Март'!$AL$25)</f>
        <v/>
      </c>
      <c r="F55" s="28">
        <f>IF(OR('Апрель'!$AP$3=0,'Апрель'!$AP$6=0,'Апрель'!$AL$25=""),"",'Апрель'!$AL$25)</f>
        <v/>
      </c>
      <c r="G55" s="28">
        <f>IF(OR('Май'!$AP$3=0,'Май'!$AP$6=0,'Май'!$AL$25=""),"",'Май'!$AL$25)</f>
        <v/>
      </c>
      <c r="H55" s="28">
        <f>IF(OR('Июнь'!$AP$3=0,'Июнь'!$AP$6=0,'Июнь'!$AL$25=""),"",'Июнь'!$AL$25)</f>
        <v/>
      </c>
      <c r="I55" s="28">
        <f>IF(OR('Июль'!$AP$3=0,'Июль'!$AP$6=0,'Июль'!$AL$25=""),"",'Июль'!$AL$25)</f>
        <v/>
      </c>
      <c r="J55" s="28">
        <f>IF(OR('Август'!$AP$3=0,'Август'!$AP$6=0,'Август'!$AL$25=""),"",'Август'!$AL$25)</f>
        <v/>
      </c>
      <c r="K55" s="28">
        <f>IF(OR('Сентябрь'!$AP$3=0,'Сентябрь'!$AP$6=0,'Сентябрь'!$AL$25=""),"",'Сентябрь'!$AL$25)</f>
        <v/>
      </c>
      <c r="L55" s="28">
        <f>IF(OR('Октябрь'!$AP$3=0,'Октябрь'!$AP$6=0,'Октябрь'!$AL$25=""),"",'Октябрь'!$AL$25)</f>
        <v/>
      </c>
      <c r="M55" s="28">
        <f>IF(OR('Ноябрь'!$AP$3=0,'Ноябрь'!$AP$6=0,'Ноябрь'!$AL$25=""),"",'Ноябрь'!$AL$25)</f>
        <v/>
      </c>
      <c r="N55" s="28">
        <f>IF(OR('Декабрь'!$AP$3=0,'Декабрь'!$AP$6=0,'Декабрь'!$AL$25=""),"",'Декабрь'!$AL$25)</f>
        <v/>
      </c>
      <c r="O55" s="28">
        <f>IFERROR(AVERAGE($C$55:$N$55),"")</f>
        <v/>
      </c>
    </row>
    <row r="56" spans="2:15" ht="18" customHeight="1" x14ac:dyDescent="0.25">
      <c r="B56" s="27">
        <f>IF('Старт'!$D$26="","",'Старт'!$D$26)</f>
        <v/>
      </c>
      <c r="C56" s="28">
        <f>IF(OR('Январь'!$AP$3=0,'Январь'!$AP$6=0,'Январь'!$AL$26=""),"",'Январь'!$AL$26)</f>
        <v/>
      </c>
      <c r="D56" s="28">
        <f>IF(OR('Февраль'!$AP$3=0,'Февраль'!$AP$6=0,'Февраль'!$AL$26=""),"",'Февраль'!$AL$26)</f>
        <v/>
      </c>
      <c r="E56" s="28">
        <f>IF(OR('Март'!$AP$3=0,'Март'!$AP$6=0,'Март'!$AL$26=""),"",'Март'!$AL$26)</f>
        <v/>
      </c>
      <c r="F56" s="28">
        <f>IF(OR('Апрель'!$AP$3=0,'Апрель'!$AP$6=0,'Апрель'!$AL$26=""),"",'Апрель'!$AL$26)</f>
        <v/>
      </c>
      <c r="G56" s="28">
        <f>IF(OR('Май'!$AP$3=0,'Май'!$AP$6=0,'Май'!$AL$26=""),"",'Май'!$AL$26)</f>
        <v/>
      </c>
      <c r="H56" s="28">
        <f>IF(OR('Июнь'!$AP$3=0,'Июнь'!$AP$6=0,'Июнь'!$AL$26=""),"",'Июнь'!$AL$26)</f>
        <v/>
      </c>
      <c r="I56" s="28">
        <f>IF(OR('Июль'!$AP$3=0,'Июль'!$AP$6=0,'Июль'!$AL$26=""),"",'Июль'!$AL$26)</f>
        <v/>
      </c>
      <c r="J56" s="28">
        <f>IF(OR('Август'!$AP$3=0,'Август'!$AP$6=0,'Август'!$AL$26=""),"",'Август'!$AL$26)</f>
        <v/>
      </c>
      <c r="K56" s="28">
        <f>IF(OR('Сентябрь'!$AP$3=0,'Сентябрь'!$AP$6=0,'Сентябрь'!$AL$26=""),"",'Сентябрь'!$AL$26)</f>
        <v/>
      </c>
      <c r="L56" s="28">
        <f>IF(OR('Октябрь'!$AP$3=0,'Октябрь'!$AP$6=0,'Октябрь'!$AL$26=""),"",'Октябрь'!$AL$26)</f>
        <v/>
      </c>
      <c r="M56" s="28">
        <f>IF(OR('Ноябрь'!$AP$3=0,'Ноябрь'!$AP$6=0,'Ноябрь'!$AL$26=""),"",'Ноябрь'!$AL$26)</f>
        <v/>
      </c>
      <c r="N56" s="28">
        <f>IF(OR('Декабрь'!$AP$3=0,'Декабрь'!$AP$6=0,'Декабрь'!$AL$26=""),"",'Декабрь'!$AL$26)</f>
        <v/>
      </c>
      <c r="O56" s="28">
        <f>IFERROR(AVERAGE($C$56:$N$56),"")</f>
        <v/>
      </c>
    </row>
  </sheetData>
  <mergeCells count="19">
    <mergeCell ref="B2:O2"/>
    <mergeCell ref="B3:O3"/>
    <mergeCell ref="B5:C5"/>
    <mergeCell ref="B6:C6"/>
    <mergeCell ref="B7:C7"/>
    <mergeCell ref="D5:F5"/>
    <mergeCell ref="D6:F6"/>
    <mergeCell ref="D7:F7"/>
    <mergeCell ref="G5:I5"/>
    <mergeCell ref="G6:I6"/>
    <mergeCell ref="G7:I7"/>
    <mergeCell ref="J5:L5"/>
    <mergeCell ref="J6:L6"/>
    <mergeCell ref="J7:L7"/>
    <mergeCell ref="M5:O5"/>
    <mergeCell ref="M6:O6"/>
    <mergeCell ref="M7:O7"/>
    <mergeCell ref="B24:O24"/>
    <mergeCell ref="B40:O40"/>
  </mergeCells>
  <conditionalFormatting sqref="B10:H21">
    <cfRule type="expression" dxfId="8" priority="2">
      <formula>AND(YEAR(TODAY())='Старт'!$D$6,MONTH(TODAY())=ROW()-9)</formula>
    </cfRule>
  </conditionalFormatting>
  <conditionalFormatting sqref="C10:C21">
    <cfRule type="dataBar" priority="1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C42:O56">
    <cfRule type="colorScale" priority="3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pageMargins left="0.7" right="0.7" top="0.75" bottom="0.75" header="0.3" footer="0.3"/>
  <pageSetup paperSize="9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C10:C21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DATE('Старт'!$D$6,1,1)</f>
        <v>46023.0</v>
      </c>
    </row>
    <row r="2" spans="2:73" ht="30" customHeight="1" x14ac:dyDescent="0.25">
      <c r="B2" s="30" t="str">
        <f>"ЯНВАРЬ "&amp;'Старт'!$D$6</f>
        <v>ЯНВАРЬ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103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янв")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янв")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Чт</v>
      </c>
      <c r="F10" s="42" t="str">
        <f>IF(2&lt;=$AP$2,CHOOSE(WEEKDAY($AP$1+1,2),"Пн","Вт","Ср","Чт","Пт","Сб","Вс"),"")</f>
        <v>Пт</v>
      </c>
      <c r="G10" s="42" t="str">
        <f>IF(3&lt;=$AP$2,CHOOSE(WEEKDAY($AP$1+2,2),"Пн","Вт","Ср","Чт","Пт","Сб","Вс"),"")</f>
        <v>Сб</v>
      </c>
      <c r="H10" s="42" t="str">
        <f>IF(4&lt;=$AP$2,CHOOSE(WEEKDAY($AP$1+3,2),"Пн","Вт","Ср","Чт","Пт","Сб","Вс"),"")</f>
        <v>Вс</v>
      </c>
      <c r="I10" s="42" t="str">
        <f>IF(5&lt;=$AP$2,CHOOSE(WEEKDAY($AP$1+4,2),"Пн","Вт","Ср","Чт","Пт","Сб","Вс"),"")</f>
        <v>Пн</v>
      </c>
      <c r="J10" s="42" t="str">
        <f>IF(6&lt;=$AP$2,CHOOSE(WEEKDAY($AP$1+5,2),"Пн","Вт","Ср","Чт","Пт","Сб","Вс"),"")</f>
        <v>Вт</v>
      </c>
      <c r="K10" s="42" t="str">
        <f>IF(7&lt;=$AP$2,CHOOSE(WEEKDAY($AP$1+6,2),"Пн","Вт","Ср","Чт","Пт","Сб","Вс"),"")</f>
        <v>Ср</v>
      </c>
      <c r="L10" s="42" t="str">
        <f>IF(8&lt;=$AP$2,CHOOSE(WEEKDAY($AP$1+7,2),"Пн","Вт","Ср","Чт","Пт","Сб","Вс"),"")</f>
        <v>Чт</v>
      </c>
      <c r="M10" s="42" t="str">
        <f>IF(9&lt;=$AP$2,CHOOSE(WEEKDAY($AP$1+8,2),"Пн","Вт","Ср","Чт","Пт","Сб","Вс"),"")</f>
        <v>Пт</v>
      </c>
      <c r="N10" s="42" t="str">
        <f>IF(10&lt;=$AP$2,CHOOSE(WEEKDAY($AP$1+9,2),"Пн","Вт","Ср","Чт","Пт","Сб","Вс"),"")</f>
        <v>Сб</v>
      </c>
      <c r="O10" s="42" t="str">
        <f>IF(11&lt;=$AP$2,CHOOSE(WEEKDAY($AP$1+10,2),"Пн","Вт","Ср","Чт","Пт","Сб","Вс"),"")</f>
        <v>Вс</v>
      </c>
      <c r="P10" s="42" t="str">
        <f>IF(12&lt;=$AP$2,CHOOSE(WEEKDAY($AP$1+11,2),"Пн","Вт","Ср","Чт","Пт","Сб","Вс"),"")</f>
        <v>Пн</v>
      </c>
      <c r="Q10" s="42" t="str">
        <f>IF(13&lt;=$AP$2,CHOOSE(WEEKDAY($AP$1+12,2),"Пн","Вт","Ср","Чт","Пт","Сб","Вс"),"")</f>
        <v>Вт</v>
      </c>
      <c r="R10" s="42" t="str">
        <f>IF(14&lt;=$AP$2,CHOOSE(WEEKDAY($AP$1+13,2),"Пн","Вт","Ср","Чт","Пт","Сб","Вс"),"")</f>
        <v>Ср</v>
      </c>
      <c r="S10" s="42" t="str">
        <f>IF(15&lt;=$AP$2,CHOOSE(WEEKDAY($AP$1+14,2),"Пн","Вт","Ср","Чт","Пт","Сб","Вс"),"")</f>
        <v>Чт</v>
      </c>
      <c r="T10" s="42" t="str">
        <f>IF(16&lt;=$AP$2,CHOOSE(WEEKDAY($AP$1+15,2),"Пн","Вт","Ср","Чт","Пт","Сб","Вс"),"")</f>
        <v>Пт</v>
      </c>
      <c r="U10" s="42" t="str">
        <f>IF(17&lt;=$AP$2,CHOOSE(WEEKDAY($AP$1+16,2),"Пн","Вт","Ср","Чт","Пт","Сб","Вс"),"")</f>
        <v>Сб</v>
      </c>
      <c r="V10" s="42" t="str">
        <f>IF(18&lt;=$AP$2,CHOOSE(WEEKDAY($AP$1+17,2),"Пн","Вт","Ср","Чт","Пт","Сб","Вс"),"")</f>
        <v>Вс</v>
      </c>
      <c r="W10" s="42" t="str">
        <f>IF(19&lt;=$AP$2,CHOOSE(WEEKDAY($AP$1+18,2),"Пн","Вт","Ср","Чт","Пт","Сб","Вс"),"")</f>
        <v>Пн</v>
      </c>
      <c r="X10" s="42" t="str">
        <f>IF(20&lt;=$AP$2,CHOOSE(WEEKDAY($AP$1+19,2),"Пн","Вт","Ср","Чт","Пт","Сб","Вс"),"")</f>
        <v>Вт</v>
      </c>
      <c r="Y10" s="42" t="str">
        <f>IF(21&lt;=$AP$2,CHOOSE(WEEKDAY($AP$1+20,2),"Пн","Вт","Ср","Чт","Пт","Сб","Вс"),"")</f>
        <v>Ср</v>
      </c>
      <c r="Z10" s="42" t="str">
        <f>IF(22&lt;=$AP$2,CHOOSE(WEEKDAY($AP$1+21,2),"Пн","Вт","Ср","Чт","Пт","Сб","Вс"),"")</f>
        <v>Чт</v>
      </c>
      <c r="AA10" s="42" t="str">
        <f>IF(23&lt;=$AP$2,CHOOSE(WEEKDAY($AP$1+22,2),"Пн","Вт","Ср","Чт","Пт","Сб","Вс"),"")</f>
        <v>Пт</v>
      </c>
      <c r="AB10" s="42" t="str">
        <f>IF(24&lt;=$AP$2,CHOOSE(WEEKDAY($AP$1+23,2),"Пн","Вт","Ср","Чт","Пт","Сб","Вс"),"")</f>
        <v>Сб</v>
      </c>
      <c r="AC10" s="42" t="str">
        <f>IF(25&lt;=$AP$2,CHOOSE(WEEKDAY($AP$1+24,2),"Пн","Вт","Ср","Чт","Пт","Сб","Вс"),"")</f>
        <v>Вс</v>
      </c>
      <c r="AD10" s="42" t="str">
        <f>IF(26&lt;=$AP$2,CHOOSE(WEEKDAY($AP$1+25,2),"Пн","Вт","Ср","Чт","Пт","Сб","Вс"),"")</f>
        <v>Пн</v>
      </c>
      <c r="AE10" s="42" t="str">
        <f>IF(27&lt;=$AP$2,CHOOSE(WEEKDAY($AP$1+26,2),"Пн","Вт","Ср","Чт","Пт","Сб","Вс"),"")</f>
        <v>Вт</v>
      </c>
      <c r="AF10" s="42" t="str">
        <f>IF(28&lt;=$AP$2,CHOOSE(WEEKDAY($AP$1+27,2),"Пн","Вт","Ср","Чт","Пт","Сб","Вс"),"")</f>
        <v>Ср</v>
      </c>
      <c r="AG10" s="42" t="str">
        <f>IF(29&lt;=$AP$2,CHOOSE(WEEKDAY($AP$1+28,2),"Пн","Вт","Ср","Чт","Пт","Сб","Вс"),"")</f>
        <v>Чт</v>
      </c>
      <c r="AH10" s="42" t="str">
        <f>IF(30&lt;=$AP$2,CHOOSE(WEEKDAY($AP$1+29,2),"Пн","Вт","Ср","Чт","Пт","Сб","Вс"),"")</f>
        <v>Пт</v>
      </c>
      <c r="AI10" s="42" t="str">
        <f>IF(31&lt;=$AP$2,CHOOSE(WEEKDAY($AP$1+30,2),"Пн","Вт","Ср","Чт","Пт","Сб","Вс"),"")</f>
        <v>Сб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янв","")</f>
        <v>Чт 1 янв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янв","")</f>
        <v>Пт 2 янв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янв","")</f>
        <v>Сб 3 янв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янв","")</f>
        <v>Вс 4 янв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янв","")</f>
        <v>Пн 5 янв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янв","")</f>
        <v>Вт 6 янв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янв","")</f>
        <v>Ср 7 янв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янв","")</f>
        <v>Чт 8 янв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янв","")</f>
        <v>Пт 9 янв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янв","")</f>
        <v>Сб 10 янв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янв","")</f>
        <v>Вс 11 янв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янв","")</f>
        <v>Пн 12 янв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янв","")</f>
        <v>Вт 13 янв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янв","")</f>
        <v>Ср 14 янв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янв","")</f>
        <v>Чт 15 янв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янв","")</f>
        <v>Пт 16 янв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янв","")</f>
        <v>Сб 17 янв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янв","")</f>
        <v>Вс 18 янв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янв","")</f>
        <v>Пн 19 янв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янв","")</f>
        <v>Вт 20 янв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янв","")</f>
        <v>Ср 21 янв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янв","")</f>
        <v>Чт 22 янв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янв","")</f>
        <v>Пт 23 янв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янв","")</f>
        <v>Сб 24 янв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янв","")</f>
        <v>Вс 25 янв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янв","")</f>
        <v>Пн 26 янв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янв","")</f>
        <v>Вт 27 янв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янв","")</f>
        <v>Ср 28 янв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янв","")</f>
        <v>Чт 29 янв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янв","")</f>
        <v>Пт 30 янв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янв","")</f>
        <v>Сб 31 янв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DATE('Старт'!$D$6,2,1)</f>
        <v>46054.0</v>
      </c>
    </row>
    <row r="2" spans="2:73" ht="30" customHeight="1" x14ac:dyDescent="0.25">
      <c r="B2" s="30" t="str">
        <f>"ФЕВРАЛЬ "&amp;'Старт'!$D$6</f>
        <v>ФЕВРАЛЬ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28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136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28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200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фев")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фев")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200 отметок · день 28 из 28</v>
      </c>
      <c r="C7" s="18"/>
      <c r="D7" s="18"/>
      <c r="E7" s="18" t="str">
        <f>IF($AP$3=0,"—","из "&amp;$AP$3&amp;" прошедших · все привычки ✓")</f>
        <v>из 28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/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>
        <f>IF(29&lt;=$AP$2,CHOOSE(WEEKDAY($AP$1+28,2),"Пн","Вт","Ср","Чт","Пт","Сб","Вс"),"")</f>
        <v/>
      </c>
      <c r="AH10" s="42">
        <f>IF(30&lt;=$AP$2,CHOOSE(WEEKDAY($AP$1+29,2),"Пн","Вт","Ср","Чт","Пт","Сб","Вс"),"")</f>
        <v/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/>
      </c>
      <c r="AH11" s="43">
        <f>IF(30&lt;=$AP$2,30,"")</f>
        <v/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65"/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28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65"/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65"/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28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65"/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28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65"/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28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65"/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28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65"/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28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65"/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65"/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65"/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65"/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65"/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65"/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65"/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65"/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фев","")</f>
        <v>Вс 1 фев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фев","")</f>
        <v>Пн 2 фев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фев","")</f>
        <v>Вт 3 фев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фев","")</f>
        <v>Ср 4 фев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фев","")</f>
        <v>Чт 5 фев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фев","")</f>
        <v>Пт 6 фев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фев","")</f>
        <v>Сб 7 фев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фев","")</f>
        <v>Вс 8 фев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фев","")</f>
        <v>Пн 9 фев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фев","")</f>
        <v>Вт 10 фев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фев","")</f>
        <v>Ср 11 фев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фев","")</f>
        <v>Чт 12 фев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фев","")</f>
        <v>Пт 13 фев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фев","")</f>
        <v>Сб 14 фев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фев","")</f>
        <v>Вс 15 фев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фев","")</f>
        <v>Пн 16 фев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фев","")</f>
        <v>Вт 17 фев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фев","")</f>
        <v>Ср 18 фев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фев","")</f>
        <v>Чт 19 фев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фев","")</f>
        <v>Пт 20 фев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фев","")</f>
        <v>Сб 21 фев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фев","")</f>
        <v>Вс 22 фев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фев","")</f>
        <v>Пн 23 фев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фев","")</f>
        <v>Вт 24 фев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фев","")</f>
        <v>Ср 25 фев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фев","")</f>
        <v>Чт 26 фев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фев","")</f>
        <v>Пт 27 фев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фев","")</f>
        <v>Сб 28 фев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>
        <f>IF(29&lt;=$AP$2,CHOOSE(WEEKDAY($AP$1+28,2),"Пн","Вт","Ср","Чт","Пт","Сб","Вс")&amp;" 29 фев","")</f>
        <v/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>
        <f>IF(30&lt;=$AP$2,CHOOSE(WEEKDAY($AP$1+29,2),"Пн","Вт","Ср","Чт","Пт","Сб","Вс")&amp;" 30 фев","")</f>
        <v/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фев","")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DATE('Старт'!$D$6,3,1)</f>
        <v>46082.0</v>
      </c>
    </row>
    <row r="2" spans="2:73" ht="30" customHeight="1" x14ac:dyDescent="0.25">
      <c r="B2" s="30" t="str">
        <f>"МАРТ "&amp;'Старт'!$D$6</f>
        <v>МАРТ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137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мар")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мар")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 t="str">
        <f>IF(29&lt;=$AP$2,CHOOSE(WEEKDAY($AP$1+28,2),"Пн","Вт","Ср","Чт","Пт","Сб","Вс"),"")</f>
        <v>Вс</v>
      </c>
      <c r="AH10" s="42" t="str">
        <f>IF(30&lt;=$AP$2,CHOOSE(WEEKDAY($AP$1+29,2),"Пн","Вт","Ср","Чт","Пт","Сб","Вс"),"")</f>
        <v>Пн</v>
      </c>
      <c r="AI10" s="42" t="str">
        <f>IF(31&lt;=$AP$2,CHOOSE(WEEKDAY($AP$1+30,2),"Пн","Вт","Ср","Чт","Пт","Сб","Вс"),"")</f>
        <v>Вт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мар","")</f>
        <v>Вс 1 мар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мар","")</f>
        <v>Пн 2 мар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мар","")</f>
        <v>Вт 3 мар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мар","")</f>
        <v>Ср 4 мар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мар","")</f>
        <v>Чт 5 мар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мар","")</f>
        <v>Пт 6 мар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мар","")</f>
        <v>Сб 7 мар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мар","")</f>
        <v>Вс 8 мар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мар","")</f>
        <v>Пн 9 мар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мар","")</f>
        <v>Вт 10 мар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мар","")</f>
        <v>Ср 11 мар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мар","")</f>
        <v>Чт 12 мар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мар","")</f>
        <v>Пт 13 мар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мар","")</f>
        <v>Сб 14 мар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мар","")</f>
        <v>Вс 15 мар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мар","")</f>
        <v>Пн 16 мар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мар","")</f>
        <v>Вт 17 мар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мар","")</f>
        <v>Ср 18 мар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мар","")</f>
        <v>Чт 19 мар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мар","")</f>
        <v>Пт 20 мар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мар","")</f>
        <v>Сб 21 мар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мар","")</f>
        <v>Вс 22 мар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мар","")</f>
        <v>Пн 23 мар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мар","")</f>
        <v>Вт 24 мар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мар","")</f>
        <v>Ср 25 мар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мар","")</f>
        <v>Чт 26 мар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мар","")</f>
        <v>Пт 27 мар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мар","")</f>
        <v>Сб 28 мар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мар","")</f>
        <v>Вс 29 мар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мар","")</f>
        <v>Пн 30 мар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мар","")</f>
        <v>Вт 31 мар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DATE('Старт'!$D$6,4,1)</f>
        <v>46113.0</v>
      </c>
    </row>
    <row r="2" spans="2:73" ht="30" customHeight="1" x14ac:dyDescent="0.25">
      <c r="B2" s="30" t="str">
        <f>"АПРЕЛЬ "&amp;'Старт'!$D$6</f>
        <v>АПРЕЛЬ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138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212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апр")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апр")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212 отметок · день 30 из 30</v>
      </c>
      <c r="C7" s="18"/>
      <c r="D7" s="18"/>
      <c r="E7" s="18" t="str">
        <f>IF($AP$3=0,"—","из "&amp;$AP$3&amp;" прошедших · все привычки ✓")</f>
        <v>из 30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0/16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Ср</v>
      </c>
      <c r="F10" s="42" t="str">
        <f>IF(2&lt;=$AP$2,CHOOSE(WEEKDAY($AP$1+1,2),"Пн","Вт","Ср","Чт","Пт","Сб","Вс"),"")</f>
        <v>Чт</v>
      </c>
      <c r="G10" s="42" t="str">
        <f>IF(3&lt;=$AP$2,CHOOSE(WEEKDAY($AP$1+2,2),"Пн","Вт","Ср","Чт","Пт","Сб","Вс"),"")</f>
        <v>Пт</v>
      </c>
      <c r="H10" s="42" t="str">
        <f>IF(4&lt;=$AP$2,CHOOSE(WEEKDAY($AP$1+3,2),"Пн","Вт","Ср","Чт","Пт","Сб","Вс"),"")</f>
        <v>Сб</v>
      </c>
      <c r="I10" s="42" t="str">
        <f>IF(5&lt;=$AP$2,CHOOSE(WEEKDAY($AP$1+4,2),"Пн","Вт","Ср","Чт","Пт","Сб","Вс"),"")</f>
        <v>Вс</v>
      </c>
      <c r="J10" s="42" t="str">
        <f>IF(6&lt;=$AP$2,CHOOSE(WEEKDAY($AP$1+5,2),"Пн","Вт","Ср","Чт","Пт","Сб","Вс"),"")</f>
        <v>Пн</v>
      </c>
      <c r="K10" s="42" t="str">
        <f>IF(7&lt;=$AP$2,CHOOSE(WEEKDAY($AP$1+6,2),"Пн","Вт","Ср","Чт","Пт","Сб","Вс"),"")</f>
        <v>Вт</v>
      </c>
      <c r="L10" s="42" t="str">
        <f>IF(8&lt;=$AP$2,CHOOSE(WEEKDAY($AP$1+7,2),"Пн","Вт","Ср","Чт","Пт","Сб","Вс"),"")</f>
        <v>Ср</v>
      </c>
      <c r="M10" s="42" t="str">
        <f>IF(9&lt;=$AP$2,CHOOSE(WEEKDAY($AP$1+8,2),"Пн","Вт","Ср","Чт","Пт","Сб","Вс"),"")</f>
        <v>Чт</v>
      </c>
      <c r="N10" s="42" t="str">
        <f>IF(10&lt;=$AP$2,CHOOSE(WEEKDAY($AP$1+9,2),"Пн","Вт","Ср","Чт","Пт","Сб","Вс"),"")</f>
        <v>Пт</v>
      </c>
      <c r="O10" s="42" t="str">
        <f>IF(11&lt;=$AP$2,CHOOSE(WEEKDAY($AP$1+10,2),"Пн","Вт","Ср","Чт","Пт","Сб","Вс"),"")</f>
        <v>Сб</v>
      </c>
      <c r="P10" s="42" t="str">
        <f>IF(12&lt;=$AP$2,CHOOSE(WEEKDAY($AP$1+11,2),"Пн","Вт","Ср","Чт","Пт","Сб","Вс"),"")</f>
        <v>Вс</v>
      </c>
      <c r="Q10" s="42" t="str">
        <f>IF(13&lt;=$AP$2,CHOOSE(WEEKDAY($AP$1+12,2),"Пн","Вт","Ср","Чт","Пт","Сб","Вс"),"")</f>
        <v>Пн</v>
      </c>
      <c r="R10" s="42" t="str">
        <f>IF(14&lt;=$AP$2,CHOOSE(WEEKDAY($AP$1+13,2),"Пн","Вт","Ср","Чт","Пт","Сб","Вс"),"")</f>
        <v>Вт</v>
      </c>
      <c r="S10" s="42" t="str">
        <f>IF(15&lt;=$AP$2,CHOOSE(WEEKDAY($AP$1+14,2),"Пн","Вт","Ср","Чт","Пт","Сб","Вс"),"")</f>
        <v>Ср</v>
      </c>
      <c r="T10" s="42" t="str">
        <f>IF(16&lt;=$AP$2,CHOOSE(WEEKDAY($AP$1+15,2),"Пн","Вт","Ср","Чт","Пт","Сб","Вс"),"")</f>
        <v>Чт</v>
      </c>
      <c r="U10" s="42" t="str">
        <f>IF(17&lt;=$AP$2,CHOOSE(WEEKDAY($AP$1+16,2),"Пн","Вт","Ср","Чт","Пт","Сб","Вс"),"")</f>
        <v>Пт</v>
      </c>
      <c r="V10" s="42" t="str">
        <f>IF(18&lt;=$AP$2,CHOOSE(WEEKDAY($AP$1+17,2),"Пн","Вт","Ср","Чт","Пт","Сб","Вс"),"")</f>
        <v>Сб</v>
      </c>
      <c r="W10" s="42" t="str">
        <f>IF(19&lt;=$AP$2,CHOOSE(WEEKDAY($AP$1+18,2),"Пн","Вт","Ср","Чт","Пт","Сб","Вс"),"")</f>
        <v>Вс</v>
      </c>
      <c r="X10" s="42" t="str">
        <f>IF(20&lt;=$AP$2,CHOOSE(WEEKDAY($AP$1+19,2),"Пн","Вт","Ср","Чт","Пт","Сб","Вс"),"")</f>
        <v>Пн</v>
      </c>
      <c r="Y10" s="42" t="str">
        <f>IF(21&lt;=$AP$2,CHOOSE(WEEKDAY($AP$1+20,2),"Пн","Вт","Ср","Чт","Пт","Сб","Вс"),"")</f>
        <v>Вт</v>
      </c>
      <c r="Z10" s="42" t="str">
        <f>IF(22&lt;=$AP$2,CHOOSE(WEEKDAY($AP$1+21,2),"Пн","Вт","Ср","Чт","Пт","Сб","Вс"),"")</f>
        <v>Ср</v>
      </c>
      <c r="AA10" s="42" t="str">
        <f>IF(23&lt;=$AP$2,CHOOSE(WEEKDAY($AP$1+22,2),"Пн","Вт","Ср","Чт","Пт","Сб","Вс"),"")</f>
        <v>Чт</v>
      </c>
      <c r="AB10" s="42" t="str">
        <f>IF(24&lt;=$AP$2,CHOOSE(WEEKDAY($AP$1+23,2),"Пн","Вт","Ср","Чт","Пт","Сб","Вс"),"")</f>
        <v>Пт</v>
      </c>
      <c r="AC10" s="42" t="str">
        <f>IF(25&lt;=$AP$2,CHOOSE(WEEKDAY($AP$1+24,2),"Пн","Вт","Ср","Чт","Пт","Сб","Вс"),"")</f>
        <v>Сб</v>
      </c>
      <c r="AD10" s="42" t="str">
        <f>IF(26&lt;=$AP$2,CHOOSE(WEEKDAY($AP$1+25,2),"Пн","Вт","Ср","Чт","Пт","Сб","Вс"),"")</f>
        <v>Вс</v>
      </c>
      <c r="AE10" s="42" t="str">
        <f>IF(27&lt;=$AP$2,CHOOSE(WEEKDAY($AP$1+26,2),"Пн","Вт","Ср","Чт","Пт","Сб","Вс"),"")</f>
        <v>Пн</v>
      </c>
      <c r="AF10" s="42" t="str">
        <f>IF(28&lt;=$AP$2,CHOOSE(WEEKDAY($AP$1+27,2),"Пн","Вт","Ср","Чт","Пт","Сб","Вс"),"")</f>
        <v>Вт</v>
      </c>
      <c r="AG10" s="42" t="str">
        <f>IF(29&lt;=$AP$2,CHOOSE(WEEKDAY($AP$1+28,2),"Пн","Вт","Ср","Чт","Пт","Сб","Вс"),"")</f>
        <v>Ср</v>
      </c>
      <c r="AH10" s="42" t="str">
        <f>IF(30&lt;=$AP$2,CHOOSE(WEEKDAY($AP$1+29,2),"Пн","Вт","Ср","Чт","Пт","Сб","Вс"),"")</f>
        <v>Чт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апр","")</f>
        <v>Ср 1 апр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апр","")</f>
        <v>Чт 2 апр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апр","")</f>
        <v>Пт 3 апр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апр","")</f>
        <v>Сб 4 апр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апр","")</f>
        <v>Вс 5 апр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апр","")</f>
        <v>Пн 6 апр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апр","")</f>
        <v>Вт 7 апр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апр","")</f>
        <v>Ср 8 апр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апр","")</f>
        <v>Чт 9 апр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апр","")</f>
        <v>Пт 10 апр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апр","")</f>
        <v>Сб 11 апр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апр","")</f>
        <v>Вс 12 апр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апр","")</f>
        <v>Пн 13 апр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апр","")</f>
        <v>Вт 14 апр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апр","")</f>
        <v>Ср 15 апр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апр","")</f>
        <v>Чт 16 апр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апр","")</f>
        <v>Пт 17 апр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апр","")</f>
        <v>Сб 18 апр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апр","")</f>
        <v>Вс 19 апр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апр","")</f>
        <v>Пн 20 апр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апр","")</f>
        <v>Вт 21 апр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апр","")</f>
        <v>Ср 22 апр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апр","")</f>
        <v>Чт 23 апр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апр","")</f>
        <v>Пт 24 апр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апр","")</f>
        <v>Сб 25 апр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апр","")</f>
        <v>Вс 26 апр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апр","")</f>
        <v>Пн 27 апр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апр","")</f>
        <v>Вт 28 апр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апр","")</f>
        <v>Ср 29 апр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апр","")</f>
        <v>Чт 30 апр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апр","")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DATE('Старт'!$D$6,5,1)</f>
        <v>46143.0</v>
      </c>
    </row>
    <row r="2" spans="2:73" ht="30" customHeight="1" x14ac:dyDescent="0.25">
      <c r="B2" s="30" t="str">
        <f>"МАЙ "&amp;'Старт'!$D$6</f>
        <v>МАЙ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139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мая")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мая")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Пт</v>
      </c>
      <c r="F10" s="42" t="str">
        <f>IF(2&lt;=$AP$2,CHOOSE(WEEKDAY($AP$1+1,2),"Пн","Вт","Ср","Чт","Пт","Сб","Вс"),"")</f>
        <v>Сб</v>
      </c>
      <c r="G10" s="42" t="str">
        <f>IF(3&lt;=$AP$2,CHOOSE(WEEKDAY($AP$1+2,2),"Пн","Вт","Ср","Чт","Пт","Сб","Вс"),"")</f>
        <v>Вс</v>
      </c>
      <c r="H10" s="42" t="str">
        <f>IF(4&lt;=$AP$2,CHOOSE(WEEKDAY($AP$1+3,2),"Пн","Вт","Ср","Чт","Пт","Сб","Вс"),"")</f>
        <v>Пн</v>
      </c>
      <c r="I10" s="42" t="str">
        <f>IF(5&lt;=$AP$2,CHOOSE(WEEKDAY($AP$1+4,2),"Пн","Вт","Ср","Чт","Пт","Сб","Вс"),"")</f>
        <v>Вт</v>
      </c>
      <c r="J10" s="42" t="str">
        <f>IF(6&lt;=$AP$2,CHOOSE(WEEKDAY($AP$1+5,2),"Пн","Вт","Ср","Чт","Пт","Сб","Вс"),"")</f>
        <v>Ср</v>
      </c>
      <c r="K10" s="42" t="str">
        <f>IF(7&lt;=$AP$2,CHOOSE(WEEKDAY($AP$1+6,2),"Пн","Вт","Ср","Чт","Пт","Сб","Вс"),"")</f>
        <v>Чт</v>
      </c>
      <c r="L10" s="42" t="str">
        <f>IF(8&lt;=$AP$2,CHOOSE(WEEKDAY($AP$1+7,2),"Пн","Вт","Ср","Чт","Пт","Сб","Вс"),"")</f>
        <v>Пт</v>
      </c>
      <c r="M10" s="42" t="str">
        <f>IF(9&lt;=$AP$2,CHOOSE(WEEKDAY($AP$1+8,2),"Пн","Вт","Ср","Чт","Пт","Сб","Вс"),"")</f>
        <v>Сб</v>
      </c>
      <c r="N10" s="42" t="str">
        <f>IF(10&lt;=$AP$2,CHOOSE(WEEKDAY($AP$1+9,2),"Пн","Вт","Ср","Чт","Пт","Сб","Вс"),"")</f>
        <v>Вс</v>
      </c>
      <c r="O10" s="42" t="str">
        <f>IF(11&lt;=$AP$2,CHOOSE(WEEKDAY($AP$1+10,2),"Пн","Вт","Ср","Чт","Пт","Сб","Вс"),"")</f>
        <v>Пн</v>
      </c>
      <c r="P10" s="42" t="str">
        <f>IF(12&lt;=$AP$2,CHOOSE(WEEKDAY($AP$1+11,2),"Пн","Вт","Ср","Чт","Пт","Сб","Вс"),"")</f>
        <v>Вт</v>
      </c>
      <c r="Q10" s="42" t="str">
        <f>IF(13&lt;=$AP$2,CHOOSE(WEEKDAY($AP$1+12,2),"Пн","Вт","Ср","Чт","Пт","Сб","Вс"),"")</f>
        <v>Ср</v>
      </c>
      <c r="R10" s="42" t="str">
        <f>IF(14&lt;=$AP$2,CHOOSE(WEEKDAY($AP$1+13,2),"Пн","Вт","Ср","Чт","Пт","Сб","Вс"),"")</f>
        <v>Чт</v>
      </c>
      <c r="S10" s="42" t="str">
        <f>IF(15&lt;=$AP$2,CHOOSE(WEEKDAY($AP$1+14,2),"Пн","Вт","Ср","Чт","Пт","Сб","Вс"),"")</f>
        <v>Пт</v>
      </c>
      <c r="T10" s="42" t="str">
        <f>IF(16&lt;=$AP$2,CHOOSE(WEEKDAY($AP$1+15,2),"Пн","Вт","Ср","Чт","Пт","Сб","Вс"),"")</f>
        <v>Сб</v>
      </c>
      <c r="U10" s="42" t="str">
        <f>IF(17&lt;=$AP$2,CHOOSE(WEEKDAY($AP$1+16,2),"Пн","Вт","Ср","Чт","Пт","Сб","Вс"),"")</f>
        <v>Вс</v>
      </c>
      <c r="V10" s="42" t="str">
        <f>IF(18&lt;=$AP$2,CHOOSE(WEEKDAY($AP$1+17,2),"Пн","Вт","Ср","Чт","Пт","Сб","Вс"),"")</f>
        <v>Пн</v>
      </c>
      <c r="W10" s="42" t="str">
        <f>IF(19&lt;=$AP$2,CHOOSE(WEEKDAY($AP$1+18,2),"Пн","Вт","Ср","Чт","Пт","Сб","Вс"),"")</f>
        <v>Вт</v>
      </c>
      <c r="X10" s="42" t="str">
        <f>IF(20&lt;=$AP$2,CHOOSE(WEEKDAY($AP$1+19,2),"Пн","Вт","Ср","Чт","Пт","Сб","Вс"),"")</f>
        <v>Ср</v>
      </c>
      <c r="Y10" s="42" t="str">
        <f>IF(21&lt;=$AP$2,CHOOSE(WEEKDAY($AP$1+20,2),"Пн","Вт","Ср","Чт","Пт","Сб","Вс"),"")</f>
        <v>Чт</v>
      </c>
      <c r="Z10" s="42" t="str">
        <f>IF(22&lt;=$AP$2,CHOOSE(WEEKDAY($AP$1+21,2),"Пн","Вт","Ср","Чт","Пт","Сб","Вс"),"")</f>
        <v>Пт</v>
      </c>
      <c r="AA10" s="42" t="str">
        <f>IF(23&lt;=$AP$2,CHOOSE(WEEKDAY($AP$1+22,2),"Пн","Вт","Ср","Чт","Пт","Сб","Вс"),"")</f>
        <v>Сб</v>
      </c>
      <c r="AB10" s="42" t="str">
        <f>IF(24&lt;=$AP$2,CHOOSE(WEEKDAY($AP$1+23,2),"Пн","Вт","Ср","Чт","Пт","Сб","Вс"),"")</f>
        <v>Вс</v>
      </c>
      <c r="AC10" s="42" t="str">
        <f>IF(25&lt;=$AP$2,CHOOSE(WEEKDAY($AP$1+24,2),"Пн","Вт","Ср","Чт","Пт","Сб","Вс"),"")</f>
        <v>Пн</v>
      </c>
      <c r="AD10" s="42" t="str">
        <f>IF(26&lt;=$AP$2,CHOOSE(WEEKDAY($AP$1+25,2),"Пн","Вт","Ср","Чт","Пт","Сб","Вс"),"")</f>
        <v>Вт</v>
      </c>
      <c r="AE10" s="42" t="str">
        <f>IF(27&lt;=$AP$2,CHOOSE(WEEKDAY($AP$1+26,2),"Пн","Вт","Ср","Чт","Пт","Сб","Вс"),"")</f>
        <v>Ср</v>
      </c>
      <c r="AF10" s="42" t="str">
        <f>IF(28&lt;=$AP$2,CHOOSE(WEEKDAY($AP$1+27,2),"Пн","Вт","Ср","Чт","Пт","Сб","Вс"),"")</f>
        <v>Чт</v>
      </c>
      <c r="AG10" s="42" t="str">
        <f>IF(29&lt;=$AP$2,CHOOSE(WEEKDAY($AP$1+28,2),"Пн","Вт","Ср","Чт","Пт","Сб","Вс"),"")</f>
        <v>Пт</v>
      </c>
      <c r="AH10" s="42" t="str">
        <f>IF(30&lt;=$AP$2,CHOOSE(WEEKDAY($AP$1+29,2),"Пн","Вт","Ср","Чт","Пт","Сб","Вс"),"")</f>
        <v>Сб</v>
      </c>
      <c r="AI10" s="42" t="str">
        <f>IF(31&lt;=$AP$2,CHOOSE(WEEKDAY($AP$1+30,2),"Пн","Вт","Ср","Чт","Пт","Сб","Вс"),"")</f>
        <v>Вс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мая","")</f>
        <v>Пт 1 мая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мая","")</f>
        <v>Сб 2 мая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мая","")</f>
        <v>Вс 3 мая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мая","")</f>
        <v>Пн 4 мая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мая","")</f>
        <v>Вт 5 мая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мая","")</f>
        <v>Ср 6 мая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мая","")</f>
        <v>Чт 7 мая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мая","")</f>
        <v>Пт 8 мая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мая","")</f>
        <v>Сб 9 мая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мая","")</f>
        <v>Вс 10 мая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мая","")</f>
        <v>Пн 11 мая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мая","")</f>
        <v>Вт 12 мая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мая","")</f>
        <v>Ср 13 мая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мая","")</f>
        <v>Чт 14 мая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мая","")</f>
        <v>Пт 15 мая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мая","")</f>
        <v>Сб 16 мая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мая","")</f>
        <v>Вс 17 мая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мая","")</f>
        <v>Пн 18 мая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мая","")</f>
        <v>Вт 19 мая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мая","")</f>
        <v>Ср 20 мая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мая","")</f>
        <v>Чт 21 мая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мая","")</f>
        <v>Пт 22 мая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мая","")</f>
        <v>Сб 23 мая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мая","")</f>
        <v>Вс 24 мая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мая","")</f>
        <v>Пн 25 мая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мая","")</f>
        <v>Вт 26 мая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мая","")</f>
        <v>Ср 27 мая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мая","")</f>
        <v>Чт 28 мая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мая","")</f>
        <v>Пт 29 мая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мая","")</f>
        <v>Сб 30 мая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мая","")</f>
        <v>Вс 31 мая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DATE('Старт'!$D$6,6,1)</f>
        <v>46174.0</v>
      </c>
    </row>
    <row r="2" spans="2:73" ht="30" customHeight="1" x14ac:dyDescent="0.25">
      <c r="B2" s="30" t="str">
        <f>"ИЮНЬ "&amp;'Старт'!$D$6</f>
        <v>ИЮНЬ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140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212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июн")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июн")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212 отметок · день 30 из 30</v>
      </c>
      <c r="C7" s="18"/>
      <c r="D7" s="18"/>
      <c r="E7" s="18" t="str">
        <f>IF($AP$3=0,"—","из "&amp;$AP$3&amp;" прошедших · все привычки ✓")</f>
        <v>из 30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0/16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Пн</v>
      </c>
      <c r="F10" s="42" t="str">
        <f>IF(2&lt;=$AP$2,CHOOSE(WEEKDAY($AP$1+1,2),"Пн","Вт","Ср","Чт","Пт","Сб","Вс"),"")</f>
        <v>Вт</v>
      </c>
      <c r="G10" s="42" t="str">
        <f>IF(3&lt;=$AP$2,CHOOSE(WEEKDAY($AP$1+2,2),"Пн","Вт","Ср","Чт","Пт","Сб","Вс"),"")</f>
        <v>Ср</v>
      </c>
      <c r="H10" s="42" t="str">
        <f>IF(4&lt;=$AP$2,CHOOSE(WEEKDAY($AP$1+3,2),"Пн","Вт","Ср","Чт","Пт","Сб","Вс"),"")</f>
        <v>Чт</v>
      </c>
      <c r="I10" s="42" t="str">
        <f>IF(5&lt;=$AP$2,CHOOSE(WEEKDAY($AP$1+4,2),"Пн","Вт","Ср","Чт","Пт","Сб","Вс"),"")</f>
        <v>Пт</v>
      </c>
      <c r="J10" s="42" t="str">
        <f>IF(6&lt;=$AP$2,CHOOSE(WEEKDAY($AP$1+5,2),"Пн","Вт","Ср","Чт","Пт","Сб","Вс"),"")</f>
        <v>Сб</v>
      </c>
      <c r="K10" s="42" t="str">
        <f>IF(7&lt;=$AP$2,CHOOSE(WEEKDAY($AP$1+6,2),"Пн","Вт","Ср","Чт","Пт","Сб","Вс"),"")</f>
        <v>Вс</v>
      </c>
      <c r="L10" s="42" t="str">
        <f>IF(8&lt;=$AP$2,CHOOSE(WEEKDAY($AP$1+7,2),"Пн","Вт","Ср","Чт","Пт","Сб","Вс"),"")</f>
        <v>Пн</v>
      </c>
      <c r="M10" s="42" t="str">
        <f>IF(9&lt;=$AP$2,CHOOSE(WEEKDAY($AP$1+8,2),"Пн","Вт","Ср","Чт","Пт","Сб","Вс"),"")</f>
        <v>Вт</v>
      </c>
      <c r="N10" s="42" t="str">
        <f>IF(10&lt;=$AP$2,CHOOSE(WEEKDAY($AP$1+9,2),"Пн","Вт","Ср","Чт","Пт","Сб","Вс"),"")</f>
        <v>Ср</v>
      </c>
      <c r="O10" s="42" t="str">
        <f>IF(11&lt;=$AP$2,CHOOSE(WEEKDAY($AP$1+10,2),"Пн","Вт","Ср","Чт","Пт","Сб","Вс"),"")</f>
        <v>Чт</v>
      </c>
      <c r="P10" s="42" t="str">
        <f>IF(12&lt;=$AP$2,CHOOSE(WEEKDAY($AP$1+11,2),"Пн","Вт","Ср","Чт","Пт","Сб","Вс"),"")</f>
        <v>Пт</v>
      </c>
      <c r="Q10" s="42" t="str">
        <f>IF(13&lt;=$AP$2,CHOOSE(WEEKDAY($AP$1+12,2),"Пн","Вт","Ср","Чт","Пт","Сб","Вс"),"")</f>
        <v>Сб</v>
      </c>
      <c r="R10" s="42" t="str">
        <f>IF(14&lt;=$AP$2,CHOOSE(WEEKDAY($AP$1+13,2),"Пн","Вт","Ср","Чт","Пт","Сб","Вс"),"")</f>
        <v>Вс</v>
      </c>
      <c r="S10" s="42" t="str">
        <f>IF(15&lt;=$AP$2,CHOOSE(WEEKDAY($AP$1+14,2),"Пн","Вт","Ср","Чт","Пт","Сб","Вс"),"")</f>
        <v>Пн</v>
      </c>
      <c r="T10" s="42" t="str">
        <f>IF(16&lt;=$AP$2,CHOOSE(WEEKDAY($AP$1+15,2),"Пн","Вт","Ср","Чт","Пт","Сб","Вс"),"")</f>
        <v>Вт</v>
      </c>
      <c r="U10" s="42" t="str">
        <f>IF(17&lt;=$AP$2,CHOOSE(WEEKDAY($AP$1+16,2),"Пн","Вт","Ср","Чт","Пт","Сб","Вс"),"")</f>
        <v>Ср</v>
      </c>
      <c r="V10" s="42" t="str">
        <f>IF(18&lt;=$AP$2,CHOOSE(WEEKDAY($AP$1+17,2),"Пн","Вт","Ср","Чт","Пт","Сб","Вс"),"")</f>
        <v>Чт</v>
      </c>
      <c r="W10" s="42" t="str">
        <f>IF(19&lt;=$AP$2,CHOOSE(WEEKDAY($AP$1+18,2),"Пн","Вт","Ср","Чт","Пт","Сб","Вс"),"")</f>
        <v>Пт</v>
      </c>
      <c r="X10" s="42" t="str">
        <f>IF(20&lt;=$AP$2,CHOOSE(WEEKDAY($AP$1+19,2),"Пн","Вт","Ср","Чт","Пт","Сб","Вс"),"")</f>
        <v>Сб</v>
      </c>
      <c r="Y10" s="42" t="str">
        <f>IF(21&lt;=$AP$2,CHOOSE(WEEKDAY($AP$1+20,2),"Пн","Вт","Ср","Чт","Пт","Сб","Вс"),"")</f>
        <v>Вс</v>
      </c>
      <c r="Z10" s="42" t="str">
        <f>IF(22&lt;=$AP$2,CHOOSE(WEEKDAY($AP$1+21,2),"Пн","Вт","Ср","Чт","Пт","Сб","Вс"),"")</f>
        <v>Пн</v>
      </c>
      <c r="AA10" s="42" t="str">
        <f>IF(23&lt;=$AP$2,CHOOSE(WEEKDAY($AP$1+22,2),"Пн","Вт","Ср","Чт","Пт","Сб","Вс"),"")</f>
        <v>Вт</v>
      </c>
      <c r="AB10" s="42" t="str">
        <f>IF(24&lt;=$AP$2,CHOOSE(WEEKDAY($AP$1+23,2),"Пн","Вт","Ср","Чт","Пт","Сб","Вс"),"")</f>
        <v>Ср</v>
      </c>
      <c r="AC10" s="42" t="str">
        <f>IF(25&lt;=$AP$2,CHOOSE(WEEKDAY($AP$1+24,2),"Пн","Вт","Ср","Чт","Пт","Сб","Вс"),"")</f>
        <v>Чт</v>
      </c>
      <c r="AD10" s="42" t="str">
        <f>IF(26&lt;=$AP$2,CHOOSE(WEEKDAY($AP$1+25,2),"Пн","Вт","Ср","Чт","Пт","Сб","Вс"),"")</f>
        <v>Пт</v>
      </c>
      <c r="AE10" s="42" t="str">
        <f>IF(27&lt;=$AP$2,CHOOSE(WEEKDAY($AP$1+26,2),"Пн","Вт","Ср","Чт","Пт","Сб","Вс"),"")</f>
        <v>Сб</v>
      </c>
      <c r="AF10" s="42" t="str">
        <f>IF(28&lt;=$AP$2,CHOOSE(WEEKDAY($AP$1+27,2),"Пн","Вт","Ср","Чт","Пт","Сб","Вс"),"")</f>
        <v>Вс</v>
      </c>
      <c r="AG10" s="42" t="str">
        <f>IF(29&lt;=$AP$2,CHOOSE(WEEKDAY($AP$1+28,2),"Пн","Вт","Ср","Чт","Пт","Сб","Вс"),"")</f>
        <v>Пн</v>
      </c>
      <c r="AH10" s="42" t="str">
        <f>IF(30&lt;=$AP$2,CHOOSE(WEEKDAY($AP$1+29,2),"Пн","Вт","Ср","Чт","Пт","Сб","Вс"),"")</f>
        <v>Вт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июн","")</f>
        <v>Пн 1 июн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июн","")</f>
        <v>Вт 2 июн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июн","")</f>
        <v>Ср 3 июн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июн","")</f>
        <v>Чт 4 июн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июн","")</f>
        <v>Пт 5 июн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июн","")</f>
        <v>Сб 6 июн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июн","")</f>
        <v>Вс 7 июн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июн","")</f>
        <v>Пн 8 июн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июн","")</f>
        <v>Вт 9 июн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июн","")</f>
        <v>Ср 10 июн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июн","")</f>
        <v>Чт 11 июн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июн","")</f>
        <v>Пт 12 июн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июн","")</f>
        <v>Сб 13 июн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июн","")</f>
        <v>Вс 14 июн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июн","")</f>
        <v>Пн 15 июн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июн","")</f>
        <v>Вт 16 июн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июн","")</f>
        <v>Ср 17 июн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июн","")</f>
        <v>Чт 18 июн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июн","")</f>
        <v>Пт 19 июн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июн","")</f>
        <v>Сб 20 июн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июн","")</f>
        <v>Вс 21 июн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июн","")</f>
        <v>Пн 22 июн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июн","")</f>
        <v>Вт 23 июн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июн","")</f>
        <v>Ср 24 июн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июн","")</f>
        <v>Чт 25 июн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июн","")</f>
        <v>Пт 26 июн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июн","")</f>
        <v>Сб 27 июн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июн","")</f>
        <v>Вс 28 июн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июн","")</f>
        <v>Пн 29 июн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июн","")</f>
        <v>Вт 30 июн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июн","")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DATE('Старт'!$D$6,7,1)</f>
        <v>46204.0</v>
      </c>
    </row>
    <row r="2" spans="2:73" ht="30" customHeight="1" x14ac:dyDescent="0.25">
      <c r="B2" s="30" t="str">
        <f>"ИЮЛЬ "&amp;'Старт'!$D$6</f>
        <v>ИЮЛЬ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141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июл")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июл")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Ср</v>
      </c>
      <c r="F10" s="42" t="str">
        <f>IF(2&lt;=$AP$2,CHOOSE(WEEKDAY($AP$1+1,2),"Пн","Вт","Ср","Чт","Пт","Сб","Вс"),"")</f>
        <v>Чт</v>
      </c>
      <c r="G10" s="42" t="str">
        <f>IF(3&lt;=$AP$2,CHOOSE(WEEKDAY($AP$1+2,2),"Пн","Вт","Ср","Чт","Пт","Сб","Вс"),"")</f>
        <v>Пт</v>
      </c>
      <c r="H10" s="42" t="str">
        <f>IF(4&lt;=$AP$2,CHOOSE(WEEKDAY($AP$1+3,2),"Пн","Вт","Ср","Чт","Пт","Сб","Вс"),"")</f>
        <v>Сб</v>
      </c>
      <c r="I10" s="42" t="str">
        <f>IF(5&lt;=$AP$2,CHOOSE(WEEKDAY($AP$1+4,2),"Пн","Вт","Ср","Чт","Пт","Сб","Вс"),"")</f>
        <v>Вс</v>
      </c>
      <c r="J10" s="42" t="str">
        <f>IF(6&lt;=$AP$2,CHOOSE(WEEKDAY($AP$1+5,2),"Пн","Вт","Ср","Чт","Пт","Сб","Вс"),"")</f>
        <v>Пн</v>
      </c>
      <c r="K10" s="42" t="str">
        <f>IF(7&lt;=$AP$2,CHOOSE(WEEKDAY($AP$1+6,2),"Пн","Вт","Ср","Чт","Пт","Сб","Вс"),"")</f>
        <v>Вт</v>
      </c>
      <c r="L10" s="42" t="str">
        <f>IF(8&lt;=$AP$2,CHOOSE(WEEKDAY($AP$1+7,2),"Пн","Вт","Ср","Чт","Пт","Сб","Вс"),"")</f>
        <v>Ср</v>
      </c>
      <c r="M10" s="42" t="str">
        <f>IF(9&lt;=$AP$2,CHOOSE(WEEKDAY($AP$1+8,2),"Пн","Вт","Ср","Чт","Пт","Сб","Вс"),"")</f>
        <v>Чт</v>
      </c>
      <c r="N10" s="42" t="str">
        <f>IF(10&lt;=$AP$2,CHOOSE(WEEKDAY($AP$1+9,2),"Пн","Вт","Ср","Чт","Пт","Сб","Вс"),"")</f>
        <v>Пт</v>
      </c>
      <c r="O10" s="42" t="str">
        <f>IF(11&lt;=$AP$2,CHOOSE(WEEKDAY($AP$1+10,2),"Пн","Вт","Ср","Чт","Пт","Сб","Вс"),"")</f>
        <v>Сб</v>
      </c>
      <c r="P10" s="42" t="str">
        <f>IF(12&lt;=$AP$2,CHOOSE(WEEKDAY($AP$1+11,2),"Пн","Вт","Ср","Чт","Пт","Сб","Вс"),"")</f>
        <v>Вс</v>
      </c>
      <c r="Q10" s="42" t="str">
        <f>IF(13&lt;=$AP$2,CHOOSE(WEEKDAY($AP$1+12,2),"Пн","Вт","Ср","Чт","Пт","Сб","Вс"),"")</f>
        <v>Пн</v>
      </c>
      <c r="R10" s="42" t="str">
        <f>IF(14&lt;=$AP$2,CHOOSE(WEEKDAY($AP$1+13,2),"Пн","Вт","Ср","Чт","Пт","Сб","Вс"),"")</f>
        <v>Вт</v>
      </c>
      <c r="S10" s="42" t="str">
        <f>IF(15&lt;=$AP$2,CHOOSE(WEEKDAY($AP$1+14,2),"Пн","Вт","Ср","Чт","Пт","Сб","Вс"),"")</f>
        <v>Ср</v>
      </c>
      <c r="T10" s="42" t="str">
        <f>IF(16&lt;=$AP$2,CHOOSE(WEEKDAY($AP$1+15,2),"Пн","Вт","Ср","Чт","Пт","Сб","Вс"),"")</f>
        <v>Чт</v>
      </c>
      <c r="U10" s="42" t="str">
        <f>IF(17&lt;=$AP$2,CHOOSE(WEEKDAY($AP$1+16,2),"Пн","Вт","Ср","Чт","Пт","Сб","Вс"),"")</f>
        <v>Пт</v>
      </c>
      <c r="V10" s="42" t="str">
        <f>IF(18&lt;=$AP$2,CHOOSE(WEEKDAY($AP$1+17,2),"Пн","Вт","Ср","Чт","Пт","Сб","Вс"),"")</f>
        <v>Сб</v>
      </c>
      <c r="W10" s="42" t="str">
        <f>IF(19&lt;=$AP$2,CHOOSE(WEEKDAY($AP$1+18,2),"Пн","Вт","Ср","Чт","Пт","Сб","Вс"),"")</f>
        <v>Вс</v>
      </c>
      <c r="X10" s="42" t="str">
        <f>IF(20&lt;=$AP$2,CHOOSE(WEEKDAY($AP$1+19,2),"Пн","Вт","Ср","Чт","Пт","Сб","Вс"),"")</f>
        <v>Пн</v>
      </c>
      <c r="Y10" s="42" t="str">
        <f>IF(21&lt;=$AP$2,CHOOSE(WEEKDAY($AP$1+20,2),"Пн","Вт","Ср","Чт","Пт","Сб","Вс"),"")</f>
        <v>Вт</v>
      </c>
      <c r="Z10" s="42" t="str">
        <f>IF(22&lt;=$AP$2,CHOOSE(WEEKDAY($AP$1+21,2),"Пн","Вт","Ср","Чт","Пт","Сб","Вс"),"")</f>
        <v>Ср</v>
      </c>
      <c r="AA10" s="42" t="str">
        <f>IF(23&lt;=$AP$2,CHOOSE(WEEKDAY($AP$1+22,2),"Пн","Вт","Ср","Чт","Пт","Сб","Вс"),"")</f>
        <v>Чт</v>
      </c>
      <c r="AB10" s="42" t="str">
        <f>IF(24&lt;=$AP$2,CHOOSE(WEEKDAY($AP$1+23,2),"Пн","Вт","Ср","Чт","Пт","Сб","Вс"),"")</f>
        <v>Пт</v>
      </c>
      <c r="AC10" s="42" t="str">
        <f>IF(25&lt;=$AP$2,CHOOSE(WEEKDAY($AP$1+24,2),"Пн","Вт","Ср","Чт","Пт","Сб","Вс"),"")</f>
        <v>Сб</v>
      </c>
      <c r="AD10" s="42" t="str">
        <f>IF(26&lt;=$AP$2,CHOOSE(WEEKDAY($AP$1+25,2),"Пн","Вт","Ср","Чт","Пт","Сб","Вс"),"")</f>
        <v>Вс</v>
      </c>
      <c r="AE10" s="42" t="str">
        <f>IF(27&lt;=$AP$2,CHOOSE(WEEKDAY($AP$1+26,2),"Пн","Вт","Ср","Чт","Пт","Сб","Вс"),"")</f>
        <v>Пн</v>
      </c>
      <c r="AF10" s="42" t="str">
        <f>IF(28&lt;=$AP$2,CHOOSE(WEEKDAY($AP$1+27,2),"Пн","Вт","Ср","Чт","Пт","Сб","Вс"),"")</f>
        <v>Вт</v>
      </c>
      <c r="AG10" s="42" t="str">
        <f>IF(29&lt;=$AP$2,CHOOSE(WEEKDAY($AP$1+28,2),"Пн","Вт","Ср","Чт","Пт","Сб","Вс"),"")</f>
        <v>Ср</v>
      </c>
      <c r="AH10" s="42" t="str">
        <f>IF(30&lt;=$AP$2,CHOOSE(WEEKDAY($AP$1+29,2),"Пн","Вт","Ср","Чт","Пт","Сб","Вс"),"")</f>
        <v>Чт</v>
      </c>
      <c r="AI10" s="42" t="str">
        <f>IF(31&lt;=$AP$2,CHOOSE(WEEKDAY($AP$1+30,2),"Пн","Вт","Ср","Чт","Пт","Сб","Вс"),"")</f>
        <v>Пт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июл","")</f>
        <v>Ср 1 июл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июл","")</f>
        <v>Чт 2 июл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июл","")</f>
        <v>Пт 3 июл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июл","")</f>
        <v>Сб 4 июл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июл","")</f>
        <v>Вс 5 июл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июл","")</f>
        <v>Пн 6 июл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июл","")</f>
        <v>Вт 7 июл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июл","")</f>
        <v>Ср 8 июл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июл","")</f>
        <v>Чт 9 июл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июл","")</f>
        <v>Пт 10 июл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июл","")</f>
        <v>Сб 11 июл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июл","")</f>
        <v>Вс 12 июл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июл","")</f>
        <v>Пн 13 июл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июл","")</f>
        <v>Вт 14 июл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июл","")</f>
        <v>Ср 15 июл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июл","")</f>
        <v>Чт 16 июл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июл","")</f>
        <v>Пт 17 июл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июл","")</f>
        <v>Сб 18 июл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июл","")</f>
        <v>Вс 19 июл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июл","")</f>
        <v>Пн 20 июл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июл","")</f>
        <v>Вт 21 июл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июл","")</f>
        <v>Ср 22 июл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июл","")</f>
        <v>Чт 23 июл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июл","")</f>
        <v>Пт 24 июл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июл","")</f>
        <v>Сб 25 июл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июл","")</f>
        <v>Вс 26 июл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июл","")</f>
        <v>Пн 27 июл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июл","")</f>
        <v>Вт 28 июл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июл","")</f>
        <v>Ср 29 июл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июл","")</f>
        <v>Чт 30 июл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июл","")</f>
        <v>Пт 31 июл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DATE('Старт'!$D$6,8,1)</f>
        <v>46235.0</v>
      </c>
    </row>
    <row r="2" spans="2:73" ht="30" customHeight="1" x14ac:dyDescent="0.25">
      <c r="B2" s="30" t="str">
        <f>"АВГУСТ "&amp;'Старт'!$D$6</f>
        <v>АВГУСТ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142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авг")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авг")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Сб</v>
      </c>
      <c r="F10" s="42" t="str">
        <f>IF(2&lt;=$AP$2,CHOOSE(WEEKDAY($AP$1+1,2),"Пн","Вт","Ср","Чт","Пт","Сб","Вс"),"")</f>
        <v>Вс</v>
      </c>
      <c r="G10" s="42" t="str">
        <f>IF(3&lt;=$AP$2,CHOOSE(WEEKDAY($AP$1+2,2),"Пн","Вт","Ср","Чт","Пт","Сб","Вс"),"")</f>
        <v>Пн</v>
      </c>
      <c r="H10" s="42" t="str">
        <f>IF(4&lt;=$AP$2,CHOOSE(WEEKDAY($AP$1+3,2),"Пн","Вт","Ср","Чт","Пт","Сб","Вс"),"")</f>
        <v>Вт</v>
      </c>
      <c r="I10" s="42" t="str">
        <f>IF(5&lt;=$AP$2,CHOOSE(WEEKDAY($AP$1+4,2),"Пн","Вт","Ср","Чт","Пт","Сб","Вс"),"")</f>
        <v>Ср</v>
      </c>
      <c r="J10" s="42" t="str">
        <f>IF(6&lt;=$AP$2,CHOOSE(WEEKDAY($AP$1+5,2),"Пн","Вт","Ср","Чт","Пт","Сб","Вс"),"")</f>
        <v>Чт</v>
      </c>
      <c r="K10" s="42" t="str">
        <f>IF(7&lt;=$AP$2,CHOOSE(WEEKDAY($AP$1+6,2),"Пн","Вт","Ср","Чт","Пт","Сб","Вс"),"")</f>
        <v>Пт</v>
      </c>
      <c r="L10" s="42" t="str">
        <f>IF(8&lt;=$AP$2,CHOOSE(WEEKDAY($AP$1+7,2),"Пн","Вт","Ср","Чт","Пт","Сб","Вс"),"")</f>
        <v>Сб</v>
      </c>
      <c r="M10" s="42" t="str">
        <f>IF(9&lt;=$AP$2,CHOOSE(WEEKDAY($AP$1+8,2),"Пн","Вт","Ср","Чт","Пт","Сб","Вс"),"")</f>
        <v>Вс</v>
      </c>
      <c r="N10" s="42" t="str">
        <f>IF(10&lt;=$AP$2,CHOOSE(WEEKDAY($AP$1+9,2),"Пн","Вт","Ср","Чт","Пт","Сб","Вс"),"")</f>
        <v>Пн</v>
      </c>
      <c r="O10" s="42" t="str">
        <f>IF(11&lt;=$AP$2,CHOOSE(WEEKDAY($AP$1+10,2),"Пн","Вт","Ср","Чт","Пт","Сб","Вс"),"")</f>
        <v>Вт</v>
      </c>
      <c r="P10" s="42" t="str">
        <f>IF(12&lt;=$AP$2,CHOOSE(WEEKDAY($AP$1+11,2),"Пн","Вт","Ср","Чт","Пт","Сб","Вс"),"")</f>
        <v>Ср</v>
      </c>
      <c r="Q10" s="42" t="str">
        <f>IF(13&lt;=$AP$2,CHOOSE(WEEKDAY($AP$1+12,2),"Пн","Вт","Ср","Чт","Пт","Сб","Вс"),"")</f>
        <v>Чт</v>
      </c>
      <c r="R10" s="42" t="str">
        <f>IF(14&lt;=$AP$2,CHOOSE(WEEKDAY($AP$1+13,2),"Пн","Вт","Ср","Чт","Пт","Сб","Вс"),"")</f>
        <v>Пт</v>
      </c>
      <c r="S10" s="42" t="str">
        <f>IF(15&lt;=$AP$2,CHOOSE(WEEKDAY($AP$1+14,2),"Пн","Вт","Ср","Чт","Пт","Сб","Вс"),"")</f>
        <v>Сб</v>
      </c>
      <c r="T10" s="42" t="str">
        <f>IF(16&lt;=$AP$2,CHOOSE(WEEKDAY($AP$1+15,2),"Пн","Вт","Ср","Чт","Пт","Сб","Вс"),"")</f>
        <v>Вс</v>
      </c>
      <c r="U10" s="42" t="str">
        <f>IF(17&lt;=$AP$2,CHOOSE(WEEKDAY($AP$1+16,2),"Пн","Вт","Ср","Чт","Пт","Сб","Вс"),"")</f>
        <v>Пн</v>
      </c>
      <c r="V10" s="42" t="str">
        <f>IF(18&lt;=$AP$2,CHOOSE(WEEKDAY($AP$1+17,2),"Пн","Вт","Ср","Чт","Пт","Сб","Вс"),"")</f>
        <v>Вт</v>
      </c>
      <c r="W10" s="42" t="str">
        <f>IF(19&lt;=$AP$2,CHOOSE(WEEKDAY($AP$1+18,2),"Пн","Вт","Ср","Чт","Пт","Сб","Вс"),"")</f>
        <v>Ср</v>
      </c>
      <c r="X10" s="42" t="str">
        <f>IF(20&lt;=$AP$2,CHOOSE(WEEKDAY($AP$1+19,2),"Пн","Вт","Ср","Чт","Пт","Сб","Вс"),"")</f>
        <v>Чт</v>
      </c>
      <c r="Y10" s="42" t="str">
        <f>IF(21&lt;=$AP$2,CHOOSE(WEEKDAY($AP$1+20,2),"Пн","Вт","Ср","Чт","Пт","Сб","Вс"),"")</f>
        <v>Пт</v>
      </c>
      <c r="Z10" s="42" t="str">
        <f>IF(22&lt;=$AP$2,CHOOSE(WEEKDAY($AP$1+21,2),"Пн","Вт","Ср","Чт","Пт","Сб","Вс"),"")</f>
        <v>Сб</v>
      </c>
      <c r="AA10" s="42" t="str">
        <f>IF(23&lt;=$AP$2,CHOOSE(WEEKDAY($AP$1+22,2),"Пн","Вт","Ср","Чт","Пт","Сб","Вс"),"")</f>
        <v>Вс</v>
      </c>
      <c r="AB10" s="42" t="str">
        <f>IF(24&lt;=$AP$2,CHOOSE(WEEKDAY($AP$1+23,2),"Пн","Вт","Ср","Чт","Пт","Сб","Вс"),"")</f>
        <v>Пн</v>
      </c>
      <c r="AC10" s="42" t="str">
        <f>IF(25&lt;=$AP$2,CHOOSE(WEEKDAY($AP$1+24,2),"Пн","Вт","Ср","Чт","Пт","Сб","Вс"),"")</f>
        <v>Вт</v>
      </c>
      <c r="AD10" s="42" t="str">
        <f>IF(26&lt;=$AP$2,CHOOSE(WEEKDAY($AP$1+25,2),"Пн","Вт","Ср","Чт","Пт","Сб","Вс"),"")</f>
        <v>Ср</v>
      </c>
      <c r="AE10" s="42" t="str">
        <f>IF(27&lt;=$AP$2,CHOOSE(WEEKDAY($AP$1+26,2),"Пн","Вт","Ср","Чт","Пт","Сб","Вс"),"")</f>
        <v>Чт</v>
      </c>
      <c r="AF10" s="42" t="str">
        <f>IF(28&lt;=$AP$2,CHOOSE(WEEKDAY($AP$1+27,2),"Пн","Вт","Ср","Чт","Пт","Сб","Вс"),"")</f>
        <v>Пт</v>
      </c>
      <c r="AG10" s="42" t="str">
        <f>IF(29&lt;=$AP$2,CHOOSE(WEEKDAY($AP$1+28,2),"Пн","Вт","Ср","Чт","Пт","Сб","Вс"),"")</f>
        <v>Сб</v>
      </c>
      <c r="AH10" s="42" t="str">
        <f>IF(30&lt;=$AP$2,CHOOSE(WEEKDAY($AP$1+29,2),"Пн","Вт","Ср","Чт","Пт","Сб","Вс"),"")</f>
        <v>Вс</v>
      </c>
      <c r="AI10" s="42" t="str">
        <f>IF(31&lt;=$AP$2,CHOOSE(WEEKDAY($AP$1+30,2),"Пн","Вт","Ср","Чт","Пт","Сб","Вс"),"")</f>
        <v>Пн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авг","")</f>
        <v>Сб 1 авг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авг","")</f>
        <v>Вс 2 авг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авг","")</f>
        <v>Пн 3 авг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авг","")</f>
        <v>Вт 4 авг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авг","")</f>
        <v>Ср 5 авг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авг","")</f>
        <v>Чт 6 авг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авг","")</f>
        <v>Пт 7 авг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авг","")</f>
        <v>Сб 8 авг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авг","")</f>
        <v>Вс 9 авг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авг","")</f>
        <v>Пн 10 авг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авг","")</f>
        <v>Вт 11 авг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авг","")</f>
        <v>Ср 12 авг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авг","")</f>
        <v>Чт 13 авг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авг","")</f>
        <v>Пт 14 авг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авг","")</f>
        <v>Сб 15 авг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авг","")</f>
        <v>Вс 16 авг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авг","")</f>
        <v>Пн 17 авг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авг","")</f>
        <v>Вт 18 авг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авг","")</f>
        <v>Ср 19 авг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авг","")</f>
        <v>Чт 20 авг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авг","")</f>
        <v>Пт 21 авг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авг","")</f>
        <v>Сб 22 авг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авг","")</f>
        <v>Вс 23 авг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авг","")</f>
        <v>Пн 24 авг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авг","")</f>
        <v>Вт 25 авг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авг","")</f>
        <v>Ср 26 авг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авг","")</f>
        <v>Чт 27 авг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авг","")</f>
        <v>Пт 28 авг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авг","")</f>
        <v>Сб 29 авг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авг","")</f>
        <v>Вс 30 авг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авг","")</f>
        <v>Пн 31 авг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tabSelected="1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DATE('Старт'!$D$6,9,1)</f>
        <v>46266.0</v>
      </c>
    </row>
    <row r="2" spans="2:73" ht="30" customHeight="1" x14ac:dyDescent="0.25">
      <c r="B2" s="30" t="str">
        <f>"СЕНТЯБРЬ "&amp;'Старт'!$D$6</f>
        <v>СЕНТЯБРЬ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143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20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141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сен")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сен")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141 отметок · день 20 из 30</v>
      </c>
      <c r="C7" s="18"/>
      <c r="D7" s="18"/>
      <c r="E7" s="18" t="str">
        <f>IF($AP$3=0,"—","из "&amp;$AP$3&amp;" прошедших · все привычки ✓")</f>
        <v>из 20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0/48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Вт</v>
      </c>
      <c r="F10" s="42" t="str">
        <f>IF(2&lt;=$AP$2,CHOOSE(WEEKDAY($AP$1+1,2),"Пн","Вт","Ср","Чт","Пт","Сб","Вс"),"")</f>
        <v>Ср</v>
      </c>
      <c r="G10" s="42" t="str">
        <f>IF(3&lt;=$AP$2,CHOOSE(WEEKDAY($AP$1+2,2),"Пн","Вт","Ср","Чт","Пт","Сб","Вс"),"")</f>
        <v>Чт</v>
      </c>
      <c r="H10" s="42" t="str">
        <f>IF(4&lt;=$AP$2,CHOOSE(WEEKDAY($AP$1+3,2),"Пн","Вт","Ср","Чт","Пт","Сб","Вс"),"")</f>
        <v>Пт</v>
      </c>
      <c r="I10" s="42" t="str">
        <f>IF(5&lt;=$AP$2,CHOOSE(WEEKDAY($AP$1+4,2),"Пн","Вт","Ср","Чт","Пт","Сб","Вс"),"")</f>
        <v>Сб</v>
      </c>
      <c r="J10" s="42" t="str">
        <f>IF(6&lt;=$AP$2,CHOOSE(WEEKDAY($AP$1+5,2),"Пн","Вт","Ср","Чт","Пт","Сб","Вс"),"")</f>
        <v>Вс</v>
      </c>
      <c r="K10" s="42" t="str">
        <f>IF(7&lt;=$AP$2,CHOOSE(WEEKDAY($AP$1+6,2),"Пн","Вт","Ср","Чт","Пт","Сб","Вс"),"")</f>
        <v>Пн</v>
      </c>
      <c r="L10" s="42" t="str">
        <f>IF(8&lt;=$AP$2,CHOOSE(WEEKDAY($AP$1+7,2),"Пн","Вт","Ср","Чт","Пт","Сб","Вс"),"")</f>
        <v>Вт</v>
      </c>
      <c r="M10" s="42" t="str">
        <f>IF(9&lt;=$AP$2,CHOOSE(WEEKDAY($AP$1+8,2),"Пн","Вт","Ср","Чт","Пт","Сб","Вс"),"")</f>
        <v>Ср</v>
      </c>
      <c r="N10" s="42" t="str">
        <f>IF(10&lt;=$AP$2,CHOOSE(WEEKDAY($AP$1+9,2),"Пн","Вт","Ср","Чт","Пт","Сб","Вс"),"")</f>
        <v>Чт</v>
      </c>
      <c r="O10" s="42" t="str">
        <f>IF(11&lt;=$AP$2,CHOOSE(WEEKDAY($AP$1+10,2),"Пн","Вт","Ср","Чт","Пт","Сб","Вс"),"")</f>
        <v>Пт</v>
      </c>
      <c r="P10" s="42" t="str">
        <f>IF(12&lt;=$AP$2,CHOOSE(WEEKDAY($AP$1+11,2),"Пн","Вт","Ср","Чт","Пт","Сб","Вс"),"")</f>
        <v>Сб</v>
      </c>
      <c r="Q10" s="42" t="str">
        <f>IF(13&lt;=$AP$2,CHOOSE(WEEKDAY($AP$1+12,2),"Пн","Вт","Ср","Чт","Пт","Сб","Вс"),"")</f>
        <v>Вс</v>
      </c>
      <c r="R10" s="42" t="str">
        <f>IF(14&lt;=$AP$2,CHOOSE(WEEKDAY($AP$1+13,2),"Пн","Вт","Ср","Чт","Пт","Сб","Вс"),"")</f>
        <v>Пн</v>
      </c>
      <c r="S10" s="42" t="str">
        <f>IF(15&lt;=$AP$2,CHOOSE(WEEKDAY($AP$1+14,2),"Пн","Вт","Ср","Чт","Пт","Сб","Вс"),"")</f>
        <v>Вт</v>
      </c>
      <c r="T10" s="42" t="str">
        <f>IF(16&lt;=$AP$2,CHOOSE(WEEKDAY($AP$1+15,2),"Пн","Вт","Ср","Чт","Пт","Сб","Вс"),"")</f>
        <v>Ср</v>
      </c>
      <c r="U10" s="42" t="str">
        <f>IF(17&lt;=$AP$2,CHOOSE(WEEKDAY($AP$1+16,2),"Пн","Вт","Ср","Чт","Пт","Сб","Вс"),"")</f>
        <v>Чт</v>
      </c>
      <c r="V10" s="42" t="str">
        <f>IF(18&lt;=$AP$2,CHOOSE(WEEKDAY($AP$1+17,2),"Пн","Вт","Ср","Чт","Пт","Сб","Вс"),"")</f>
        <v>Пт</v>
      </c>
      <c r="W10" s="42" t="str">
        <f>IF(19&lt;=$AP$2,CHOOSE(WEEKDAY($AP$1+18,2),"Пн","Вт","Ср","Чт","Пт","Сб","Вс"),"")</f>
        <v>Сб</v>
      </c>
      <c r="X10" s="42" t="str">
        <f>IF(20&lt;=$AP$2,CHOOSE(WEEKDAY($AP$1+19,2),"Пн","Вт","Ср","Чт","Пт","Сб","Вс"),"")</f>
        <v>Вс</v>
      </c>
      <c r="Y10" s="42" t="str">
        <f>IF(21&lt;=$AP$2,CHOOSE(WEEKDAY($AP$1+20,2),"Пн","Вт","Ср","Чт","Пт","Сб","Вс"),"")</f>
        <v>Пн</v>
      </c>
      <c r="Z10" s="42" t="str">
        <f>IF(22&lt;=$AP$2,CHOOSE(WEEKDAY($AP$1+21,2),"Пн","Вт","Ср","Чт","Пт","Сб","Вс"),"")</f>
        <v>Вт</v>
      </c>
      <c r="AA10" s="42" t="str">
        <f>IF(23&lt;=$AP$2,CHOOSE(WEEKDAY($AP$1+22,2),"Пн","Вт","Ср","Чт","Пт","Сб","Вс"),"")</f>
        <v>Ср</v>
      </c>
      <c r="AB10" s="42" t="str">
        <f>IF(24&lt;=$AP$2,CHOOSE(WEEKDAY($AP$1+23,2),"Пн","Вт","Ср","Чт","Пт","Сб","Вс"),"")</f>
        <v>Чт</v>
      </c>
      <c r="AC10" s="42" t="str">
        <f>IF(25&lt;=$AP$2,CHOOSE(WEEKDAY($AP$1+24,2),"Пн","Вт","Ср","Чт","Пт","Сб","Вс"),"")</f>
        <v>Пт</v>
      </c>
      <c r="AD10" s="42" t="str">
        <f>IF(26&lt;=$AP$2,CHOOSE(WEEKDAY($AP$1+25,2),"Пн","Вт","Ср","Чт","Пт","Сб","Вс"),"")</f>
        <v>Сб</v>
      </c>
      <c r="AE10" s="42" t="str">
        <f>IF(27&lt;=$AP$2,CHOOSE(WEEKDAY($AP$1+26,2),"Пн","Вт","Ср","Чт","Пт","Сб","Вс"),"")</f>
        <v>Вс</v>
      </c>
      <c r="AF10" s="42" t="str">
        <f>IF(28&lt;=$AP$2,CHOOSE(WEEKDAY($AP$1+27,2),"Пн","Вт","Ср","Чт","Пт","Сб","Вс"),"")</f>
        <v>Пн</v>
      </c>
      <c r="AG10" s="42" t="str">
        <f>IF(29&lt;=$AP$2,CHOOSE(WEEKDAY($AP$1+28,2),"Пн","Вт","Ср","Чт","Пт","Сб","Вс"),"")</f>
        <v>Вт</v>
      </c>
      <c r="AH10" s="42" t="str">
        <f>IF(30&lt;=$AP$2,CHOOSE(WEEKDAY($AP$1+29,2),"Пн","Вт","Ср","Чт","Пт","Сб","Вс"),"")</f>
        <v>Ср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20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8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20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20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20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20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20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13.3333333333333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сен","")</f>
        <v>Вт 1 сен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сен","")</f>
        <v>Ср 2 сен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сен","")</f>
        <v>Чт 3 сен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сен","")</f>
        <v>Пт 4 сен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сен","")</f>
        <v>Сб 5 сен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сен","")</f>
        <v>Вс 6 сен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сен","")</f>
        <v>Пн 7 сен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сен","")</f>
        <v>Вт 8 сен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сен","")</f>
        <v>Ср 9 сен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сен","")</f>
        <v>Чт 10 сен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сен","")</f>
        <v>Пт 11 сен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сен","")</f>
        <v>Сб 12 сен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сен","")</f>
        <v>Вс 13 сен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сен","")</f>
        <v>Пн 14 сен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сен","")</f>
        <v>Вт 15 сен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сен","")</f>
        <v>Ср 16 сен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сен","")</f>
        <v>Чт 17 сен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сен","")</f>
        <v>Пт 18 сен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сен","")</f>
        <v>Сб 19 сен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сен","")</f>
        <v>Вс 20 сен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сен","")</f>
        <v>Пн 21 сен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сен","")</f>
        <v>Вт 22 сен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сен","")</f>
        <v>Ср 23 сен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сен","")</f>
        <v>Чт 24 сен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сен","")</f>
        <v>Пт 25 сен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сен","")</f>
        <v>Сб 26 сен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сен","")</f>
        <v>Вс 27 сен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сен","")</f>
        <v>Пн 28 сен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сен","")</f>
        <v>Вт 29 сен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сен","")</f>
        <v>Ср 30 сен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сен","")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{DA7ABA51-AAAA-BBBB-000B-000000000001}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B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DATE('Старт'!$D$6,10,1)</f>
        <v>46296.0</v>
      </c>
    </row>
    <row r="2" spans="2:73" ht="30" customHeight="1" x14ac:dyDescent="0.25">
      <c r="B2" s="30" t="str">
        <f>"ОКТЯБРЬ "&amp;'Старт'!$D$6</f>
        <v>ОКТЯБРЬ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144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окт")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окт")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Чт</v>
      </c>
      <c r="F10" s="42" t="str">
        <f>IF(2&lt;=$AP$2,CHOOSE(WEEKDAY($AP$1+1,2),"Пн","Вт","Ср","Чт","Пт","Сб","Вс"),"")</f>
        <v>Пт</v>
      </c>
      <c r="G10" s="42" t="str">
        <f>IF(3&lt;=$AP$2,CHOOSE(WEEKDAY($AP$1+2,2),"Пн","Вт","Ср","Чт","Пт","Сб","Вс"),"")</f>
        <v>Сб</v>
      </c>
      <c r="H10" s="42" t="str">
        <f>IF(4&lt;=$AP$2,CHOOSE(WEEKDAY($AP$1+3,2),"Пн","Вт","Ср","Чт","Пт","Сб","Вс"),"")</f>
        <v>Вс</v>
      </c>
      <c r="I10" s="42" t="str">
        <f>IF(5&lt;=$AP$2,CHOOSE(WEEKDAY($AP$1+4,2),"Пн","Вт","Ср","Чт","Пт","Сб","Вс"),"")</f>
        <v>Пн</v>
      </c>
      <c r="J10" s="42" t="str">
        <f>IF(6&lt;=$AP$2,CHOOSE(WEEKDAY($AP$1+5,2),"Пн","Вт","Ср","Чт","Пт","Сб","Вс"),"")</f>
        <v>Вт</v>
      </c>
      <c r="K10" s="42" t="str">
        <f>IF(7&lt;=$AP$2,CHOOSE(WEEKDAY($AP$1+6,2),"Пн","Вт","Ср","Чт","Пт","Сб","Вс"),"")</f>
        <v>Ср</v>
      </c>
      <c r="L10" s="42" t="str">
        <f>IF(8&lt;=$AP$2,CHOOSE(WEEKDAY($AP$1+7,2),"Пн","Вт","Ср","Чт","Пт","Сб","Вс"),"")</f>
        <v>Чт</v>
      </c>
      <c r="M10" s="42" t="str">
        <f>IF(9&lt;=$AP$2,CHOOSE(WEEKDAY($AP$1+8,2),"Пн","Вт","Ср","Чт","Пт","Сб","Вс"),"")</f>
        <v>Пт</v>
      </c>
      <c r="N10" s="42" t="str">
        <f>IF(10&lt;=$AP$2,CHOOSE(WEEKDAY($AP$1+9,2),"Пн","Вт","Ср","Чт","Пт","Сб","Вс"),"")</f>
        <v>Сб</v>
      </c>
      <c r="O10" s="42" t="str">
        <f>IF(11&lt;=$AP$2,CHOOSE(WEEKDAY($AP$1+10,2),"Пн","Вт","Ср","Чт","Пт","Сб","Вс"),"")</f>
        <v>Вс</v>
      </c>
      <c r="P10" s="42" t="str">
        <f>IF(12&lt;=$AP$2,CHOOSE(WEEKDAY($AP$1+11,2),"Пн","Вт","Ср","Чт","Пт","Сб","Вс"),"")</f>
        <v>Пн</v>
      </c>
      <c r="Q10" s="42" t="str">
        <f>IF(13&lt;=$AP$2,CHOOSE(WEEKDAY($AP$1+12,2),"Пн","Вт","Ср","Чт","Пт","Сб","Вс"),"")</f>
        <v>Вт</v>
      </c>
      <c r="R10" s="42" t="str">
        <f>IF(14&lt;=$AP$2,CHOOSE(WEEKDAY($AP$1+13,2),"Пн","Вт","Ср","Чт","Пт","Сб","Вс"),"")</f>
        <v>Ср</v>
      </c>
      <c r="S10" s="42" t="str">
        <f>IF(15&lt;=$AP$2,CHOOSE(WEEKDAY($AP$1+14,2),"Пн","Вт","Ср","Чт","Пт","Сб","Вс"),"")</f>
        <v>Чт</v>
      </c>
      <c r="T10" s="42" t="str">
        <f>IF(16&lt;=$AP$2,CHOOSE(WEEKDAY($AP$1+15,2),"Пн","Вт","Ср","Чт","Пт","Сб","Вс"),"")</f>
        <v>Пт</v>
      </c>
      <c r="U10" s="42" t="str">
        <f>IF(17&lt;=$AP$2,CHOOSE(WEEKDAY($AP$1+16,2),"Пн","Вт","Ср","Чт","Пт","Сб","Вс"),"")</f>
        <v>Сб</v>
      </c>
      <c r="V10" s="42" t="str">
        <f>IF(18&lt;=$AP$2,CHOOSE(WEEKDAY($AP$1+17,2),"Пн","Вт","Ср","Чт","Пт","Сб","Вс"),"")</f>
        <v>Вс</v>
      </c>
      <c r="W10" s="42" t="str">
        <f>IF(19&lt;=$AP$2,CHOOSE(WEEKDAY($AP$1+18,2),"Пн","Вт","Ср","Чт","Пт","Сб","Вс"),"")</f>
        <v>Пн</v>
      </c>
      <c r="X10" s="42" t="str">
        <f>IF(20&lt;=$AP$2,CHOOSE(WEEKDAY($AP$1+19,2),"Пн","Вт","Ср","Чт","Пт","Сб","Вс"),"")</f>
        <v>Вт</v>
      </c>
      <c r="Y10" s="42" t="str">
        <f>IF(21&lt;=$AP$2,CHOOSE(WEEKDAY($AP$1+20,2),"Пн","Вт","Ср","Чт","Пт","Сб","Вс"),"")</f>
        <v>Ср</v>
      </c>
      <c r="Z10" s="42" t="str">
        <f>IF(22&lt;=$AP$2,CHOOSE(WEEKDAY($AP$1+21,2),"Пн","Вт","Ср","Чт","Пт","Сб","Вс"),"")</f>
        <v>Чт</v>
      </c>
      <c r="AA10" s="42" t="str">
        <f>IF(23&lt;=$AP$2,CHOOSE(WEEKDAY($AP$1+22,2),"Пн","Вт","Ср","Чт","Пт","Сб","Вс"),"")</f>
        <v>Пт</v>
      </c>
      <c r="AB10" s="42" t="str">
        <f>IF(24&lt;=$AP$2,CHOOSE(WEEKDAY($AP$1+23,2),"Пн","Вт","Ср","Чт","Пт","Сб","Вс"),"")</f>
        <v>Сб</v>
      </c>
      <c r="AC10" s="42" t="str">
        <f>IF(25&lt;=$AP$2,CHOOSE(WEEKDAY($AP$1+24,2),"Пн","Вт","Ср","Чт","Пт","Сб","Вс"),"")</f>
        <v>Вс</v>
      </c>
      <c r="AD10" s="42" t="str">
        <f>IF(26&lt;=$AP$2,CHOOSE(WEEKDAY($AP$1+25,2),"Пн","Вт","Ср","Чт","Пт","Сб","Вс"),"")</f>
        <v>Пн</v>
      </c>
      <c r="AE10" s="42" t="str">
        <f>IF(27&lt;=$AP$2,CHOOSE(WEEKDAY($AP$1+26,2),"Пн","Вт","Ср","Чт","Пт","Сб","Вс"),"")</f>
        <v>Вт</v>
      </c>
      <c r="AF10" s="42" t="str">
        <f>IF(28&lt;=$AP$2,CHOOSE(WEEKDAY($AP$1+27,2),"Пн","Вт","Ср","Чт","Пт","Сб","Вс"),"")</f>
        <v>Ср</v>
      </c>
      <c r="AG10" s="42" t="str">
        <f>IF(29&lt;=$AP$2,CHOOSE(WEEKDAY($AP$1+28,2),"Пн","Вт","Ср","Чт","Пт","Сб","Вс"),"")</f>
        <v>Чт</v>
      </c>
      <c r="AH10" s="42" t="str">
        <f>IF(30&lt;=$AP$2,CHOOSE(WEEKDAY($AP$1+29,2),"Пн","Вт","Ср","Чт","Пт","Сб","Вс"),"")</f>
        <v>Пт</v>
      </c>
      <c r="AI10" s="42" t="str">
        <f>IF(31&lt;=$AP$2,CHOOSE(WEEKDAY($AP$1+30,2),"Пн","Вт","Ср","Чт","Пт","Сб","Вс"),"")</f>
        <v>Сб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окт","")</f>
        <v>Чт 1 окт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окт","")</f>
        <v>Пт 2 окт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окт","")</f>
        <v>Сб 3 окт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окт","")</f>
        <v>Вс 4 окт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окт","")</f>
        <v>Пн 5 окт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окт","")</f>
        <v>Вт 6 окт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окт","")</f>
        <v>Ср 7 окт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окт","")</f>
        <v>Чт 8 окт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окт","")</f>
        <v>Пт 9 окт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окт","")</f>
        <v>Сб 10 окт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окт","")</f>
        <v>Вс 11 окт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окт","")</f>
        <v>Пн 12 окт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окт","")</f>
        <v>Вт 13 окт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окт","")</f>
        <v>Ср 14 окт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окт","")</f>
        <v>Чт 15 окт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окт","")</f>
        <v>Пт 16 окт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окт","")</f>
        <v>Сб 17 окт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окт","")</f>
        <v>Вс 18 окт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окт","")</f>
        <v>Пн 19 окт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окт","")</f>
        <v>Вт 20 окт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окт","")</f>
        <v>Ср 21 окт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окт","")</f>
        <v>Чт 22 окт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окт","")</f>
        <v>Пт 23 окт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окт","")</f>
        <v>Сб 24 окт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окт","")</f>
        <v>Вс 25 окт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окт","")</f>
        <v>Пн 26 окт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окт","")</f>
        <v>Вт 27 окт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окт","")</f>
        <v>Ср 28 окт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окт","")</f>
        <v>Чт 29 окт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окт","")</f>
        <v>Пт 30 окт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окт","")</f>
        <v>Сб 31 окт</v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{DA7ABA51-AAAA-BBBB-000C-000000000001}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C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DATE('Старт'!$D$6,11,1)</f>
        <v>46327.0</v>
      </c>
    </row>
    <row r="2" spans="2:73" ht="30" customHeight="1" x14ac:dyDescent="0.25">
      <c r="B2" s="30" t="str">
        <f>"НОЯБРЬ "&amp;'Старт'!$D$6</f>
        <v>НОЯБРЬ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145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ноя")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ноя")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 t="str">
        <f>IF(29&lt;=$AP$2,CHOOSE(WEEKDAY($AP$1+28,2),"Пн","Вт","Ср","Чт","Пт","Сб","Вс"),"")</f>
        <v>Вс</v>
      </c>
      <c r="AH10" s="42" t="str">
        <f>IF(30&lt;=$AP$2,CHOOSE(WEEKDAY($AP$1+29,2),"Пн","Вт","Ср","Чт","Пт","Сб","Вс"),"")</f>
        <v>Пн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ноя","")</f>
        <v>Вс 1 ноя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ноя","")</f>
        <v>Пн 2 ноя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ноя","")</f>
        <v>Вт 3 ноя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ноя","")</f>
        <v>Ср 4 ноя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ноя","")</f>
        <v>Чт 5 ноя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ноя","")</f>
        <v>Пт 6 ноя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ноя","")</f>
        <v>Сб 7 ноя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ноя","")</f>
        <v>Вс 8 ноя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ноя","")</f>
        <v>Пн 9 ноя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ноя","")</f>
        <v>Вт 10 ноя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ноя","")</f>
        <v>Ср 11 ноя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ноя","")</f>
        <v>Чт 12 ноя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ноя","")</f>
        <v>Пт 13 ноя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ноя","")</f>
        <v>Сб 14 ноя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ноя","")</f>
        <v>Вс 15 ноя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ноя","")</f>
        <v>Пн 16 ноя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ноя","")</f>
        <v>Вт 17 ноя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ноя","")</f>
        <v>Ср 18 ноя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ноя","")</f>
        <v>Чт 19 ноя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ноя","")</f>
        <v>Пт 20 ноя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ноя","")</f>
        <v>Сб 21 ноя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ноя","")</f>
        <v>Вс 22 ноя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ноя","")</f>
        <v>Пн 23 ноя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ноя","")</f>
        <v>Вт 24 ноя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ноя","")</f>
        <v>Ср 25 ноя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ноя","")</f>
        <v>Чт 26 ноя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ноя","")</f>
        <v>Пт 27 ноя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ноя","")</f>
        <v>Сб 28 ноя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ноя","")</f>
        <v>Вс 29 ноя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ноя","")</f>
        <v>Пн 30 ноя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ноя","")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{DA7ABA51-AAAA-BBBB-000D-000000000001}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D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DATE('Старт'!$D$6,12,1)</f>
        <v>46357.0</v>
      </c>
    </row>
    <row r="2" spans="2:73" ht="30" customHeight="1" x14ac:dyDescent="0.25">
      <c r="B2" s="30" t="str">
        <f>"ДЕКАБРЬ "&amp;'Старт'!$D$6</f>
        <v>ДЕКАБРЬ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146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дек")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дек")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Вт</v>
      </c>
      <c r="F10" s="42" t="str">
        <f>IF(2&lt;=$AP$2,CHOOSE(WEEKDAY($AP$1+1,2),"Пн","Вт","Ср","Чт","Пт","Сб","Вс"),"")</f>
        <v>Ср</v>
      </c>
      <c r="G10" s="42" t="str">
        <f>IF(3&lt;=$AP$2,CHOOSE(WEEKDAY($AP$1+2,2),"Пн","Вт","Ср","Чт","Пт","Сб","Вс"),"")</f>
        <v>Чт</v>
      </c>
      <c r="H10" s="42" t="str">
        <f>IF(4&lt;=$AP$2,CHOOSE(WEEKDAY($AP$1+3,2),"Пн","Вт","Ср","Чт","Пт","Сб","Вс"),"")</f>
        <v>Пт</v>
      </c>
      <c r="I10" s="42" t="str">
        <f>IF(5&lt;=$AP$2,CHOOSE(WEEKDAY($AP$1+4,2),"Пн","Вт","Ср","Чт","Пт","Сб","Вс"),"")</f>
        <v>Сб</v>
      </c>
      <c r="J10" s="42" t="str">
        <f>IF(6&lt;=$AP$2,CHOOSE(WEEKDAY($AP$1+5,2),"Пн","Вт","Ср","Чт","Пт","Сб","Вс"),"")</f>
        <v>Вс</v>
      </c>
      <c r="K10" s="42" t="str">
        <f>IF(7&lt;=$AP$2,CHOOSE(WEEKDAY($AP$1+6,2),"Пн","Вт","Ср","Чт","Пт","Сб","Вс"),"")</f>
        <v>Пн</v>
      </c>
      <c r="L10" s="42" t="str">
        <f>IF(8&lt;=$AP$2,CHOOSE(WEEKDAY($AP$1+7,2),"Пн","Вт","Ср","Чт","Пт","Сб","Вс"),"")</f>
        <v>Вт</v>
      </c>
      <c r="M10" s="42" t="str">
        <f>IF(9&lt;=$AP$2,CHOOSE(WEEKDAY($AP$1+8,2),"Пн","Вт","Ср","Чт","Пт","Сб","Вс"),"")</f>
        <v>Ср</v>
      </c>
      <c r="N10" s="42" t="str">
        <f>IF(10&lt;=$AP$2,CHOOSE(WEEKDAY($AP$1+9,2),"Пн","Вт","Ср","Чт","Пт","Сб","Вс"),"")</f>
        <v>Чт</v>
      </c>
      <c r="O10" s="42" t="str">
        <f>IF(11&lt;=$AP$2,CHOOSE(WEEKDAY($AP$1+10,2),"Пн","Вт","Ср","Чт","Пт","Сб","Вс"),"")</f>
        <v>Пт</v>
      </c>
      <c r="P10" s="42" t="str">
        <f>IF(12&lt;=$AP$2,CHOOSE(WEEKDAY($AP$1+11,2),"Пн","Вт","Ср","Чт","Пт","Сб","Вс"),"")</f>
        <v>Сб</v>
      </c>
      <c r="Q10" s="42" t="str">
        <f>IF(13&lt;=$AP$2,CHOOSE(WEEKDAY($AP$1+12,2),"Пн","Вт","Ср","Чт","Пт","Сб","Вс"),"")</f>
        <v>Вс</v>
      </c>
      <c r="R10" s="42" t="str">
        <f>IF(14&lt;=$AP$2,CHOOSE(WEEKDAY($AP$1+13,2),"Пн","Вт","Ср","Чт","Пт","Сб","Вс"),"")</f>
        <v>Пн</v>
      </c>
      <c r="S10" s="42" t="str">
        <f>IF(15&lt;=$AP$2,CHOOSE(WEEKDAY($AP$1+14,2),"Пн","Вт","Ср","Чт","Пт","Сб","Вс"),"")</f>
        <v>Вт</v>
      </c>
      <c r="T10" s="42" t="str">
        <f>IF(16&lt;=$AP$2,CHOOSE(WEEKDAY($AP$1+15,2),"Пн","Вт","Ср","Чт","Пт","Сб","Вс"),"")</f>
        <v>Ср</v>
      </c>
      <c r="U10" s="42" t="str">
        <f>IF(17&lt;=$AP$2,CHOOSE(WEEKDAY($AP$1+16,2),"Пн","Вт","Ср","Чт","Пт","Сб","Вс"),"")</f>
        <v>Чт</v>
      </c>
      <c r="V10" s="42" t="str">
        <f>IF(18&lt;=$AP$2,CHOOSE(WEEKDAY($AP$1+17,2),"Пн","Вт","Ср","Чт","Пт","Сб","Вс"),"")</f>
        <v>Пт</v>
      </c>
      <c r="W10" s="42" t="str">
        <f>IF(19&lt;=$AP$2,CHOOSE(WEEKDAY($AP$1+18,2),"Пн","Вт","Ср","Чт","Пт","Сб","Вс"),"")</f>
        <v>Сб</v>
      </c>
      <c r="X10" s="42" t="str">
        <f>IF(20&lt;=$AP$2,CHOOSE(WEEKDAY($AP$1+19,2),"Пн","Вт","Ср","Чт","Пт","Сб","Вс"),"")</f>
        <v>Вс</v>
      </c>
      <c r="Y10" s="42" t="str">
        <f>IF(21&lt;=$AP$2,CHOOSE(WEEKDAY($AP$1+20,2),"Пн","Вт","Ср","Чт","Пт","Сб","Вс"),"")</f>
        <v>Пн</v>
      </c>
      <c r="Z10" s="42" t="str">
        <f>IF(22&lt;=$AP$2,CHOOSE(WEEKDAY($AP$1+21,2),"Пн","Вт","Ср","Чт","Пт","Сб","Вс"),"")</f>
        <v>Вт</v>
      </c>
      <c r="AA10" s="42" t="str">
        <f>IF(23&lt;=$AP$2,CHOOSE(WEEKDAY($AP$1+22,2),"Пн","Вт","Ср","Чт","Пт","Сб","Вс"),"")</f>
        <v>Ср</v>
      </c>
      <c r="AB10" s="42" t="str">
        <f>IF(24&lt;=$AP$2,CHOOSE(WEEKDAY($AP$1+23,2),"Пн","Вт","Ср","Чт","Пт","Сб","Вс"),"")</f>
        <v>Чт</v>
      </c>
      <c r="AC10" s="42" t="str">
        <f>IF(25&lt;=$AP$2,CHOOSE(WEEKDAY($AP$1+24,2),"Пн","Вт","Ср","Чт","Пт","Сб","Вс"),"")</f>
        <v>Пт</v>
      </c>
      <c r="AD10" s="42" t="str">
        <f>IF(26&lt;=$AP$2,CHOOSE(WEEKDAY($AP$1+25,2),"Пн","Вт","Ср","Чт","Пт","Сб","Вс"),"")</f>
        <v>Сб</v>
      </c>
      <c r="AE10" s="42" t="str">
        <f>IF(27&lt;=$AP$2,CHOOSE(WEEKDAY($AP$1+26,2),"Пн","Вт","Ср","Чт","Пт","Сб","Вс"),"")</f>
        <v>Вс</v>
      </c>
      <c r="AF10" s="42" t="str">
        <f>IF(28&lt;=$AP$2,CHOOSE(WEEKDAY($AP$1+27,2),"Пн","Вт","Ср","Чт","Пт","Сб","Вс"),"")</f>
        <v>Пн</v>
      </c>
      <c r="AG10" s="42" t="str">
        <f>IF(29&lt;=$AP$2,CHOOSE(WEEKDAY($AP$1+28,2),"Пн","Вт","Ср","Чт","Пт","Сб","Вс"),"")</f>
        <v>Вт</v>
      </c>
      <c r="AH10" s="42" t="str">
        <f>IF(30&lt;=$AP$2,CHOOSE(WEEKDAY($AP$1+29,2),"Пн","Вт","Ср","Чт","Пт","Сб","Вс"),"")</f>
        <v>Ср</v>
      </c>
      <c r="AI10" s="42" t="str">
        <f>IF(31&lt;=$AP$2,CHOOSE(WEEKDAY($AP$1+30,2),"Пн","Вт","Ср","Чт","Пт","Сб","Вс"),"")</f>
        <v>Чт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дек","")</f>
        <v>Вт 1 дек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дек","")</f>
        <v>Ср 2 дек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дек","")</f>
        <v>Чт 3 дек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дек","")</f>
        <v>Пт 4 дек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дек","")</f>
        <v>Сб 5 дек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дек","")</f>
        <v>Вс 6 дек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дек","")</f>
        <v>Пн 7 дек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дек","")</f>
        <v>Вт 8 дек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дек","")</f>
        <v>Ср 9 дек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дек","")</f>
        <v>Чт 10 дек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дек","")</f>
        <v>Пт 11 дек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дек","")</f>
        <v>Сб 12 дек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дек","")</f>
        <v>Вс 13 дек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дек","")</f>
        <v>Пн 14 дек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дек","")</f>
        <v>Вт 15 дек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дек","")</f>
        <v>Ср 16 дек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дек","")</f>
        <v>Чт 17 дек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дек","")</f>
        <v>Пт 18 дек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дек","")</f>
        <v>Сб 19 дек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дек","")</f>
        <v>Вс 20 дек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дек","")</f>
        <v>Пн 21 дек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дек","")</f>
        <v>Вт 22 дек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дек","")</f>
        <v>Ср 23 дек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дек","")</f>
        <v>Чт 24 дек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дек","")</f>
        <v>Пт 25 дек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дек","")</f>
        <v>Сб 26 дек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дек","")</f>
        <v>Вс 27 дек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дек","")</f>
        <v>Пн 28 дек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дек","")</f>
        <v>Вт 29 дек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дек","")</f>
        <v>Ср 30 дек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дек","")</f>
        <v>Чт 31 дек</v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147</v>
      </c>
      <c r="B1" t="s">
        <v>74</v>
      </c>
      <c r="C1" t="s">
        <v>120</v>
      </c>
      <c r="D1" t="s">
        <v>156</v>
      </c>
    </row>
    <row r="2" spans="1:4">
      <c r="A2" t="s">
        <v>14</v>
      </c>
      <c r="B2">
        <v>1</v>
      </c>
      <c r="C2" t="s">
        <v>151</v>
      </c>
      <c r="D2" t="s">
        <v>75</v>
      </c>
    </row>
    <row r="3" spans="1:4">
      <c r="A3" t="s">
        <v>17</v>
      </c>
      <c r="B3">
        <v>2</v>
      </c>
      <c r="C3" t="s">
        <v>152</v>
      </c>
      <c r="D3" t="s">
        <v>76</v>
      </c>
    </row>
    <row r="4" spans="1:4">
      <c r="A4" t="s">
        <v>30</v>
      </c>
      <c r="B4">
        <v>3</v>
      </c>
      <c r="C4" t="s">
        <v>153</v>
      </c>
      <c r="D4" t="s">
        <v>77</v>
      </c>
    </row>
    <row r="5" spans="1:4">
      <c r="A5" t="s">
        <v>22</v>
      </c>
      <c r="B5">
        <v>4</v>
      </c>
      <c r="C5" t="s">
        <v>154</v>
      </c>
      <c r="D5" t="s">
        <v>78</v>
      </c>
    </row>
    <row r="6" spans="1:4">
      <c r="A6" t="s">
        <v>25</v>
      </c>
      <c r="B6">
        <v>5</v>
      </c>
      <c r="C6" t="s">
        <v>155</v>
      </c>
      <c r="D6" t="s">
        <v>79</v>
      </c>
    </row>
    <row r="7" spans="1:4">
      <c r="A7" t="s">
        <v>148</v>
      </c>
      <c r="D7" t="s">
        <v>80</v>
      </c>
    </row>
    <row r="8" spans="1:4">
      <c r="A8" t="s">
        <v>149</v>
      </c>
      <c r="D8" t="s">
        <v>81</v>
      </c>
    </row>
    <row r="9" spans="1:4">
      <c r="A9" t="s">
        <v>150</v>
      </c>
      <c r="D9" t="s">
        <v>82</v>
      </c>
    </row>
    <row r="10" spans="1:4">
      <c r="D10" t="s">
        <v>83</v>
      </c>
    </row>
    <row r="11" spans="1:4">
      <c r="D11" t="s">
        <v>84</v>
      </c>
    </row>
    <row r="12" spans="1:4">
      <c r="D12" t="s">
        <v>85</v>
      </c>
    </row>
    <row r="13" spans="1:4">
      <c r="D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Старт</vt:lpstr>
      <vt:lpstr>Год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Списки</vt:lpstr>
      <vt:lpstr>Август!Print_Area</vt:lpstr>
      <vt:lpstr>Апрель!Print_Area</vt:lpstr>
      <vt:lpstr>Год!Print_Area</vt:lpstr>
      <vt:lpstr>Декабрь!Print_Area</vt:lpstr>
      <vt:lpstr>Июль!Print_Area</vt:lpstr>
      <vt:lpstr>Июнь!Print_Area</vt:lpstr>
      <vt:lpstr>Май!Print_Area</vt:lpstr>
      <vt:lpstr>Март!Print_Area</vt:lpstr>
      <vt:lpstr>Ноябрь!Print_Area</vt:lpstr>
      <vt:lpstr>Октябрь!Print_Area</vt:lpstr>
      <vt:lpstr>Сентябрь!Print_Area</vt:lpstr>
      <vt:lpstr>Февраль!Print_Area</vt:lpstr>
      <vt:lpstr>Январь!Print_Area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Планер привычек</dc:title>
  <dc:subject>Трекер привычек на год</dc:subject>
  <dc:creator/>
  <dc:description>Собрано скриптом build_planner.py</dc:description>
  <cp:lastModifiedBy/>
  <dcterms:created xsi:type="dcterms:W3CDTF">2026-09-20T17:19:55Z</dcterms:created>
  <dcterms:modified xsi:type="dcterms:W3CDTF">2026-09-20T17:19:55Z</dcterms:modified>
</cp:coreProperties>
</file>