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0"/>
  </bookViews>
  <sheets>
    <sheet name="Старт" sheetId="1" r:id="rId1"/>
    <sheet name="Год" sheetId="2" r:id="rId2"/>
    <sheet name="Январь" sheetId="3" r:id="rId3"/>
    <sheet name="Февраль" sheetId="4" r:id="rId4"/>
    <sheet name="Март" sheetId="5" r:id="rId5"/>
    <sheet name="Апрель" sheetId="6" r:id="rId6"/>
    <sheet name="Май" sheetId="7" r:id="rId7"/>
    <sheet name="Июнь" sheetId="8" r:id="rId8"/>
    <sheet name="Июль" sheetId="9" r:id="rId9"/>
    <sheet name="Август" sheetId="10" r:id="rId10"/>
    <sheet name="Сентябрь" sheetId="11" r:id="rId11"/>
    <sheet name="Октябрь" sheetId="12" r:id="rId12"/>
    <sheet name="Ноябрь" sheetId="13" r:id="rId13"/>
    <sheet name="Декабрь" sheetId="14" r:id="rId14"/>
    <sheet name="Списки" sheetId="15" state="hidden" r:id="rId15"/>
  </sheets>
  <definedNames>
    <definedName name="_xlnm.Print_Area" localSheetId="9">Август!$A$1:$AN$81</definedName>
    <definedName name="_xlnm.Print_Area" localSheetId="5">Апрель!$A$1:$AN$81</definedName>
    <definedName name="_xlnm.Print_Area" localSheetId="1">Год!$A$1:$P$56</definedName>
    <definedName name="_xlnm.Print_Area" localSheetId="13">Декабрь!$A$1:$AN$81</definedName>
    <definedName name="_xlnm.Print_Area" localSheetId="8">Июль!$A$1:$AN$81</definedName>
    <definedName name="_xlnm.Print_Area" localSheetId="7">Июнь!$A$1:$AN$81</definedName>
    <definedName name="_xlnm.Print_Area" localSheetId="6">Май!$A$1:$AN$81</definedName>
    <definedName name="_xlnm.Print_Area" localSheetId="4">Март!$A$1:$AN$81</definedName>
    <definedName name="_xlnm.Print_Area" localSheetId="12">Ноябрь!$A$1:$AN$81</definedName>
    <definedName name="_xlnm.Print_Area" localSheetId="11">Октябрь!$A$1:$AN$81</definedName>
    <definedName name="_xlnm.Print_Area" localSheetId="10">Сентябрь!$A$1:$AN$81</definedName>
    <definedName name="_xlnm.Print_Area" localSheetId="3">Февраль!$A$1:$AN$81</definedName>
    <definedName name="_xlnm.Print_Area" localSheetId="2">Январь!$A$1:$AN$81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E11" authorId="0">
      <text>
        <r>
          <rPr>
            <sz val="8"/>
            <color indexed="81"/>
            <rFont val="Tahoma"/>
            <family val="2"/>
          </rPr>
          <t>Сколько дней в месяц планируешь. Пусто = каждый день. Например, тренировки 3 раза в неделю ≈ 12.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2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0" authorId="0">
      <text>
        <r>
          <rPr>
            <sz val="8"/>
            <color indexed="81"/>
            <rFont val="Tahoma"/>
            <family val="2"/>
          </rPr>
          <t>Список берётся с листа «Старт». Хочешь другой набор только на этот месяц — просто впиши название прямо сюда.</t>
        </r>
      </text>
    </comment>
    <comment ref="D10" authorId="0">
      <text>
        <r>
          <rPr>
            <sz val="8"/>
            <color indexed="81"/>
            <rFont val="Tahoma"/>
            <family val="2"/>
          </rPr>
          <t>Цель — сколько дней в месяц планируешь выполнять привычку. Пусто = каждый день. Задаётся на листе «Старт», можно перезаписать здесь.</t>
        </r>
      </text>
    </comment>
    <comment ref="AL10" authorId="0">
      <text>
        <r>
          <rPr>
            <sz val="8"/>
            <color indexed="81"/>
            <rFont val="Tahoma"/>
            <family val="2"/>
          </rPr>
          <t>Прогресс = сделано / ожидаемо к сегодняшнему дню. Для ежедневной привычки — доля отмеченных дней; для привычки с целью — доля от цели (пропорционально дню месяца).</t>
        </r>
      </text>
    </comment>
    <comment ref="AM10" authorId="0">
      <text>
        <r>
          <rPr>
            <sz val="8"/>
            <color indexed="81"/>
            <rFont val="Tahoma"/>
            <family val="2"/>
          </rPr>
          <t>Серия — сколько дней подряд выполнена привычка (сегодняшний день не ломает серию, пока не закончился). Рекорд — самая длинная серия месяца.</t>
        </r>
      </text>
    </comment>
  </commentList>
</comments>
</file>

<file path=xl/sharedStrings.xml><?xml version="1.0" encoding="utf-8"?>
<sst xmlns="http://schemas.openxmlformats.org/spreadsheetml/2006/main" count="727" uniqueCount="161">
  <si>
    <t>ПЛАНЕР ПРИВЫЧЕК</t>
  </si>
  <si>
    <t>Один файл на весь год · 12 месяцев · чекбоксы в один клик · статистика, серии и инсайты считаются сами</t>
  </si>
  <si>
    <t>НАСТРОЙКИ</t>
  </si>
  <si>
    <t>Год</t>
  </si>
  <si>
    <t>все 12 месяцев подстроятся под этот год</t>
  </si>
  <si>
    <t>Имя</t>
  </si>
  <si>
    <t>необязательно</t>
  </si>
  <si>
    <t>Девиз года</t>
  </si>
  <si>
    <t>Не идеально, а регулярно.</t>
  </si>
  <si>
    <t>МОИ ПРИВЫЧКИ</t>
  </si>
  <si>
    <t>№</t>
  </si>
  <si>
    <t>Сфера</t>
  </si>
  <si>
    <t>Привычка</t>
  </si>
  <si>
    <t>Цель, дней в месяц</t>
  </si>
  <si>
    <t>Зачем мне это</t>
  </si>
  <si>
    <t>Здоровье</t>
  </si>
  <si>
    <t>Подъём до 7:00</t>
  </si>
  <si>
    <t>Утро задаёт весь день</t>
  </si>
  <si>
    <t>Спорт</t>
  </si>
  <si>
    <t>Тренировка</t>
  </si>
  <si>
    <t>Сила, энергия, форма</t>
  </si>
  <si>
    <t>10 000 шагов</t>
  </si>
  <si>
    <t>Голова яснее, сон крепче</t>
  </si>
  <si>
    <t>Учёба</t>
  </si>
  <si>
    <t>Чтение 20 минут</t>
  </si>
  <si>
    <t>24 книги за год</t>
  </si>
  <si>
    <t>Личное</t>
  </si>
  <si>
    <t>Медитация 10 минут</t>
  </si>
  <si>
    <t>Спокойствие и фокус</t>
  </si>
  <si>
    <t>Без сахара</t>
  </si>
  <si>
    <t>Ровная энергия весь день</t>
  </si>
  <si>
    <t>Работа</t>
  </si>
  <si>
    <t>План на завтра</t>
  </si>
  <si>
    <t>Утро без хаоса</t>
  </si>
  <si>
    <t>Английский 15 минут</t>
  </si>
  <si>
    <t>Свободно говорить к лету</t>
  </si>
  <si>
    <t>Ячейки с золотистым фоном — для заполнения. Всё остальное считается автоматически.</t>
  </si>
  <si>
    <t>Впиши 5–10 привычек: больше — перегруз, меньше — мало данных для статистики.</t>
  </si>
  <si>
    <t>Пример уже заполнен — просто замени его своими привычками.</t>
  </si>
  <si>
    <t>Название на конкретном месяце можно перезаписать прямо на листе месяца.</t>
  </si>
  <si>
    <t>КАК ПОЛЬЗОВАТЬСЯ</t>
  </si>
  <si>
    <t>1. Впиши год и свои привычки слева. Они появятся на всех 12 листах-месяцах.</t>
  </si>
  <si>
    <t>2. «Цель, дней в месяц» — для привычек не на каждый день (зал 3 раза в неделю ≈ 12). Пусто = ежедневно.</t>
  </si>
  <si>
    <t>3. Открой лист текущего месяца и каждый вечер ставь галочки. Один клик — готово.</t>
  </si>
  <si>
    <t>4. Под сеткой отмечай сон, энергию и настроение — планер покажет, как они влияют на результат.</t>
  </si>
  <si>
    <t>5. В дневнике внизу листа пиши одну строку в день: событие, урок, победа.</t>
  </si>
  <si>
    <t>6. Раз в неделю смотри «Прогресс», серии 🔥, слабый день и «Подтянуть» — и корректируй план.</t>
  </si>
  <si>
    <t>ЧТО СЧИТАЕТСЯ САМО</t>
  </si>
  <si>
    <t>• Прогресс каждой привычки, каждого дня, недели и месяца — относительно уже прошедших дней.</t>
  </si>
  <si>
    <t>• Серии подряд 🔥 и личный рекорд по каждой привычке.</t>
  </si>
  <si>
    <t>• Лучший и слабый день, топ-привычка и что подтянуть, идеальные дни (100%).</t>
  </si>
  <si>
    <t>• Инсайты: средний сон и энергия, прогресс при хорошем и плохом сне.</t>
  </si>
  <si>
    <t>• Лист «Год»: итоги по месяцам, график и тепловая карта «привычки × месяцы».</t>
  </si>
  <si>
    <t>СОВМЕСТИМОСТЬ</t>
  </si>
  <si>
    <t>• Excel 365 (Windows, Mac, Web, iPhone/iPad, Android) — чекбоксы работают сразу.</t>
  </si>
  <si>
    <t>• Google Таблицы: после импорта выдели область галочек → Вставка → Флажок. Формулы работают.</t>
  </si>
  <si>
    <t>• Старые версии Excel: вместо галочки ставь 1 — всё считается так же.</t>
  </si>
  <si>
    <t>• Формулы в серых ячейках лучше не трогать. Скрытые колонки справа от статистики — служебные.</t>
  </si>
  <si>
    <t>Месяцы без отметок остаются пустыми. Всё обновляется само.</t>
  </si>
  <si>
    <t>ПРОГРЕСС ГОДА</t>
  </si>
  <si>
    <t>средний прогресс начатых месяцев</t>
  </si>
  <si>
    <t>ОТМЕТОК ЗА ГОД</t>
  </si>
  <si>
    <t>выполненных привычек</t>
  </si>
  <si>
    <t>ИДЕАЛЬНЫХ ДНЕЙ</t>
  </si>
  <si>
    <t>дней, когда сделано всё</t>
  </si>
  <si>
    <t>ЛУЧШИЙ МЕСЯЦ</t>
  </si>
  <si>
    <t>по прогрессу</t>
  </si>
  <si>
    <t>РЕКОРД СЕРИИ</t>
  </si>
  <si>
    <t>самая длинная серия года</t>
  </si>
  <si>
    <t>Месяц</t>
  </si>
  <si>
    <t>Прогресс</t>
  </si>
  <si>
    <t>Отметок</t>
  </si>
  <si>
    <t>Идеальных дней</t>
  </si>
  <si>
    <t>Лучшая серия</t>
  </si>
  <si>
    <t>Сон, ч</t>
  </si>
  <si>
    <t>Энергия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</si>
  <si>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</si>
  <si>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</si>
  <si>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</si>
  <si>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</si>
  <si>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</si>
  <si>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</si>
  <si>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</si>
  <si>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</si>
  <si>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</si>
  <si>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</si>
  <si>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</si>
  <si>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</si>
  <si>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Итого / среднее</t>
  </si>
  <si>
    <t>ПРОГРЕСС ПО МЕСЯЦАМ</t>
  </si>
  <si>
    <t>КАРТА ПРИВЫЧЕК: ПРОГРЕСС ПО МЕСЯЦАМ</t>
  </si>
  <si>
    <t>янв</t>
  </si>
  <si>
    <t>фев</t>
  </si>
  <si>
    <t>мар</t>
  </si>
  <si>
    <t>апр</t>
  </si>
  <si>
    <t>мая</t>
  </si>
  <si>
    <t>июн</t>
  </si>
  <si>
    <t>июл</t>
  </si>
  <si>
    <t>авг</t>
  </si>
  <si>
    <t>сен</t>
  </si>
  <si>
    <t>окт</t>
  </si>
  <si>
    <t>ноя</t>
  </si>
  <si>
    <t>дек</t>
  </si>
  <si>
    <t>Ставь галочку каждый день · сон, энергия и настроение — под сеткой · список привычек и цели — на листе «Старт»</t>
  </si>
  <si>
    <t>Ты — это то, что ты делаешь каждый день.</t>
  </si>
  <si>
    <t>ПРОГРЕСС МЕСЯЦА</t>
  </si>
  <si>
    <t>ЛУЧШАЯ СЕРИЯ 🔥</t>
  </si>
  <si>
    <t>ЛУЧШИЙ ДЕНЬ</t>
  </si>
  <si>
    <t>СЛАБЫЙ ДЕНЬ</t>
  </si>
  <si>
    <t>ТОП ПРИВЫЧКА</t>
  </si>
  <si>
    <t>СТАТИСТИКА</t>
  </si>
  <si>
    <t>Цель</t>
  </si>
  <si>
    <t>Сделано</t>
  </si>
  <si>
    <t>Серия 🔥</t>
  </si>
  <si>
    <t>Рекорд</t>
  </si>
  <si>
    <t>Выполнено за день</t>
  </si>
  <si>
    <t>Процент дня</t>
  </si>
  <si>
    <t>всего отметок</t>
  </si>
  <si>
    <t>прогресс месяца</t>
  </si>
  <si>
    <t>Сон, часов</t>
  </si>
  <si>
    <t>Энергия, 1–5</t>
  </si>
  <si>
    <t>Настроение</t>
  </si>
  <si>
    <t>часы, например 7,5</t>
  </si>
  <si>
    <t>1 — нет сил, 5 — полон сил</t>
  </si>
  <si>
    <t>выбери смайлик из списка</t>
  </si>
  <si>
    <t>ВЫПОЛНЕНИЕ ПО ДНЯМ</t>
  </si>
  <si>
    <t>ИНСАЙТЫ МЕСЯЦА</t>
  </si>
  <si>
    <t>Средний сон</t>
  </si>
  <si>
    <t>Средняя энергия</t>
  </si>
  <si>
    <t>Частое настроение</t>
  </si>
  <si>
    <t>Прогресс при сне ≥ 7 ч</t>
  </si>
  <si>
    <t>Прогресс при сне &lt; 7 ч</t>
  </si>
  <si>
    <t>Прогресс при энергии ≥ 4</t>
  </si>
  <si>
    <t>ДНЕВНИК МЕСЯЦА</t>
  </si>
  <si>
    <t>Одна строка в день: главное событие, урок или победа. Это твоя история месяца.</t>
  </si>
  <si>
    <t>День</t>
  </si>
  <si>
    <t>Итог дня</t>
  </si>
  <si>
    <t>Маленькие шаги каждый день и есть большой результат.</t>
  </si>
  <si>
    <t>Мотивация запускает. Привычка везёт.</t>
  </si>
  <si>
    <t>Дисциплина — выбор между «хочу сейчас» и «хочу больше всего».</t>
  </si>
  <si>
    <t>Сегодня — самый важный день серии.</t>
  </si>
  <si>
    <t>Плюс 1% в день — в 37 раз лучше за год.</t>
  </si>
  <si>
    <t>🙂</t>
  </si>
  <si>
    <t>😄</t>
  </si>
  <si>
    <t>😐</t>
  </si>
  <si>
    <t>😫</t>
  </si>
  <si>
    <t>😕</t>
  </si>
  <si>
    <t>Пропустить один раз — случайность. Дважды — новая привычка.</t>
  </si>
  <si>
    <t>Система важнее цели.</t>
  </si>
  <si>
    <t>Начал месяц с плана: 8 привычек, фокус — сон и спорт.</t>
  </si>
  <si>
    <t>Пропустил зал, зато прошёл 12 000 шагов и лёг вовремя.</t>
  </si>
  <si>
    <t>Идеальный день: всё выполнено. Рано лёг — легко встал.</t>
  </si>
  <si>
    <t>Урок: если не спланировать вечер, чтение выпадает первым.</t>
  </si>
  <si>
    <t>Прогресс, а не совершенство.</t>
  </si>
  <si>
    <t>Каждая галочка — голос за того, кем ты становишься.</t>
  </si>
  <si>
    <t>Год — это 365 маленьких решений.</t>
  </si>
  <si>
    <t>Сферы</t>
  </si>
  <si>
    <t>Финансы</t>
  </si>
  <si>
    <t>Отношения</t>
  </si>
  <si>
    <t>Творчество</t>
  </si>
  <si>
    <t>Месяцы</t>
  </si>
</sst>
</file>

<file path=xl/styles.xml><?xml version="1.0" encoding="utf-8"?>
<styleSheet xmlns="http://schemas.openxmlformats.org/spreadsheetml/2006/main">
  <numFmts count="3">
    <numFmt numFmtId="164" formatCode="0%"/>
    <numFmt numFmtId="165" formatCode="0&quot; дн.&quot;"/>
    <numFmt numFmtId="166" formatCode="[&gt;=3]0&quot; 🔥&quot;;0"/>
  </numFmts>
  <fonts count="29">
    <font>
      <sz val="10"/>
      <color theme="1"/>
      <name val="Arial"/>
      <family val="2"/>
    </font>
    <font>
      <sz val="10"/>
      <color rgb="FFECEEF3"/>
      <name val="Arial"/>
      <family val="2"/>
    </font>
    <font>
      <b/>
      <sz val="24"/>
      <color rgb="FFECEEF3"/>
      <name val="Arial"/>
      <family val="2"/>
    </font>
    <font>
      <sz val="10"/>
      <color rgb="FF8A90A3"/>
      <name val="Arial"/>
      <family val="2"/>
    </font>
    <font>
      <b/>
      <sz val="9"/>
      <color rgb="FFF6C453"/>
      <name val="Arial"/>
      <family val="2"/>
    </font>
    <font>
      <sz val="9"/>
      <color rgb="FF8A90A3"/>
      <name val="Arial"/>
      <family val="2"/>
    </font>
    <font>
      <sz val="8"/>
      <color rgb="FF5E6478"/>
      <name val="Arial"/>
      <family val="2"/>
    </font>
    <font>
      <sz val="9"/>
      <color rgb="FFECEEF3"/>
      <name val="Arial"/>
      <family val="2"/>
    </font>
    <font>
      <b/>
      <sz val="8"/>
      <color rgb="FF8A90A3"/>
      <name val="Arial"/>
      <family val="2"/>
    </font>
    <font>
      <sz val="9"/>
      <color rgb="FF5E6478"/>
      <name val="Arial"/>
      <family val="2"/>
    </font>
    <font>
      <b/>
      <sz val="10"/>
      <color rgb="FFECEEF3"/>
      <name val="Arial"/>
      <family val="2"/>
    </font>
    <font>
      <b/>
      <sz val="18"/>
      <color rgb="FFF6C453"/>
      <name val="Arial"/>
      <family val="2"/>
    </font>
    <font>
      <b/>
      <sz val="18"/>
      <color rgb="FFECEEF3"/>
      <name val="Arial"/>
      <family val="2"/>
    </font>
    <font>
      <sz val="8"/>
      <color rgb="FF8A90A3"/>
      <name val="Arial"/>
      <family val="2"/>
    </font>
    <font>
      <b/>
      <sz val="10"/>
      <color rgb="FFF6C453"/>
      <name val="Arial"/>
      <family val="2"/>
    </font>
    <font>
      <b/>
      <sz val="9"/>
      <color rgb="FFECEEF3"/>
      <name val="Arial"/>
      <family val="2"/>
    </font>
    <font>
      <sz val="8"/>
      <color rgb="FFECEEF3"/>
      <name val="Arial"/>
      <family val="2"/>
    </font>
    <font>
      <sz val="10"/>
      <color rgb="FF5E6478"/>
      <name val="Arial"/>
      <family val="2"/>
    </font>
    <font>
      <b/>
      <sz val="22"/>
      <color rgb="FFECEEF3"/>
      <name val="Arial"/>
      <family val="2"/>
    </font>
    <font>
      <i/>
      <sz val="9"/>
      <color rgb="FFF6C453"/>
      <name val="Arial"/>
      <family val="2"/>
    </font>
    <font>
      <b/>
      <sz val="14"/>
      <color rgb="FFECEEF3"/>
      <name val="Arial"/>
      <family val="2"/>
    </font>
    <font>
      <b/>
      <sz val="8"/>
      <color rgb="FFFFFFFF"/>
      <name val="Arial"/>
      <family val="2"/>
    </font>
    <font>
      <sz val="7"/>
      <color rgb="FF8A90A3"/>
      <name val="Arial"/>
      <family val="2"/>
    </font>
    <font>
      <b/>
      <sz val="8"/>
      <color rgb="FFECEEF3"/>
      <name val="Arial"/>
      <family val="2"/>
    </font>
    <font>
      <sz val="7"/>
      <color rgb="FFECEEF3"/>
      <name val="Arial"/>
      <family val="2"/>
    </font>
    <font>
      <sz val="7"/>
      <color rgb="FF5E6478"/>
      <name val="Arial"/>
      <family val="2"/>
    </font>
    <font>
      <b/>
      <sz val="11"/>
      <color rgb="FFECEEF3"/>
      <name val="Arial"/>
      <family val="2"/>
    </font>
    <font>
      <i/>
      <sz val="8"/>
      <color rgb="FF8A90A3"/>
      <name val="Arial"/>
      <family val="2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0E1016"/>
        <bgColor indexed="64"/>
      </patternFill>
    </fill>
    <fill>
      <patternFill patternType="solid">
        <fgColor rgb="FF2A2617"/>
        <bgColor indexed="64"/>
      </patternFill>
    </fill>
    <fill>
      <patternFill patternType="solid">
        <fgColor rgb="FF171A23"/>
        <bgColor indexed="64"/>
      </patternFill>
    </fill>
    <fill>
      <patternFill patternType="solid">
        <fgColor rgb="FF20242F"/>
        <bgColor indexed="64"/>
      </patternFill>
    </fill>
    <fill>
      <patternFill patternType="solid">
        <fgColor rgb="FFE0456A"/>
        <bgColor indexed="64"/>
      </patternFill>
    </fill>
    <fill>
      <patternFill patternType="solid">
        <fgColor rgb="FF7C4DE8"/>
        <bgColor indexed="64"/>
      </patternFill>
    </fill>
    <fill>
      <patternFill patternType="solid">
        <fgColor rgb="FF2A9FD6"/>
        <bgColor indexed="64"/>
      </patternFill>
    </fill>
    <fill>
      <patternFill patternType="solid">
        <fgColor rgb="FFE8792F"/>
        <bgColor indexed="64"/>
      </patternFill>
    </fill>
    <fill>
      <patternFill patternType="solid">
        <fgColor rgb="FF22B183"/>
        <bgColor indexed="64"/>
      </patternFill>
    </fill>
  </fills>
  <borders count="6">
    <border>
      <left/>
      <right/>
      <top/>
      <bottom/>
      <diagonal/>
    </border>
    <border>
      <left style="thin">
        <color rgb="FF2A2F3D"/>
      </left>
      <right style="thin">
        <color rgb="FF2A2F3D"/>
      </right>
      <top style="thin">
        <color rgb="FF2A2F3D"/>
      </top>
      <bottom style="thin">
        <color rgb="FF2A2F3D"/>
      </bottom>
      <diagonal/>
    </border>
    <border>
      <left/>
      <right/>
      <top/>
      <bottom style="thin">
        <color rgb="FF3A4052"/>
      </bottom>
      <diagonal/>
    </border>
    <border>
      <left style="thick">
        <color rgb="FFF6C453"/>
      </left>
      <right/>
      <top/>
      <bottom/>
      <diagonal/>
    </border>
    <border>
      <left/>
      <right/>
      <top style="thin">
        <color rgb="FF3A4052"/>
      </top>
      <bottom/>
      <diagonal/>
    </border>
    <border>
      <left style="thin">
        <color rgb="FF0E1016"/>
      </left>
      <right style="thin">
        <color rgb="FF0E1016"/>
      </right>
      <top style="thin">
        <color rgb="FF0E1016"/>
      </top>
      <bottom style="thin">
        <color rgb="FF0E1016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 indent="1"/>
    </xf>
    <xf numFmtId="0" fontId="7" fillId="2" borderId="0" xfId="0" applyFont="1" applyFill="1" applyAlignment="1">
      <alignment vertical="center" wrapText="1"/>
    </xf>
    <xf numFmtId="0" fontId="1" fillId="3" borderId="1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indent="1" wrapText="1"/>
    </xf>
    <xf numFmtId="0" fontId="9" fillId="4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left" vertical="center" indent="1"/>
    </xf>
    <xf numFmtId="0" fontId="8" fillId="4" borderId="3" xfId="0" applyFont="1" applyFill="1" applyBorder="1" applyAlignment="1">
      <alignment horizontal="left" indent="1"/>
    </xf>
    <xf numFmtId="164" fontId="11" fillId="4" borderId="3" xfId="0" applyNumberFormat="1" applyFont="1" applyFill="1" applyBorder="1" applyAlignment="1">
      <alignment horizontal="left" vertical="center" indent="1"/>
    </xf>
    <xf numFmtId="0" fontId="12" fillId="4" borderId="3" xfId="0" applyFont="1" applyFill="1" applyBorder="1" applyAlignment="1">
      <alignment horizontal="left" vertical="center" indent="1"/>
    </xf>
    <xf numFmtId="165" fontId="12" fillId="4" borderId="3" xfId="0" applyNumberFormat="1" applyFont="1" applyFill="1" applyBorder="1" applyAlignment="1">
      <alignment horizontal="left" vertical="center" indent="1"/>
    </xf>
    <xf numFmtId="0" fontId="13" fillId="4" borderId="3" xfId="0" applyFont="1" applyFill="1" applyBorder="1" applyAlignment="1">
      <alignment horizontal="left" vertical="top" indent="1"/>
    </xf>
    <xf numFmtId="0" fontId="8" fillId="4" borderId="2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16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0" fillId="5" borderId="4" xfId="0" applyFont="1" applyFill="1" applyBorder="1" applyAlignment="1">
      <alignment horizontal="left" vertical="center" indent="1"/>
    </xf>
    <xf numFmtId="164" fontId="14" fillId="5" borderId="4" xfId="0" applyNumberFormat="1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5" fillId="4" borderId="0" xfId="0" applyFont="1" applyFill="1" applyAlignment="1">
      <alignment horizontal="left" vertical="center" indent="1"/>
    </xf>
    <xf numFmtId="164" fontId="16" fillId="4" borderId="5" xfId="0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8" fillId="2" borderId="0" xfId="0" applyFont="1" applyFill="1" applyAlignment="1">
      <alignment vertical="center"/>
    </xf>
    <xf numFmtId="0" fontId="8" fillId="2" borderId="0" xfId="0" applyFont="1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9" fillId="2" borderId="0" xfId="0" applyFont="1" applyFill="1" applyAlignment="1">
      <alignment horizontal="right" vertical="center"/>
    </xf>
    <xf numFmtId="0" fontId="20" fillId="4" borderId="3" xfId="0" applyFont="1" applyFill="1" applyBorder="1" applyAlignment="1">
      <alignment horizontal="left" vertical="center" indent="1"/>
    </xf>
    <xf numFmtId="164" fontId="17" fillId="2" borderId="0" xfId="0" applyNumberFormat="1" applyFont="1" applyFill="1"/>
    <xf numFmtId="0" fontId="21" fillId="6" borderId="0" xfId="0" applyFont="1" applyFill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0" fillId="4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6" fontId="14" fillId="4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left" vertical="center" indent="1"/>
    </xf>
    <xf numFmtId="164" fontId="24" fillId="4" borderId="0" xfId="0" applyNumberFormat="1" applyFont="1" applyFill="1" applyAlignment="1">
      <alignment horizontal="center" vertical="center"/>
    </xf>
    <xf numFmtId="164" fontId="4" fillId="4" borderId="0" xfId="0" applyNumberFormat="1" applyFont="1" applyFill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 indent="1"/>
    </xf>
    <xf numFmtId="0" fontId="22" fillId="4" borderId="0" xfId="0" applyFont="1" applyFill="1" applyAlignment="1">
      <alignment horizontal="left" indent="1"/>
    </xf>
    <xf numFmtId="0" fontId="26" fillId="4" borderId="0" xfId="0" applyFont="1" applyFill="1" applyAlignment="1">
      <alignment horizontal="left" vertical="top" indent="1"/>
    </xf>
    <xf numFmtId="0" fontId="0" fillId="4" borderId="0" xfId="0" applyFill="1"/>
    <xf numFmtId="0" fontId="26" fillId="2" borderId="0" xfId="0" applyFont="1" applyFill="1" applyAlignment="1">
      <alignment vertical="center"/>
    </xf>
    <xf numFmtId="0" fontId="27" fillId="2" borderId="0" xfId="0" applyFont="1" applyFill="1" applyAlignment="1">
      <alignment horizontal="right" vertical="center"/>
    </xf>
    <xf numFmtId="0" fontId="23" fillId="4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 indent="1"/>
    </xf>
    <xf numFmtId="0" fontId="0" fillId="2" borderId="0" xfId="0" applyFill="1"/>
  </cellXfs>
  <cellStyles count="1">
    <cellStyle name="Normal" xfId="0" builtinId="0"/>
  </cellStyles>
  <dxfs count="19">
    <dxf>
      <font>
        <b/>
        <color rgb="FF34D399"/>
      </font>
      <fill>
        <patternFill>
          <bgColor rgb="FF163730"/>
        </patternFill>
      </fill>
    </dxf>
    <dxf>
      <font>
        <b/>
        <color rgb="FF38BDF8"/>
      </font>
      <fill>
        <patternFill>
          <bgColor rgb="FF163343"/>
        </patternFill>
      </fill>
    </dxf>
    <dxf>
      <font>
        <b/>
        <color rgb="FFF59E0B"/>
      </font>
      <fill>
        <patternFill>
          <bgColor rgb="FF3C2C14"/>
        </patternFill>
      </fill>
    </dxf>
    <dxf>
      <font>
        <b/>
        <color rgb="FFA78BFA"/>
      </font>
      <fill>
        <patternFill>
          <bgColor rgb="FF2D2944"/>
        </patternFill>
      </fill>
    </dxf>
    <dxf>
      <font>
        <b/>
        <color rgb="FFF472B6"/>
      </font>
      <fill>
        <patternFill>
          <bgColor rgb="FF3C2436"/>
        </patternFill>
      </fill>
    </dxf>
    <dxf>
      <font>
        <b/>
        <color rgb="FFFCD34D"/>
      </font>
      <fill>
        <patternFill>
          <bgColor rgb="FF3E3721"/>
        </patternFill>
      </fill>
    </dxf>
    <dxf>
      <font>
        <b/>
        <color rgb="FFFB7185"/>
      </font>
      <fill>
        <patternFill>
          <bgColor rgb="FF3D232C"/>
        </patternFill>
      </fill>
    </dxf>
    <dxf>
      <font>
        <b/>
        <color rgb="FF22D3EE"/>
      </font>
      <fill>
        <patternFill>
          <bgColor rgb="FF123741"/>
        </patternFill>
      </fill>
    </dxf>
    <dxf>
      <fill>
        <patternFill>
          <bgColor rgb="FF3B3320"/>
        </patternFill>
      </fill>
    </dxf>
    <dxf>
      <font>
        <color rgb="FF0E1016"/>
      </font>
      <fill>
        <patternFill>
          <bgColor rgb="FF0E1016"/>
        </patternFill>
      </fill>
    </dxf>
    <dxf>
      <font>
        <b/>
        <color rgb="FFF3FFF7"/>
      </font>
      <fill>
        <patternFill>
          <bgColor rgb="FF2FD07A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color rgb="FF0E1016"/>
      </font>
      <fill>
        <patternFill>
          <bgColor rgb="FF0E1016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color rgb="FFF6C453"/>
      </font>
      <fill>
        <patternFill>
          <bgColor rgb="FF3B3320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ill>
        <patternFill>
          <bgColor rgb="FF1B1E29"/>
        </patternFill>
      </fill>
      <border>
        <left style="thin">
          <color rgb="FF0E1016"/>
        </left>
        <right style="thin">
          <color rgb="FF0E1016"/>
        </right>
        <top style="thin">
          <color rgb="FF0E1016"/>
        </top>
        <bottom style="thin">
          <color rgb="FF0E1016"/>
        </bottom>
        <vertical/>
        <horizontal/>
      </border>
    </dxf>
    <dxf>
      <font>
        <b/>
        <color rgb="FFFF5C7A"/>
      </font>
    </dxf>
    <dxf>
      <font>
        <b/>
        <color rgb="FF2FD07A"/>
      </font>
    </dxf>
    <dxf>
      <font>
        <b/>
        <color rgb="FF1A1400"/>
      </font>
      <fill>
        <patternFill>
          <bgColor rgb="FFF6C453"/>
        </patternFill>
      </fill>
    </dxf>
    <dxf>
      <font>
        <color rgb="FFFF5C7A"/>
      </font>
    </dxf>
    <dxf>
      <fill>
        <patternFill>
          <bgColor rgb="FF1B1E2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Relationship Id="rId19" Type="http://schemas.microsoft.com/office/2022/11/relationships/FeaturePropertyBag" Target="featurePropertyBag/featurePropertyBag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Прогресс</c:v>
          </c:tx>
          <c:spPr>
            <a:solidFill>
              <a:srgbClr val="F6C453"/>
            </a:solidFill>
            <a:ln>
              <a:noFill/>
            </a:ln>
          </c:spPr>
          <c:dLbls>
            <c:numFmt formatCode="0%" sourceLinked="0"/>
            <c:txPr>
              <a:bodyPr/>
              <a:lstStyle/>
              <a:p>
                <a:pPr>
                  <a:defRPr sz="800" baseline="0">
                    <a:solidFill>
                      <a:srgbClr val="8A90A3"/>
                    </a:solidFill>
                    <a:latin typeface="Arial"/>
                  </a:defRPr>
                </a:pPr>
                <a:endParaRPr lang="en-US"/>
              </a:p>
            </c:txPr>
            <c:showVal val="1"/>
          </c:dLbls>
          <c:cat>
            <c:strRef>
              <c:f>'Год'!$B$10:$B$21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'Год'!$C$10:$C$21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0.781854838709677</c:v>
                </c:pt>
                <c:pt idx="7">
                  <c:v>0.749596774193548</c:v>
                </c:pt>
                <c:pt idx="8">
                  <c:v>0.825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axId val="50010001"/>
        <c:axId val="50010002"/>
      </c:barChart>
      <c:catAx>
        <c:axId val="5001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'Январь'!$AP$7:$AP$8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'Январь'!$E$11:$AI$11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'Январь'!$E$28:$AI$28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30001"/>
        <c:axId val="50030002"/>
      </c:barChart>
      <c:catAx>
        <c:axId val="5003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'Февраль'!$AP$7:$AP$8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'Февраль'!$E$11:$AI$11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/>
                </c:pt>
                <c:pt idx="29">
                  <c:v/>
                </c:pt>
                <c:pt idx="30">
                  <c:v/>
                </c:pt>
              </c:strCache>
            </c:strRef>
          </c:cat>
          <c:val>
            <c:numRef>
              <c:f>'Февраль'!$E$28:$AI$28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'Март'!$AP$7:$AP$8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'Март'!$E$11:$AI$11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'Март'!$E$28:$AI$28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70001"/>
        <c:axId val="50070002"/>
      </c:barChart>
      <c:catAx>
        <c:axId val="500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7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'Апрель'!$AP$7:$AP$8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'Апрель'!$E$11:$AI$11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'Апрель'!$E$28:$AI$28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090001"/>
        <c:axId val="50090002"/>
      </c:barChart>
      <c:catAx>
        <c:axId val="500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09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'Май'!$AP$7:$AP$8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'Май'!$E$11:$AI$11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'Май'!$E$28:$AI$28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10001"/>
        <c:axId val="50110002"/>
      </c:barChart>
      <c:catAx>
        <c:axId val="501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'Июнь'!$AP$7:$AP$8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'Июнь'!$E$11:$AI$11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'Июнь'!$E$28:$AI$28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30001"/>
        <c:axId val="50130002"/>
      </c:barChart>
      <c:catAx>
        <c:axId val="501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'Июль'!$AP$7:$AP$8</c:f>
              <c:numCache>
                <c:formatCode>General</c:formatCode>
                <c:ptCount val="2"/>
                <c:pt idx="0">
                  <c:v>0.781854838709677</c:v>
                </c:pt>
                <c:pt idx="1">
                  <c:v>0.218145161290323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'Июль'!$E$11:$AI$11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'Июль'!$E$28:$AI$28</c:f>
              <c:numCache>
                <c:formatCode>General</c:formatCode>
                <c:ptCount val="31"/>
                <c:pt idx="0">
                  <c:v>0.75</c:v>
                </c:pt>
                <c:pt idx="1">
                  <c:v>0.875</c:v>
                </c:pt>
                <c:pt idx="2">
                  <c:v>0.875</c:v>
                </c:pt>
                <c:pt idx="3">
                  <c:v>0.625</c:v>
                </c:pt>
                <c:pt idx="4">
                  <c:v>0.75</c:v>
                </c:pt>
                <c:pt idx="5">
                  <c:v>0.75</c:v>
                </c:pt>
                <c:pt idx="6">
                  <c:v>0.125</c:v>
                </c:pt>
                <c:pt idx="7">
                  <c:v>0.625</c:v>
                </c:pt>
                <c:pt idx="8">
                  <c:v>0.875</c:v>
                </c:pt>
                <c:pt idx="9">
                  <c:v>0.625</c:v>
                </c:pt>
                <c:pt idx="10">
                  <c:v>1</c:v>
                </c:pt>
                <c:pt idx="11">
                  <c:v>0.5</c:v>
                </c:pt>
                <c:pt idx="12">
                  <c:v>1</c:v>
                </c:pt>
                <c:pt idx="13">
                  <c:v>0.5</c:v>
                </c:pt>
                <c:pt idx="14">
                  <c:v>0.875</c:v>
                </c:pt>
                <c:pt idx="15">
                  <c:v>0.625</c:v>
                </c:pt>
                <c:pt idx="16">
                  <c:v>0.75</c:v>
                </c:pt>
                <c:pt idx="17">
                  <c:v>0.625</c:v>
                </c:pt>
                <c:pt idx="18">
                  <c:v>0.75</c:v>
                </c:pt>
                <c:pt idx="19">
                  <c:v>0.875</c:v>
                </c:pt>
                <c:pt idx="20">
                  <c:v>0.875</c:v>
                </c:pt>
                <c:pt idx="21">
                  <c:v>0.5</c:v>
                </c:pt>
                <c:pt idx="22">
                  <c:v>0.25</c:v>
                </c:pt>
                <c:pt idx="23">
                  <c:v>0.625</c:v>
                </c:pt>
                <c:pt idx="24">
                  <c:v>0.875</c:v>
                </c:pt>
                <c:pt idx="25">
                  <c:v>0.75</c:v>
                </c:pt>
                <c:pt idx="26">
                  <c:v>0.625</c:v>
                </c:pt>
                <c:pt idx="27">
                  <c:v>0.875</c:v>
                </c:pt>
                <c:pt idx="28">
                  <c:v>0.375</c:v>
                </c:pt>
                <c:pt idx="29">
                  <c:v>0.625</c:v>
                </c:pt>
                <c:pt idx="30">
                  <c:v>0.375</c:v>
                </c:pt>
              </c:numCache>
            </c:numRef>
          </c:val>
        </c:ser>
        <c:gapWidth val="55"/>
        <c:axId val="50150001"/>
        <c:axId val="50150002"/>
      </c:barChart>
      <c:catAx>
        <c:axId val="501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'Август'!$AP$7:$AP$8</c:f>
              <c:numCache>
                <c:formatCode>General</c:formatCode>
                <c:ptCount val="2"/>
                <c:pt idx="0">
                  <c:v>0.749596774193548</c:v>
                </c:pt>
                <c:pt idx="1">
                  <c:v>0.250403225806452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'Август'!$E$11:$AI$11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'Август'!$E$28:$AI$28</c:f>
              <c:numCache>
                <c:formatCode>General</c:formatCode>
                <c:ptCount val="31"/>
                <c:pt idx="0">
                  <c:v>0.5</c:v>
                </c:pt>
                <c:pt idx="1">
                  <c:v>0.875</c:v>
                </c:pt>
                <c:pt idx="2">
                  <c:v>0.5</c:v>
                </c:pt>
                <c:pt idx="3">
                  <c:v>0.25</c:v>
                </c:pt>
                <c:pt idx="4">
                  <c:v>0.75</c:v>
                </c:pt>
                <c:pt idx="5">
                  <c:v>0.75</c:v>
                </c:pt>
                <c:pt idx="6">
                  <c:v>0.375</c:v>
                </c:pt>
                <c:pt idx="7">
                  <c:v>1</c:v>
                </c:pt>
                <c:pt idx="8">
                  <c:v>0.75</c:v>
                </c:pt>
                <c:pt idx="9">
                  <c:v>0.625</c:v>
                </c:pt>
                <c:pt idx="10">
                  <c:v>0.5</c:v>
                </c:pt>
                <c:pt idx="11">
                  <c:v>0.875</c:v>
                </c:pt>
                <c:pt idx="12">
                  <c:v>0.75</c:v>
                </c:pt>
                <c:pt idx="13">
                  <c:v>0.625</c:v>
                </c:pt>
                <c:pt idx="14">
                  <c:v>0.5</c:v>
                </c:pt>
                <c:pt idx="15">
                  <c:v>0.25</c:v>
                </c:pt>
                <c:pt idx="16">
                  <c:v>0.375</c:v>
                </c:pt>
                <c:pt idx="17">
                  <c:v>0.75</c:v>
                </c:pt>
                <c:pt idx="18">
                  <c:v>0.875</c:v>
                </c:pt>
                <c:pt idx="19">
                  <c:v>0.75</c:v>
                </c:pt>
                <c:pt idx="20">
                  <c:v>0.5</c:v>
                </c:pt>
                <c:pt idx="21">
                  <c:v>0.375</c:v>
                </c:pt>
                <c:pt idx="22">
                  <c:v>0.5</c:v>
                </c:pt>
                <c:pt idx="23">
                  <c:v>1</c:v>
                </c:pt>
                <c:pt idx="24">
                  <c:v>0.875</c:v>
                </c:pt>
                <c:pt idx="25">
                  <c:v>1</c:v>
                </c:pt>
                <c:pt idx="26">
                  <c:v>0.75</c:v>
                </c:pt>
                <c:pt idx="27">
                  <c:v>0.625</c:v>
                </c:pt>
                <c:pt idx="28">
                  <c:v>0.125</c:v>
                </c:pt>
                <c:pt idx="29">
                  <c:v>0.75</c:v>
                </c:pt>
                <c:pt idx="30">
                  <c:v>0.875</c:v>
                </c:pt>
              </c:numCache>
            </c:numRef>
          </c:val>
        </c:ser>
        <c:gapWidth val="55"/>
        <c:axId val="50170001"/>
        <c:axId val="50170002"/>
      </c:barChart>
      <c:catAx>
        <c:axId val="5017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70002"/>
        <c:crosses val="autoZero"/>
        <c:auto val="1"/>
        <c:lblAlgn val="ctr"/>
        <c:lblOffset val="100"/>
      </c:catAx>
      <c:valAx>
        <c:axId val="5017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7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'Сентябрь'!$AP$7:$AP$8</c:f>
              <c:numCache>
                <c:formatCode>General</c:formatCode>
                <c:ptCount val="2"/>
                <c:pt idx="0">
                  <c:v>0.825</c:v>
                </c:pt>
                <c:pt idx="1">
                  <c:v>0.175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'Сентябрь'!$E$11:$AI$11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'Сентябрь'!$E$28:$AI$28</c:f>
              <c:numCache>
                <c:formatCode>General</c:formatCode>
                <c:ptCount val="31"/>
                <c:pt idx="0">
                  <c:v>0.75</c:v>
                </c:pt>
                <c:pt idx="1">
                  <c:v>0.75</c:v>
                </c:pt>
                <c:pt idx="2">
                  <c:v>0.25</c:v>
                </c:pt>
                <c:pt idx="3">
                  <c:v>0.75</c:v>
                </c:pt>
                <c:pt idx="4">
                  <c:v>0.875</c:v>
                </c:pt>
                <c:pt idx="5">
                  <c:v>1</c:v>
                </c:pt>
                <c:pt idx="6">
                  <c:v>0.5</c:v>
                </c:pt>
                <c:pt idx="7">
                  <c:v>0.625</c:v>
                </c:pt>
                <c:pt idx="8">
                  <c:v>0.875</c:v>
                </c:pt>
                <c:pt idx="9">
                  <c:v>0.75</c:v>
                </c:pt>
                <c:pt idx="10">
                  <c:v>0.875</c:v>
                </c:pt>
                <c:pt idx="11">
                  <c:v>1</c:v>
                </c:pt>
                <c:pt idx="12">
                  <c:v>0.875</c:v>
                </c:pt>
                <c:pt idx="13">
                  <c:v>0.625</c:v>
                </c:pt>
                <c:pt idx="14">
                  <c:v>0.75</c:v>
                </c:pt>
                <c:pt idx="15">
                  <c:v>0.75</c:v>
                </c:pt>
                <c:pt idx="16">
                  <c:v>0.625</c:v>
                </c:pt>
                <c:pt idx="17">
                  <c:v>0.625</c:v>
                </c:pt>
                <c:pt idx="18">
                  <c:v>0.625</c:v>
                </c:pt>
                <c:pt idx="19">
                  <c:v>0.875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190001"/>
        <c:axId val="50190002"/>
      </c:barChart>
      <c:catAx>
        <c:axId val="5019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19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'Октябрь'!$AP$7:$AP$8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'Октябрь'!$E$11:$AI$11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'Октябрь'!$E$28:$AI$28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10001"/>
        <c:axId val="50210002"/>
      </c:barChart>
      <c:catAx>
        <c:axId val="5021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1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'Ноябрь'!$AP$7:$AP$8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strRef>
              <c:f>'Ноябрь'!$E$11:$AI$11</c:f>
              <c:strCach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/>
                </c:pt>
              </c:strCache>
            </c:strRef>
          </c:cat>
          <c:val>
            <c:numRef>
              <c:f>'Ноябрь'!$E$28:$AI$28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30001"/>
        <c:axId val="50230002"/>
      </c:barChart>
      <c:catAx>
        <c:axId val="50230001"/>
        <c:scaling>
          <c:orientation val="minMax"/>
        </c:scaling>
        <c:axPos val="b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30002"/>
        <c:crosses val="autoZero"/>
        <c:auto val="1"/>
        <c:lblAlgn val="ctr"/>
        <c:lblOffset val="100"/>
      </c:catAx>
      <c:valAx>
        <c:axId val="5023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3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2FD07A"/>
              </a:solidFill>
              <a:ln>
                <a:noFill/>
              </a:ln>
            </c:spPr>
          </c:dPt>
          <c:dPt>
            <c:idx val="1"/>
            <c:spPr>
              <a:solidFill>
                <a:srgbClr val="20242F"/>
              </a:solidFill>
              <a:ln>
                <a:noFill/>
              </a:ln>
            </c:spPr>
          </c:dPt>
          <c:val>
            <c:numRef>
              <c:f>'Декабрь'!$AP$7:$AP$8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firstSliceAng val="0"/>
        <c:holeSize val="72"/>
      </c:doughnutChart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Процент дня</c:v>
          </c:tx>
          <c:spPr>
            <a:solidFill>
              <a:srgbClr val="F6C453"/>
            </a:solidFill>
            <a:ln>
              <a:noFill/>
            </a:ln>
          </c:spPr>
          <c:cat>
            <c:numRef>
              <c:f>'Декабрь'!$E$11:$AI$11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'Декабрь'!$E$28:$AI$28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gapWidth val="55"/>
        <c:axId val="50250001"/>
        <c:axId val="50250002"/>
      </c:barChart>
      <c:catAx>
        <c:axId val="50250001"/>
        <c:scaling>
          <c:orientation val="minMax"/>
        </c:scaling>
        <c:axPos val="b"/>
        <c:numFmt formatCode="General" sourceLinked="1"/>
        <c:majorTickMark val="none"/>
        <c:tickLblPos val="nextTo"/>
        <c:spPr>
          <a:ln>
            <a:solidFill>
              <a:srgbClr val="2A2F3D"/>
            </a:solidFill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  <c:max val="1"/>
          <c:min val="0"/>
        </c:scaling>
        <c:axPos val="l"/>
        <c:majorGridlines>
          <c:spPr>
            <a:ln>
              <a:solidFill>
                <a:srgbClr val="2A2F3D"/>
              </a:solidFill>
            </a:ln>
          </c:spPr>
        </c:majorGridlines>
        <c:numFmt formatCode="0%" sourceLinked="0"/>
        <c:tickLblPos val="nextTo"/>
        <c:spPr>
          <a:ln>
            <a:noFill/>
          </a:ln>
        </c:spPr>
        <c:txPr>
          <a:bodyPr/>
          <a:lstStyle/>
          <a:p>
            <a:pPr>
              <a:defRPr sz="800" baseline="0">
                <a:solidFill>
                  <a:srgbClr val="8A90A3"/>
                </a:solidFill>
                <a:latin typeface="Arial"/>
              </a:defRPr>
            </a:pPr>
            <a:endParaRPr lang="en-US"/>
          </a:p>
        </c:txPr>
        <c:crossAx val="50250001"/>
        <c:crosses val="autoZero"/>
        <c:crossBetween val="between"/>
        <c:majorUnit val="0.25"/>
      </c:valAx>
      <c:spPr>
        <a:noFill/>
      </c:spPr>
    </c:plotArea>
    <c:plotVisOnly val="1"/>
  </c:chart>
  <c:spPr>
    <a:solidFill>
      <a:srgbClr val="171A23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18.xml"/><Relationship Id="rId2" Type="http://schemas.openxmlformats.org/officeDocument/2006/relationships/chart" Target="../charts/chart19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20.xml"/><Relationship Id="rId2" Type="http://schemas.openxmlformats.org/officeDocument/2006/relationships/chart" Target="../charts/chart21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24.xml"/><Relationship Id="rId2" Type="http://schemas.openxmlformats.org/officeDocument/2006/relationships/chart" Target="../charts/chart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24</xdr:row>
      <xdr:rowOff>0</xdr:rowOff>
    </xdr:from>
    <xdr:to>
      <xdr:col>15</xdr:col>
      <xdr:colOff>0</xdr:colOff>
      <xdr:row>38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Янва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Февра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Март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Апре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Май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Июн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Июл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78%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Август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75%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Сент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83%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Окт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Ноя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33</xdr:row>
      <xdr:rowOff>0</xdr:rowOff>
    </xdr:from>
    <xdr:to>
      <xdr:col>33</xdr:col>
      <xdr:colOff>276225</xdr:colOff>
      <xdr:row>47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33</xdr:row>
      <xdr:rowOff>0</xdr:rowOff>
    </xdr:from>
    <xdr:to>
      <xdr:col>3</xdr:col>
      <xdr:colOff>476250</xdr:colOff>
      <xdr:row>47</xdr:row>
      <xdr:rowOff>0</xdr:rowOff>
    </xdr:to>
    <xdr:sp macro="" textlink="'Декабрь'!$AP$7">
      <xdr:nvSpPr>
        <xdr:cNvPr id="4" name="TextBox 3"/>
        <xdr:cNvSpPr txBox="1"/>
      </xdr:nvSpPr>
      <xdr:spPr>
        <a:xfrm>
          <a:off x="152400" y="7267575"/>
          <a:ext cx="3105150" cy="2667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fld id="{B8ADDEFE-BF52-4FD4-8C5D-6B85EF6FF707}" type="TxLink">
            <a:rPr lang="en-US" sz="2400" b="1">
              <a:solidFill>
                <a:srgbClr val="ECEEF3"/>
              </a:solidFill>
              <a:latin typeface="Arial"/>
              <a:cs typeface="Arial"/>
            </a:rPr>
            <a:t>0%</a:t>
          </a:fld>
          <a:endParaRPr lang="en-US" sz="2400" b="1">
            <a:solidFill>
              <a:srgbClr val="ECEEF3"/>
            </a:solidFill>
            <a:latin typeface="Arial"/>
            <a:cs typeface="Arial"/>
          </a:endParaRP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2.vml"/><Relationship Id="rId3" Type="http://schemas.openxmlformats.org/officeDocument/2006/relationships/comments" Target="../comments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3.vml"/><Relationship Id="rId3" Type="http://schemas.openxmlformats.org/officeDocument/2006/relationships/comments" Target="../comments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4.vml"/><Relationship Id="rId3" Type="http://schemas.openxmlformats.org/officeDocument/2006/relationships/comments" Target="../comments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vmlDrawing" Target="../drawings/vmlDrawing5.vml"/><Relationship Id="rId3" Type="http://schemas.openxmlformats.org/officeDocument/2006/relationships/comments" Target="../comments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vmlDrawing" Target="../drawings/vmlDrawing6.vml"/><Relationship Id="rId3" Type="http://schemas.openxmlformats.org/officeDocument/2006/relationships/comments" Target="../comments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vmlDrawing" Target="../drawings/vmlDrawing7.vml"/><Relationship Id="rId3" Type="http://schemas.openxmlformats.org/officeDocument/2006/relationships/comments" Target="../comments7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vmlDrawing" Target="../drawings/vmlDrawing8.vml"/><Relationship Id="rId3" Type="http://schemas.openxmlformats.org/officeDocument/2006/relationships/comments" Target="../comments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vmlDrawing" Target="../drawings/vmlDrawing9.vml"/><Relationship Id="rId3" Type="http://schemas.openxmlformats.org/officeDocument/2006/relationships/comments" Target="../comments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vmlDrawing" Target="../drawings/vmlDrawing10.vml"/><Relationship Id="rId3" Type="http://schemas.openxmlformats.org/officeDocument/2006/relationships/comments" Target="../comments10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vmlDrawing" Target="../drawings/vmlDrawing11.vml"/><Relationship Id="rId3" Type="http://schemas.openxmlformats.org/officeDocument/2006/relationships/comments" Target="../comments11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vmlDrawing" Target="../drawings/vmlDrawing12.vml"/><Relationship Id="rId3" Type="http://schemas.openxmlformats.org/officeDocument/2006/relationships/comments" Target="../comments12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vmlDrawing" Target="../drawings/vmlDrawing13.vml"/><Relationship Id="rId3" Type="http://schemas.openxmlformats.org/officeDocument/2006/relationships/comments" Target="../comments1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6C453"/>
    <pageSetUpPr fitToPage="1"/>
  </sheetPr>
  <dimension ref="A1:XFD31"/>
  <sheetViews>
    <sheetView showGridLines="0" workbookViewId="0"/>
  </sheetViews>
  <sheetFormatPr defaultRowHeight="16" customHeight="1"/>
  <cols>
    <col min="1" max="1" width="2.28515625" style="1" customWidth="1"/>
    <col min="2" max="2" width="5.28515625" style="1" customWidth="1"/>
    <col min="3" max="3" width="14.7109375" style="1" customWidth="1"/>
    <col min="4" max="4" width="34.7109375" style="1" customWidth="1"/>
    <col min="5" max="5" width="13.7109375" style="1" customWidth="1"/>
    <col min="6" max="6" width="36.7109375" style="1" customWidth="1"/>
    <col min="7" max="7" width="3.28515625" style="1" customWidth="1"/>
    <col min="8" max="8" width="82.7109375" style="1" customWidth="1"/>
    <col min="9" max="9" width="2.28515625" style="1" customWidth="1"/>
    <col min="10" max="16384" width="9.140625" style="1"/>
  </cols>
  <sheetData>
    <row r="1" spans="2:8" ht="6" customHeight="1"/>
    <row r="2" spans="2:8" ht="34" customHeight="1">
      <c r="B2" s="2" t="s">
        <v>0</v>
      </c>
      <c r="C2" s="2"/>
      <c r="D2" s="2"/>
      <c r="E2" s="2"/>
      <c r="F2" s="2"/>
      <c r="G2" s="2"/>
      <c r="H2" s="2"/>
    </row>
    <row r="3" spans="2:8" ht="16" customHeight="1">
      <c r="B3" s="3" t="s">
        <v>1</v>
      </c>
      <c r="C3" s="3"/>
      <c r="D3" s="3"/>
      <c r="E3" s="3"/>
      <c r="F3" s="3"/>
      <c r="G3" s="3"/>
      <c r="H3" s="3"/>
    </row>
    <row r="4" spans="2:8" ht="10" customHeight="1"/>
    <row r="5" spans="2:8" ht="20" customHeight="1">
      <c r="B5" s="4" t="s">
        <v>2</v>
      </c>
      <c r="C5" s="4"/>
      <c r="D5" s="4"/>
      <c r="E5" s="4"/>
      <c r="F5" s="4"/>
      <c r="H5" s="4" t="s">
        <v>40</v>
      </c>
    </row>
    <row r="6" spans="2:8" ht="24" customHeight="1">
      <c r="C6" s="5" t="s">
        <v>3</v>
      </c>
      <c r="D6" s="6">
        <v>2026</v>
      </c>
      <c r="E6" s="7" t="s">
        <v>4</v>
      </c>
      <c r="F6" s="7"/>
      <c r="H6" s="8" t="s">
        <v>41</v>
      </c>
    </row>
    <row r="7" spans="2:8" ht="24" customHeight="1">
      <c r="C7" s="5" t="s">
        <v>5</v>
      </c>
      <c r="D7" s="9"/>
      <c r="E7" s="7" t="s">
        <v>6</v>
      </c>
      <c r="F7" s="7"/>
      <c r="H7" s="8" t="s">
        <v>42</v>
      </c>
    </row>
    <row r="8" spans="2:8" ht="24" customHeight="1">
      <c r="C8" s="5" t="s">
        <v>7</v>
      </c>
      <c r="D8" s="9" t="s">
        <v>8</v>
      </c>
      <c r="E8" s="9"/>
      <c r="F8" s="9"/>
      <c r="H8" s="8" t="s">
        <v>43</v>
      </c>
    </row>
    <row r="9" spans="2:8" ht="10" customHeight="1"/>
    <row r="10" spans="2:8" ht="24" customHeight="1">
      <c r="B10" s="4" t="s">
        <v>9</v>
      </c>
      <c r="C10" s="4"/>
      <c r="D10" s="4"/>
      <c r="E10" s="4"/>
      <c r="F10" s="4"/>
      <c r="H10" s="8" t="s">
        <v>44</v>
      </c>
    </row>
    <row r="11" spans="2:8" ht="30" customHeight="1">
      <c r="B11" s="10" t="s">
        <v>10</v>
      </c>
      <c r="C11" s="11" t="s">
        <v>11</v>
      </c>
      <c r="D11" s="11" t="s">
        <v>12</v>
      </c>
      <c r="E11" s="10" t="s">
        <v>13</v>
      </c>
      <c r="F11" s="11" t="s">
        <v>14</v>
      </c>
      <c r="H11" s="8" t="s">
        <v>45</v>
      </c>
    </row>
    <row r="12" spans="2:8" ht="24" customHeight="1">
      <c r="B12" s="12">
        <v>1</v>
      </c>
      <c r="C12" s="6" t="s">
        <v>15</v>
      </c>
      <c r="D12" s="13" t="s">
        <v>16</v>
      </c>
      <c r="E12" s="6"/>
      <c r="F12" s="9" t="s">
        <v>17</v>
      </c>
      <c r="H12" s="8" t="s">
        <v>46</v>
      </c>
    </row>
    <row r="13" spans="2:8" ht="24" customHeight="1">
      <c r="B13" s="12">
        <v>2</v>
      </c>
      <c r="C13" s="6" t="s">
        <v>18</v>
      </c>
      <c r="D13" s="13" t="s">
        <v>19</v>
      </c>
      <c r="E13" s="6">
        <v>12</v>
      </c>
      <c r="F13" s="9" t="s">
        <v>20</v>
      </c>
      <c r="H13" s="4" t="s">
        <v>47</v>
      </c>
    </row>
    <row r="14" spans="2:8" ht="24" customHeight="1">
      <c r="B14" s="12">
        <v>3</v>
      </c>
      <c r="C14" s="6" t="s">
        <v>15</v>
      </c>
      <c r="D14" s="13" t="s">
        <v>21</v>
      </c>
      <c r="E14" s="6"/>
      <c r="F14" s="9" t="s">
        <v>22</v>
      </c>
      <c r="H14" s="8" t="s">
        <v>48</v>
      </c>
    </row>
    <row r="15" spans="2:8" ht="24" customHeight="1">
      <c r="B15" s="12">
        <v>4</v>
      </c>
      <c r="C15" s="6" t="s">
        <v>23</v>
      </c>
      <c r="D15" s="13" t="s">
        <v>24</v>
      </c>
      <c r="E15" s="6"/>
      <c r="F15" s="9" t="s">
        <v>25</v>
      </c>
      <c r="H15" s="8" t="s">
        <v>49</v>
      </c>
    </row>
    <row r="16" spans="2:8" ht="24" customHeight="1">
      <c r="B16" s="12">
        <v>5</v>
      </c>
      <c r="C16" s="6" t="s">
        <v>26</v>
      </c>
      <c r="D16" s="13" t="s">
        <v>27</v>
      </c>
      <c r="E16" s="6"/>
      <c r="F16" s="9" t="s">
        <v>28</v>
      </c>
      <c r="H16" s="8" t="s">
        <v>50</v>
      </c>
    </row>
    <row r="17" spans="2:8" ht="24" customHeight="1">
      <c r="B17" s="12">
        <v>6</v>
      </c>
      <c r="C17" s="6" t="s">
        <v>15</v>
      </c>
      <c r="D17" s="13" t="s">
        <v>29</v>
      </c>
      <c r="E17" s="6"/>
      <c r="F17" s="9" t="s">
        <v>30</v>
      </c>
      <c r="H17" s="8" t="s">
        <v>51</v>
      </c>
    </row>
    <row r="18" spans="2:8" ht="24" customHeight="1">
      <c r="B18" s="12">
        <v>7</v>
      </c>
      <c r="C18" s="6" t="s">
        <v>31</v>
      </c>
      <c r="D18" s="13" t="s">
        <v>32</v>
      </c>
      <c r="E18" s="6"/>
      <c r="F18" s="9" t="s">
        <v>33</v>
      </c>
      <c r="H18" s="8" t="s">
        <v>52</v>
      </c>
    </row>
    <row r="19" spans="2:8" ht="24" customHeight="1">
      <c r="B19" s="12">
        <v>8</v>
      </c>
      <c r="C19" s="6" t="s">
        <v>23</v>
      </c>
      <c r="D19" s="13" t="s">
        <v>34</v>
      </c>
      <c r="E19" s="6">
        <v>20</v>
      </c>
      <c r="F19" s="9" t="s">
        <v>35</v>
      </c>
      <c r="H19" s="4" t="s">
        <v>53</v>
      </c>
    </row>
    <row r="20" spans="2:8" ht="24" customHeight="1">
      <c r="B20" s="12">
        <v>9</v>
      </c>
      <c r="C20" s="6"/>
      <c r="D20" s="13"/>
      <c r="E20" s="6"/>
      <c r="F20" s="9"/>
      <c r="H20" s="8" t="s">
        <v>54</v>
      </c>
    </row>
    <row r="21" spans="2:8" ht="24" customHeight="1">
      <c r="B21" s="12">
        <v>10</v>
      </c>
      <c r="C21" s="6"/>
      <c r="D21" s="13"/>
      <c r="E21" s="6"/>
      <c r="F21" s="9"/>
      <c r="H21" s="8" t="s">
        <v>55</v>
      </c>
    </row>
    <row r="22" spans="2:8" ht="24" customHeight="1">
      <c r="B22" s="12">
        <v>11</v>
      </c>
      <c r="C22" s="6"/>
      <c r="D22" s="13"/>
      <c r="E22" s="6"/>
      <c r="F22" s="9"/>
      <c r="H22" s="8" t="s">
        <v>56</v>
      </c>
    </row>
    <row r="23" spans="2:8" ht="24" customHeight="1">
      <c r="B23" s="12">
        <v>12</v>
      </c>
      <c r="C23" s="6"/>
      <c r="D23" s="13"/>
      <c r="E23" s="6"/>
      <c r="F23" s="9"/>
      <c r="H23" s="8" t="s">
        <v>57</v>
      </c>
    </row>
    <row r="24" spans="2:8" ht="24" customHeight="1">
      <c r="B24" s="12">
        <v>13</v>
      </c>
      <c r="C24" s="6"/>
      <c r="D24" s="13"/>
      <c r="E24" s="6"/>
      <c r="F24" s="9"/>
    </row>
    <row r="25" spans="2:8" ht="24" customHeight="1">
      <c r="B25" s="12">
        <v>14</v>
      </c>
      <c r="C25" s="6"/>
      <c r="D25" s="13"/>
      <c r="E25" s="6"/>
      <c r="F25" s="9"/>
    </row>
    <row r="26" spans="2:8" ht="24" customHeight="1">
      <c r="B26" s="12">
        <v>15</v>
      </c>
      <c r="C26" s="6"/>
      <c r="D26" s="13"/>
      <c r="E26" s="6"/>
      <c r="F26" s="9"/>
    </row>
    <row r="27" spans="2:8" ht="8" customHeight="1"/>
    <row r="28" spans="2:8" ht="15" customHeight="1">
      <c r="B28" s="7" t="s">
        <v>36</v>
      </c>
      <c r="C28" s="7"/>
      <c r="D28" s="7"/>
      <c r="E28" s="7"/>
      <c r="F28" s="7"/>
    </row>
    <row r="29" spans="2:8" ht="15" customHeight="1">
      <c r="B29" s="7" t="s">
        <v>37</v>
      </c>
      <c r="C29" s="7"/>
      <c r="D29" s="7"/>
      <c r="E29" s="7"/>
      <c r="F29" s="7"/>
    </row>
    <row r="30" spans="2:8" ht="15" customHeight="1">
      <c r="B30" s="7" t="s">
        <v>38</v>
      </c>
      <c r="C30" s="7"/>
      <c r="D30" s="7"/>
      <c r="E30" s="7"/>
      <c r="F30" s="7"/>
    </row>
    <row r="31" spans="2:8" ht="15" customHeight="1">
      <c r="B31" s="7" t="s">
        <v>39</v>
      </c>
      <c r="C31" s="7"/>
      <c r="D31" s="7"/>
      <c r="E31" s="7"/>
      <c r="F31" s="7"/>
    </row>
  </sheetData>
  <mergeCells count="11">
    <mergeCell ref="B2:H2"/>
    <mergeCell ref="B3:H3"/>
    <mergeCell ref="B5:F5"/>
    <mergeCell ref="E6:F6"/>
    <mergeCell ref="E7:F7"/>
    <mergeCell ref="D8:F8"/>
    <mergeCell ref="B10:F10"/>
    <mergeCell ref="B28:F28"/>
    <mergeCell ref="B29:F29"/>
    <mergeCell ref="B30:F30"/>
    <mergeCell ref="B31:F31"/>
  </mergeCells>
  <conditionalFormatting sqref="C12:C26">
    <cfRule type="expression" dxfId="0" priority="1">
      <formula>$C12="Здоровье"</formula>
    </cfRule>
    <cfRule type="expression" dxfId="1" priority="2">
      <formula>$C12="Спорт"</formula>
    </cfRule>
    <cfRule type="expression" dxfId="2" priority="3">
      <formula>$C12="Работа"</formula>
    </cfRule>
    <cfRule type="expression" dxfId="3" priority="4">
      <formula>$C12="Учёба"</formula>
    </cfRule>
    <cfRule type="expression" dxfId="4" priority="5">
      <formula>$C12="Личное"</formula>
    </cfRule>
    <cfRule type="expression" dxfId="5" priority="6">
      <formula>$C12="Финансы"</formula>
    </cfRule>
    <cfRule type="expression" dxfId="6" priority="7">
      <formula>$C12="Отношения"</formula>
    </cfRule>
    <cfRule type="expression" dxfId="7" priority="8">
      <formula>$C12="Творчество"</formula>
    </cfRule>
  </conditionalFormatting>
  <dataValidations count="3">
    <dataValidation type="whole" allowBlank="1" showInputMessage="1" showErrorMessage="1" errorTitle="Год" error="Введи год числом, например 2026" sqref="D6">
      <formula1>2000</formula1>
      <formula2>2100</formula2>
    </dataValidation>
    <dataValidation type="list" allowBlank="1" showInputMessage="1" showErrorMessage="1" errorTitle="Сфера" error="Выбери сферу из списка (или оставь пустой)" sqref="C12:C26">
      <formula1>'Списки'!$A$2:$A$9</formula1>
    </dataValidation>
    <dataValidation type="whole" allowBlank="1" showInputMessage="1" showErrorMessage="1" errorTitle="Цель" error="Число дней в месяц от 1 до 31. Пусто = каждый день" sqref="E12:E26">
      <formula1>1</formula1>
      <formula2>31</formula2>
    </dataValidation>
  </dataValidations>
  <pageMargins left="0.7" right="0.7" top="0.75" bottom="0.75" header="0.3" footer="0.3"/>
  <pageSetup paperSize="9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  <pageSetUpPr fitToPage="1"/>
  </sheetPr>
  <dimension ref="A1:XFD56"/>
  <sheetViews>
    <sheetView showGridLines="0" zoomScale="90" zoomScaleNormal="90" workbookViewId="0"/>
  </sheetViews>
  <sheetFormatPr defaultRowHeight="16" customHeight="1" x14ac:dyDescent="0.25"/>
  <cols>
    <col min="1" max="1" width="2.28515625" style="1" customWidth="1"/>
    <col min="2" max="2" width="20.7109375" style="1" customWidth="1"/>
    <col min="3" max="15" width="9.7109375" style="1" customWidth="1"/>
    <col min="16" max="16" width="2.28515625" style="1" customWidth="1"/>
    <col min="17" max="16384" width="9.140625" style="1"/>
  </cols>
  <sheetData>
    <row r="1" spans="2:15" ht="6" customHeight="1" x14ac:dyDescent="0.25"/>
    <row r="2" spans="2:15" ht="34" customHeight="1" x14ac:dyDescent="0.25">
      <c r="B2" s="2" t="str">
        <f>"ГОД "&amp;'Старт'!$D$6&amp;" — ИТОГИ"</f>
        <v>ГОД 2026 — ИТОГИ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6" customHeight="1" x14ac:dyDescent="0.25">
      <c r="B3" s="3" t="s">
        <v>58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0" customHeight="1" x14ac:dyDescent="0.25"/>
    <row r="5" spans="2:15" ht="14" customHeight="1" x14ac:dyDescent="0.25">
      <c r="B5" s="14" t="s">
        <v>59</v>
      </c>
      <c r="C5" s="14"/>
      <c r="D5" s="14" t="s">
        <v>61</v>
      </c>
      <c r="E5" s="14"/>
      <c r="F5" s="14"/>
      <c r="G5" s="14" t="s">
        <v>63</v>
      </c>
      <c r="H5" s="14"/>
      <c r="I5" s="14"/>
      <c r="J5" s="14" t="s">
        <v>65</v>
      </c>
      <c r="K5" s="14"/>
      <c r="L5" s="14"/>
      <c r="M5" s="14" t="s">
        <v>67</v>
      </c>
      <c r="N5" s="14"/>
      <c r="O5" s="14"/>
    </row>
    <row r="6" spans="2:15" ht="28" customHeight="1" x14ac:dyDescent="0.25">
      <c r="B6" s="15">
        <f>$C$22</f>
        <v>0.785483870967742</v>
      </c>
      <c r="C6" s="15"/>
      <c r="D6" s="16">
        <f>$D$22</f>
        <v>447</v>
      </c>
      <c r="E6" s="16"/>
      <c r="F6" s="16"/>
      <c r="G6" s="16">
        <f>$E$22</f>
        <v>7</v>
      </c>
      <c r="H6" s="16"/>
      <c r="I6" s="16"/>
      <c r="J6" s="16" t="str">
        <f>IFERROR(INDEX($B$10:$B$21,MATCH(MAX($C$10:$C$21),$C$10:$C$21,0)),"—")</f>
        <v>Сентябрь</v>
      </c>
      <c r="K6" s="16"/>
      <c r="L6" s="16"/>
      <c r="M6" s="17">
        <f>$F$22</f>
        <v>17</v>
      </c>
      <c r="N6" s="17"/>
      <c r="O6" s="17"/>
    </row>
    <row r="7" spans="2:15" ht="14" customHeight="1" x14ac:dyDescent="0.25">
      <c r="B7" s="18" t="s">
        <v>60</v>
      </c>
      <c r="C7" s="18"/>
      <c r="D7" s="18" t="s">
        <v>62</v>
      </c>
      <c r="E7" s="18"/>
      <c r="F7" s="18"/>
      <c r="G7" s="18" t="s">
        <v>64</v>
      </c>
      <c r="H7" s="18"/>
      <c r="I7" s="18"/>
      <c r="J7" s="18" t="s">
        <v>66</v>
      </c>
      <c r="K7" s="18"/>
      <c r="L7" s="18"/>
      <c r="M7" s="18" t="s">
        <v>68</v>
      </c>
      <c r="N7" s="18"/>
      <c r="O7" s="18"/>
    </row>
    <row r="8" spans="2:15" ht="10" customHeight="1" x14ac:dyDescent="0.25"/>
    <row r="9" spans="2:15" ht="30" customHeight="1" x14ac:dyDescent="0.25">
      <c r="B9" s="19" t="s">
        <v>69</v>
      </c>
      <c r="C9" s="10" t="s">
        <v>70</v>
      </c>
      <c r="D9" s="10" t="s">
        <v>71</v>
      </c>
      <c r="E9" s="10" t="s">
        <v>72</v>
      </c>
      <c r="F9" s="10" t="s">
        <v>73</v>
      </c>
      <c r="G9" s="10" t="s">
        <v>74</v>
      </c>
      <c r="H9" s="10" t="s">
        <v>75</v>
      </c>
    </row>
    <row r="10" spans="2:15" ht="20" customHeight="1" x14ac:dyDescent="0.25">
      <c r="B10" s="20" t="s">
        <v>76</v>
      </c>
      <c r="C10" s="21">
        <f>IF(OR('Январь'!$AP$3=0,'Январь'!$AP$6=0),"",'Январь'!$AP$7)</f>
        <v/>
      </c>
      <c r="D10" s="22">
        <f>IF(OR('Январь'!$AP$3=0,'Январь'!$AP$6=0),"",'Январь'!$AP$6)</f>
        <v/>
      </c>
      <c r="E10" s="22">
        <f>IF(OR('Январь'!$AP$3=0,'Январь'!$AP$6=0),"",'Январь'!$AP$9)</f>
        <v/>
      </c>
      <c r="F10" s="22">
        <f>IF(OR('Январь'!$AP$3=0,'Январь'!$AP$6=0),"",MAX('Январь'!$AN$12:$AN$26))</f>
        <v/>
      </c>
      <c r="G10" s="22">
        <f>IF(OR('Январь'!$AP$3=0,'Январь'!$AP$6=0),"",IFERROR(ROUND(AVERAGE('Январь'!$E$30:$AI$30),1),"—"))</f>
        <v/>
      </c>
      <c r="H10" s="22">
        <f>IF(OR('Январь'!$AP$3=0,'Январь'!$AP$6=0),"",IFERROR(ROUND(AVERAGE('Январь'!$E$31:$AI$31),1),"—"))</f>
        <v/>
      </c>
    </row>
    <row r="11" spans="2:15" ht="20" customHeight="1" x14ac:dyDescent="0.25">
      <c r="B11" s="20" t="s">
        <v>77</v>
      </c>
      <c r="C11" s="21">
        <f>IF(OR('Февраль'!$AP$3=0,'Февраль'!$AP$6=0),"",'Февраль'!$AP$7)</f>
        <v/>
      </c>
      <c r="D11" s="22">
        <f>IF(OR('Февраль'!$AP$3=0,'Февраль'!$AP$6=0),"",'Февраль'!$AP$6)</f>
        <v/>
      </c>
      <c r="E11" s="22">
        <f>IF(OR('Февраль'!$AP$3=0,'Февраль'!$AP$6=0),"",'Февраль'!$AP$9)</f>
        <v/>
      </c>
      <c r="F11" s="22">
        <f>IF(OR('Февраль'!$AP$3=0,'Февраль'!$AP$6=0),"",MAX('Февраль'!$AN$12:$AN$26))</f>
        <v/>
      </c>
      <c r="G11" s="22">
        <f>IF(OR('Февраль'!$AP$3=0,'Февраль'!$AP$6=0),"",IFERROR(ROUND(AVERAGE('Февраль'!$E$30:$AI$30),1),"—"))</f>
        <v/>
      </c>
      <c r="H11" s="22">
        <f>IF(OR('Февраль'!$AP$3=0,'Февраль'!$AP$6=0),"",IFERROR(ROUND(AVERAGE('Февраль'!$E$31:$AI$31),1),"—"))</f>
        <v/>
      </c>
    </row>
    <row r="12" spans="2:15" ht="20" customHeight="1" x14ac:dyDescent="0.25">
      <c r="B12" s="20" t="s">
        <v>78</v>
      </c>
      <c r="C12" s="21">
        <f>IF(OR('Март'!$AP$3=0,'Март'!$AP$6=0),"",'Март'!$AP$7)</f>
        <v/>
      </c>
      <c r="D12" s="22">
        <f>IF(OR('Март'!$AP$3=0,'Март'!$AP$6=0),"",'Март'!$AP$6)</f>
        <v/>
      </c>
      <c r="E12" s="22">
        <f>IF(OR('Март'!$AP$3=0,'Март'!$AP$6=0),"",'Март'!$AP$9)</f>
        <v/>
      </c>
      <c r="F12" s="22">
        <f>IF(OR('Март'!$AP$3=0,'Март'!$AP$6=0),"",MAX('Март'!$AN$12:$AN$26))</f>
        <v/>
      </c>
      <c r="G12" s="22">
        <f>IF(OR('Март'!$AP$3=0,'Март'!$AP$6=0),"",IFERROR(ROUND(AVERAGE('Март'!$E$30:$AI$30),1),"—"))</f>
        <v/>
      </c>
      <c r="H12" s="22">
        <f>IF(OR('Март'!$AP$3=0,'Март'!$AP$6=0),"",IFERROR(ROUND(AVERAGE('Март'!$E$31:$AI$31),1),"—"))</f>
        <v/>
      </c>
    </row>
    <row r="13" spans="2:15" ht="20" customHeight="1" x14ac:dyDescent="0.25">
      <c r="B13" s="20" t="s">
        <v>79</v>
      </c>
      <c r="C13" s="21">
        <f>IF(OR('Апрель'!$AP$3=0,'Апрель'!$AP$6=0),"",'Апрель'!$AP$7)</f>
        <v/>
      </c>
      <c r="D13" s="22">
        <f>IF(OR('Апрель'!$AP$3=0,'Апрель'!$AP$6=0),"",'Апрель'!$AP$6)</f>
        <v/>
      </c>
      <c r="E13" s="22">
        <f>IF(OR('Апрель'!$AP$3=0,'Апрель'!$AP$6=0),"",'Апрель'!$AP$9)</f>
        <v/>
      </c>
      <c r="F13" s="22">
        <f>IF(OR('Апрель'!$AP$3=0,'Апрель'!$AP$6=0),"",MAX('Апрель'!$AN$12:$AN$26))</f>
        <v/>
      </c>
      <c r="G13" s="22">
        <f>IF(OR('Апрель'!$AP$3=0,'Апрель'!$AP$6=0),"",IFERROR(ROUND(AVERAGE('Апрель'!$E$30:$AI$30),1),"—"))</f>
        <v/>
      </c>
      <c r="H13" s="22">
        <f>IF(OR('Апрель'!$AP$3=0,'Апрель'!$AP$6=0),"",IFERROR(ROUND(AVERAGE('Апрель'!$E$31:$AI$31),1),"—"))</f>
        <v/>
      </c>
    </row>
    <row r="14" spans="2:15" ht="20" customHeight="1" x14ac:dyDescent="0.25">
      <c r="B14" s="20" t="s">
        <v>80</v>
      </c>
      <c r="C14" s="21">
        <f>IF(OR('Май'!$AP$3=0,'Май'!$AP$6=0),"",'Май'!$AP$7)</f>
        <v/>
      </c>
      <c r="D14" s="22">
        <f>IF(OR('Май'!$AP$3=0,'Май'!$AP$6=0),"",'Май'!$AP$6)</f>
        <v/>
      </c>
      <c r="E14" s="22">
        <f>IF(OR('Май'!$AP$3=0,'Май'!$AP$6=0),"",'Май'!$AP$9)</f>
        <v/>
      </c>
      <c r="F14" s="22">
        <f>IF(OR('Май'!$AP$3=0,'Май'!$AP$6=0),"",MAX('Май'!$AN$12:$AN$26))</f>
        <v/>
      </c>
      <c r="G14" s="22">
        <f>IF(OR('Май'!$AP$3=0,'Май'!$AP$6=0),"",IFERROR(ROUND(AVERAGE('Май'!$E$30:$AI$30),1),"—"))</f>
        <v/>
      </c>
      <c r="H14" s="22">
        <f>IF(OR('Май'!$AP$3=0,'Май'!$AP$6=0),"",IFERROR(ROUND(AVERAGE('Май'!$E$31:$AI$31),1),"—"))</f>
        <v/>
      </c>
    </row>
    <row r="15" spans="2:15" ht="20" customHeight="1" x14ac:dyDescent="0.25">
      <c r="B15" s="20" t="s">
        <v>81</v>
      </c>
      <c r="C15" s="21">
        <f>IF(OR('Июнь'!$AP$3=0,'Июнь'!$AP$6=0),"",'Июнь'!$AP$7)</f>
        <v/>
      </c>
      <c r="D15" s="22">
        <f>IF(OR('Июнь'!$AP$3=0,'Июнь'!$AP$6=0),"",'Июнь'!$AP$6)</f>
        <v/>
      </c>
      <c r="E15" s="22">
        <f>IF(OR('Июнь'!$AP$3=0,'Июнь'!$AP$6=0),"",'Июнь'!$AP$9)</f>
        <v/>
      </c>
      <c r="F15" s="22">
        <f>IF(OR('Июнь'!$AP$3=0,'Июнь'!$AP$6=0),"",MAX('Июнь'!$AN$12:$AN$26))</f>
        <v/>
      </c>
      <c r="G15" s="22">
        <f>IF(OR('Июнь'!$AP$3=0,'Июнь'!$AP$6=0),"",IFERROR(ROUND(AVERAGE('Июнь'!$E$30:$AI$30),1),"—"))</f>
        <v/>
      </c>
      <c r="H15" s="22">
        <f>IF(OR('Июнь'!$AP$3=0,'Июнь'!$AP$6=0),"",IFERROR(ROUND(AVERAGE('Июнь'!$E$31:$AI$31),1),"—"))</f>
        <v/>
      </c>
    </row>
    <row r="16" spans="2:15" ht="20" customHeight="1" x14ac:dyDescent="0.25">
      <c r="B16" s="20" t="s">
        <v>82</v>
      </c>
      <c r="C16" s="21">
        <f>IF(OR('Июль'!$AP$3=0,'Июль'!$AP$6=0),"",'Июль'!$AP$7)</f>
        <v>0.781854838709677</v>
      </c>
      <c r="D16" s="22">
        <f>IF(OR('Июль'!$AP$3=0,'Июль'!$AP$6=0),"",'Июль'!$AP$6)</f>
        <v>169</v>
      </c>
      <c r="E16" s="22">
        <f>IF(OR('Июль'!$AP$3=0,'Июль'!$AP$6=0),"",'Июль'!$AP$9)</f>
        <v>2</v>
      </c>
      <c r="F16" s="22">
        <f>IF(OR('Июль'!$AP$3=0,'Июль'!$AP$6=0),"",MAX('Июль'!$AN$12:$AN$26))</f>
        <v>13</v>
      </c>
      <c r="G16" s="22">
        <f>IF(OR('Июль'!$AP$3=0,'Июль'!$AP$6=0),"",IFERROR(ROUND(AVERAGE('Июль'!$E$30:$AI$30),1),"—"))</f>
        <v>7.3</v>
      </c>
      <c r="H16" s="22">
        <f>IF(OR('Июль'!$AP$3=0,'Июль'!$AP$6=0),"",IFERROR(ROUND(AVERAGE('Июль'!$E$31:$AI$31),1),"—"))</f>
        <v>3.7</v>
      </c>
    </row>
    <row r="17" spans="2:15" ht="20" customHeight="1" x14ac:dyDescent="0.25">
      <c r="B17" s="20" t="s">
        <v>83</v>
      </c>
      <c r="C17" s="21">
        <f>IF(OR('Август'!$AP$3=0,'Август'!$AP$6=0),"",'Август'!$AP$7)</f>
        <v>0.749596774193548</v>
      </c>
      <c r="D17" s="22">
        <f>IF(OR('Август'!$AP$3=0,'Август'!$AP$6=0),"",'Август'!$AP$6)</f>
        <v>160</v>
      </c>
      <c r="E17" s="22">
        <f>IF(OR('Август'!$AP$3=0,'Август'!$AP$6=0),"",'Август'!$AP$9)</f>
        <v>3</v>
      </c>
      <c r="F17" s="22">
        <f>IF(OR('Август'!$AP$3=0,'Август'!$AP$6=0),"",MAX('Август'!$AN$12:$AN$26))</f>
        <v>15</v>
      </c>
      <c r="G17" s="22">
        <f>IF(OR('Август'!$AP$3=0,'Август'!$AP$6=0),"",IFERROR(ROUND(AVERAGE('Август'!$E$30:$AI$30),1),"—"))</f>
        <v>6.6</v>
      </c>
      <c r="H17" s="22">
        <f>IF(OR('Август'!$AP$3=0,'Август'!$AP$6=0),"",IFERROR(ROUND(AVERAGE('Август'!$E$31:$AI$31),1),"—"))</f>
        <v>3.6</v>
      </c>
    </row>
    <row r="18" spans="2:15" ht="20" customHeight="1" x14ac:dyDescent="0.25">
      <c r="B18" s="20" t="s">
        <v>84</v>
      </c>
      <c r="C18" s="21">
        <f>IF(OR('Сентябрь'!$AP$3=0,'Сентябрь'!$AP$6=0),"",'Сентябрь'!$AP$7)</f>
        <v>0.825</v>
      </c>
      <c r="D18" s="22">
        <f>IF(OR('Сентябрь'!$AP$3=0,'Сентябрь'!$AP$6=0),"",'Сентябрь'!$AP$6)</f>
        <v>118</v>
      </c>
      <c r="E18" s="22">
        <f>IF(OR('Сентябрь'!$AP$3=0,'Сентябрь'!$AP$6=0),"",'Сентябрь'!$AP$9)</f>
        <v>2</v>
      </c>
      <c r="F18" s="22">
        <f>IF(OR('Сентябрь'!$AP$3=0,'Сентябрь'!$AP$6=0),"",MAX('Сентябрь'!$AN$12:$AN$26))</f>
        <v>17</v>
      </c>
      <c r="G18" s="22">
        <f>IF(OR('Сентябрь'!$AP$3=0,'Сентябрь'!$AP$6=0),"",IFERROR(ROUND(AVERAGE('Сентябрь'!$E$30:$AI$30),1),"—"))</f>
        <v>7</v>
      </c>
      <c r="H18" s="22">
        <f>IF(OR('Сентябрь'!$AP$3=0,'Сентябрь'!$AP$6=0),"",IFERROR(ROUND(AVERAGE('Сентябрь'!$E$31:$AI$31),1),"—"))</f>
        <v>4.1</v>
      </c>
    </row>
    <row r="19" spans="2:15" ht="20" customHeight="1" x14ac:dyDescent="0.25">
      <c r="B19" s="20" t="s">
        <v>85</v>
      </c>
      <c r="C19" s="21">
        <f>IF(OR('Октябрь'!$AP$3=0,'Октябрь'!$AP$6=0),"",'Октябрь'!$AP$7)</f>
        <v/>
      </c>
      <c r="D19" s="22">
        <f>IF(OR('Октябрь'!$AP$3=0,'Октябрь'!$AP$6=0),"",'Октябрь'!$AP$6)</f>
        <v/>
      </c>
      <c r="E19" s="22">
        <f>IF(OR('Октябрь'!$AP$3=0,'Октябрь'!$AP$6=0),"",'Октябрь'!$AP$9)</f>
        <v/>
      </c>
      <c r="F19" s="22">
        <f>IF(OR('Октябрь'!$AP$3=0,'Октябрь'!$AP$6=0),"",MAX('Октябрь'!$AN$12:$AN$26))</f>
        <v/>
      </c>
      <c r="G19" s="22">
        <f>IF(OR('Октябрь'!$AP$3=0,'Октябрь'!$AP$6=0),"",IFERROR(ROUND(AVERAGE('Октябрь'!$E$30:$AI$30),1),"—"))</f>
        <v/>
      </c>
      <c r="H19" s="22">
        <f>IF(OR('Октябрь'!$AP$3=0,'Октябрь'!$AP$6=0),"",IFERROR(ROUND(AVERAGE('Октябрь'!$E$31:$AI$31),1),"—"))</f>
        <v/>
      </c>
    </row>
    <row r="20" spans="2:15" ht="20" customHeight="1" x14ac:dyDescent="0.25">
      <c r="B20" s="20" t="s">
        <v>86</v>
      </c>
      <c r="C20" s="21">
        <f>IF(OR('Ноябрь'!$AP$3=0,'Ноябрь'!$AP$6=0),"",'Ноябрь'!$AP$7)</f>
        <v/>
      </c>
      <c r="D20" s="22">
        <f>IF(OR('Ноябрь'!$AP$3=0,'Ноябрь'!$AP$6=0),"",'Ноябрь'!$AP$6)</f>
        <v/>
      </c>
      <c r="E20" s="22">
        <f>IF(OR('Ноябрь'!$AP$3=0,'Ноябрь'!$AP$6=0),"",'Ноябрь'!$AP$9)</f>
        <v/>
      </c>
      <c r="F20" s="22">
        <f>IF(OR('Ноябрь'!$AP$3=0,'Ноябрь'!$AP$6=0),"",MAX('Ноябрь'!$AN$12:$AN$26))</f>
        <v/>
      </c>
      <c r="G20" s="22">
        <f>IF(OR('Ноябрь'!$AP$3=0,'Ноябрь'!$AP$6=0),"",IFERROR(ROUND(AVERAGE('Ноябрь'!$E$30:$AI$30),1),"—"))</f>
        <v/>
      </c>
      <c r="H20" s="22">
        <f>IF(OR('Ноябрь'!$AP$3=0,'Ноябрь'!$AP$6=0),"",IFERROR(ROUND(AVERAGE('Ноябрь'!$E$31:$AI$31),1),"—"))</f>
        <v/>
      </c>
    </row>
    <row r="21" spans="2:15" ht="20" customHeight="1" x14ac:dyDescent="0.25">
      <c r="B21" s="20" t="s">
        <v>87</v>
      </c>
      <c r="C21" s="21">
        <f>IF(OR('Декабрь'!$AP$3=0,'Декабрь'!$AP$6=0),"",'Декабрь'!$AP$7)</f>
        <v/>
      </c>
      <c r="D21" s="22">
        <f>IF(OR('Декабрь'!$AP$3=0,'Декабрь'!$AP$6=0),"",'Декабрь'!$AP$6)</f>
        <v/>
      </c>
      <c r="E21" s="22">
        <f>IF(OR('Декабрь'!$AP$3=0,'Декабрь'!$AP$6=0),"",'Декабрь'!$AP$9)</f>
        <v/>
      </c>
      <c r="F21" s="22">
        <f>IF(OR('Декабрь'!$AP$3=0,'Декабрь'!$AP$6=0),"",MAX('Декабрь'!$AN$12:$AN$26))</f>
        <v/>
      </c>
      <c r="G21" s="22">
        <f>IF(OR('Декабрь'!$AP$3=0,'Декабрь'!$AP$6=0),"",IFERROR(ROUND(AVERAGE('Декабрь'!$E$30:$AI$30),1),"—"))</f>
        <v/>
      </c>
      <c r="H21" s="22">
        <f>IF(OR('Декабрь'!$AP$3=0,'Декабрь'!$AP$6=0),"",IFERROR(ROUND(AVERAGE('Декабрь'!$E$31:$AI$31),1),"—"))</f>
        <v/>
      </c>
    </row>
    <row r="22" spans="2:15" ht="22" customHeight="1" x14ac:dyDescent="0.25">
      <c r="B22" s="23" t="s">
        <v>88</v>
      </c>
      <c r="C22" s="24">
        <f>IFERROR(AVERAGE($C$10:$C$21),0)</f>
        <v>0.785483870967742</v>
      </c>
      <c r="D22" s="25">
        <f>SUM($D$10:$D$21)</f>
        <v>447</v>
      </c>
      <c r="E22" s="25">
        <f>SUM($E$10:$E$21)</f>
        <v>7</v>
      </c>
      <c r="F22" s="25">
        <f>MAX(0,MAX($F$10:$F$21))</f>
        <v>17</v>
      </c>
      <c r="G22" s="25">
        <f>IFERROR(ROUND(AVERAGE($G$10:$G$21),1),"—")</f>
        <v>7</v>
      </c>
      <c r="H22" s="25">
        <f>IFERROR(ROUND(AVERAGE($H$10:$H$21),1),"—")</f>
        <v>3.8</v>
      </c>
    </row>
    <row r="24" spans="2:15" ht="18" customHeight="1" x14ac:dyDescent="0.25">
      <c r="B24" s="26" t="s">
        <v>89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</row>
    <row r="25" spans="2:15" ht="15" customHeight="1" x14ac:dyDescent="0.25"/>
    <row r="26" spans="2:15" ht="15" customHeight="1" x14ac:dyDescent="0.25"/>
    <row r="27" spans="2:15" ht="15" customHeight="1" x14ac:dyDescent="0.25"/>
    <row r="28" spans="2:15" ht="15" customHeight="1" x14ac:dyDescent="0.25"/>
    <row r="29" spans="2:15" ht="15" customHeight="1" x14ac:dyDescent="0.25"/>
    <row r="30" spans="2:15" ht="15" customHeight="1" x14ac:dyDescent="0.25"/>
    <row r="31" spans="2:15" ht="15" customHeight="1" x14ac:dyDescent="0.25"/>
    <row r="32" spans="2:15" ht="15" customHeight="1" x14ac:dyDescent="0.25"/>
    <row r="33" spans="2:15" ht="15" customHeight="1" x14ac:dyDescent="0.25"/>
    <row r="34" spans="2:15" ht="15" customHeight="1" x14ac:dyDescent="0.25"/>
    <row r="35" spans="2:15" ht="15" customHeight="1" x14ac:dyDescent="0.25"/>
    <row r="36" spans="2:15" ht="15" customHeight="1" x14ac:dyDescent="0.25"/>
    <row r="37" spans="2:15" ht="15" customHeight="1" x14ac:dyDescent="0.25"/>
    <row r="38" spans="2:15" ht="15" customHeight="1" x14ac:dyDescent="0.25"/>
    <row r="40" spans="2:15" ht="18" customHeight="1" x14ac:dyDescent="0.25">
      <c r="B40" s="26" t="s">
        <v>90</v>
      </c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</row>
    <row r="41" spans="2:15" ht="20" customHeight="1" x14ac:dyDescent="0.25">
      <c r="B41" s="19" t="s">
        <v>12</v>
      </c>
      <c r="C41" s="10" t="s">
        <v>91</v>
      </c>
      <c r="D41" s="10" t="s">
        <v>92</v>
      </c>
      <c r="E41" s="10" t="s">
        <v>93</v>
      </c>
      <c r="F41" s="10" t="s">
        <v>94</v>
      </c>
      <c r="G41" s="10" t="s">
        <v>95</v>
      </c>
      <c r="H41" s="10" t="s">
        <v>96</v>
      </c>
      <c r="I41" s="10" t="s">
        <v>97</v>
      </c>
      <c r="J41" s="10" t="s">
        <v>98</v>
      </c>
      <c r="K41" s="10" t="s">
        <v>99</v>
      </c>
      <c r="L41" s="10" t="s">
        <v>100</v>
      </c>
      <c r="M41" s="10" t="s">
        <v>101</v>
      </c>
      <c r="N41" s="10" t="s">
        <v>102</v>
      </c>
      <c r="O41" s="10" t="s">
        <v>3</v>
      </c>
    </row>
    <row r="42" spans="2:15" ht="18" customHeight="1" x14ac:dyDescent="0.25">
      <c r="B42" s="27" t="str">
        <f>IF('Старт'!$D$12="","",'Старт'!$D$12)</f>
        <v>Подъём до 7:00</v>
      </c>
      <c r="C42" s="28">
        <f>IF(OR('Январь'!$AP$3=0,'Январь'!$AP$6=0,'Январь'!$AL$12=""),"",'Январь'!$AL$12)</f>
        <v/>
      </c>
      <c r="D42" s="28">
        <f>IF(OR('Февраль'!$AP$3=0,'Февраль'!$AP$6=0,'Февраль'!$AL$12=""),"",'Февраль'!$AL$12)</f>
        <v/>
      </c>
      <c r="E42" s="28">
        <f>IF(OR('Март'!$AP$3=0,'Март'!$AP$6=0,'Март'!$AL$12=""),"",'Март'!$AL$12)</f>
        <v/>
      </c>
      <c r="F42" s="28">
        <f>IF(OR('Апрель'!$AP$3=0,'Апрель'!$AP$6=0,'Апрель'!$AL$12=""),"",'Апрель'!$AL$12)</f>
        <v/>
      </c>
      <c r="G42" s="28">
        <f>IF(OR('Май'!$AP$3=0,'Май'!$AP$6=0,'Май'!$AL$12=""),"",'Май'!$AL$12)</f>
        <v/>
      </c>
      <c r="H42" s="28">
        <f>IF(OR('Июнь'!$AP$3=0,'Июнь'!$AP$6=0,'Июнь'!$AL$12=""),"",'Июнь'!$AL$12)</f>
        <v/>
      </c>
      <c r="I42" s="28">
        <f>IF(OR('Июль'!$AP$3=0,'Июль'!$AP$6=0,'Июль'!$AL$12=""),"",'Июль'!$AL$12)</f>
        <v>0.903225806451613</v>
      </c>
      <c r="J42" s="28">
        <f>IF(OR('Август'!$AP$3=0,'Август'!$AP$6=0,'Август'!$AL$12=""),"",'Август'!$AL$12)</f>
        <v>0.709677419354839</v>
      </c>
      <c r="K42" s="28">
        <f>IF(OR('Сентябрь'!$AP$3=0,'Сентябрь'!$AP$6=0,'Сентябрь'!$AL$12=""),"",'Сентябрь'!$AL$12)</f>
        <v>0.95</v>
      </c>
      <c r="L42" s="28">
        <f>IF(OR('Октябрь'!$AP$3=0,'Октябрь'!$AP$6=0,'Октябрь'!$AL$12=""),"",'Октябрь'!$AL$12)</f>
        <v/>
      </c>
      <c r="M42" s="28">
        <f>IF(OR('Ноябрь'!$AP$3=0,'Ноябрь'!$AP$6=0,'Ноябрь'!$AL$12=""),"",'Ноябрь'!$AL$12)</f>
        <v/>
      </c>
      <c r="N42" s="28">
        <f>IF(OR('Декабрь'!$AP$3=0,'Декабрь'!$AP$6=0,'Декабрь'!$AL$12=""),"",'Декабрь'!$AL$12)</f>
        <v/>
      </c>
      <c r="O42" s="28">
        <f>IFERROR(AVERAGE($C$42:$N$42),"")</f>
        <v>0.854301075268817</v>
      </c>
    </row>
    <row r="43" spans="2:15" ht="18" customHeight="1" x14ac:dyDescent="0.25">
      <c r="B43" s="27" t="str">
        <f>IF('Старт'!$D$13="","",'Старт'!$D$13)</f>
        <v>Тренировка</v>
      </c>
      <c r="C43" s="28">
        <f>IF(OR('Январь'!$AP$3=0,'Январь'!$AP$6=0,'Январь'!$AL$13=""),"",'Январь'!$AL$13)</f>
        <v/>
      </c>
      <c r="D43" s="28">
        <f>IF(OR('Февраль'!$AP$3=0,'Февраль'!$AP$6=0,'Февраль'!$AL$13=""),"",'Февраль'!$AL$13)</f>
        <v/>
      </c>
      <c r="E43" s="28">
        <f>IF(OR('Март'!$AP$3=0,'Март'!$AP$6=0,'Март'!$AL$13=""),"",'Март'!$AL$13)</f>
        <v/>
      </c>
      <c r="F43" s="28">
        <f>IF(OR('Апрель'!$AP$3=0,'Апрель'!$AP$6=0,'Апрель'!$AL$13=""),"",'Апрель'!$AL$13)</f>
        <v/>
      </c>
      <c r="G43" s="28">
        <f>IF(OR('Май'!$AP$3=0,'Май'!$AP$6=0,'Май'!$AL$13=""),"",'Май'!$AL$13)</f>
        <v/>
      </c>
      <c r="H43" s="28">
        <f>IF(OR('Июнь'!$AP$3=0,'Июнь'!$AP$6=0,'Июнь'!$AL$13=""),"",'Июнь'!$AL$13)</f>
        <v/>
      </c>
      <c r="I43" s="28">
        <f>IF(OR('Июль'!$AP$3=0,'Июль'!$AP$6=0,'Июль'!$AL$13=""),"",'Июль'!$AL$13)</f>
        <v>1</v>
      </c>
      <c r="J43" s="28">
        <f>IF(OR('Август'!$AP$3=0,'Август'!$AP$6=0,'Август'!$AL$13=""),"",'Август'!$AL$13)</f>
        <v>1</v>
      </c>
      <c r="K43" s="28">
        <f>IF(OR('Сентябрь'!$AP$3=0,'Сентябрь'!$AP$6=0,'Сентябрь'!$AL$13=""),"",'Сентябрь'!$AL$13)</f>
        <v>1</v>
      </c>
      <c r="L43" s="28">
        <f>IF(OR('Октябрь'!$AP$3=0,'Октябрь'!$AP$6=0,'Октябрь'!$AL$13=""),"",'Октябрь'!$AL$13)</f>
        <v/>
      </c>
      <c r="M43" s="28">
        <f>IF(OR('Ноябрь'!$AP$3=0,'Ноябрь'!$AP$6=0,'Ноябрь'!$AL$13=""),"",'Ноябрь'!$AL$13)</f>
        <v/>
      </c>
      <c r="N43" s="28">
        <f>IF(OR('Декабрь'!$AP$3=0,'Декабрь'!$AP$6=0,'Декабрь'!$AL$13=""),"",'Декабрь'!$AL$13)</f>
        <v/>
      </c>
      <c r="O43" s="28">
        <f>IFERROR(AVERAGE($C$43:$N$43),"")</f>
        <v>1</v>
      </c>
    </row>
    <row r="44" spans="2:15" ht="18" customHeight="1" x14ac:dyDescent="0.25">
      <c r="B44" s="27" t="str">
        <f>IF('Старт'!$D$14="","",'Старт'!$D$14)</f>
        <v>10 000 шагов</v>
      </c>
      <c r="C44" s="28">
        <f>IF(OR('Январь'!$AP$3=0,'Январь'!$AP$6=0,'Январь'!$AL$14=""),"",'Январь'!$AL$14)</f>
        <v/>
      </c>
      <c r="D44" s="28">
        <f>IF(OR('Февраль'!$AP$3=0,'Февраль'!$AP$6=0,'Февраль'!$AL$14=""),"",'Февраль'!$AL$14)</f>
        <v/>
      </c>
      <c r="E44" s="28">
        <f>IF(OR('Март'!$AP$3=0,'Март'!$AP$6=0,'Март'!$AL$14=""),"",'Март'!$AL$14)</f>
        <v/>
      </c>
      <c r="F44" s="28">
        <f>IF(OR('Апрель'!$AP$3=0,'Апрель'!$AP$6=0,'Апрель'!$AL$14=""),"",'Апрель'!$AL$14)</f>
        <v/>
      </c>
      <c r="G44" s="28">
        <f>IF(OR('Май'!$AP$3=0,'Май'!$AP$6=0,'Май'!$AL$14=""),"",'Май'!$AL$14)</f>
        <v/>
      </c>
      <c r="H44" s="28">
        <f>IF(OR('Июнь'!$AP$3=0,'Июнь'!$AP$6=0,'Июнь'!$AL$14=""),"",'Июнь'!$AL$14)</f>
        <v/>
      </c>
      <c r="I44" s="28">
        <f>IF(OR('Июль'!$AP$3=0,'Июль'!$AP$6=0,'Июль'!$AL$14=""),"",'Июль'!$AL$14)</f>
        <v>0.741935483870968</v>
      </c>
      <c r="J44" s="28">
        <f>IF(OR('Август'!$AP$3=0,'Август'!$AP$6=0,'Август'!$AL$14=""),"",'Август'!$AL$14)</f>
        <v>0.741935483870968</v>
      </c>
      <c r="K44" s="28">
        <f>IF(OR('Сентябрь'!$AP$3=0,'Сентябрь'!$AP$6=0,'Сентябрь'!$AL$14=""),"",'Сентябрь'!$AL$14)</f>
        <v>0.65</v>
      </c>
      <c r="L44" s="28">
        <f>IF(OR('Октябрь'!$AP$3=0,'Октябрь'!$AP$6=0,'Октябрь'!$AL$14=""),"",'Октябрь'!$AL$14)</f>
        <v/>
      </c>
      <c r="M44" s="28">
        <f>IF(OR('Ноябрь'!$AP$3=0,'Ноябрь'!$AP$6=0,'Ноябрь'!$AL$14=""),"",'Ноябрь'!$AL$14)</f>
        <v/>
      </c>
      <c r="N44" s="28">
        <f>IF(OR('Декабрь'!$AP$3=0,'Декабрь'!$AP$6=0,'Декабрь'!$AL$14=""),"",'Декабрь'!$AL$14)</f>
        <v/>
      </c>
      <c r="O44" s="28">
        <f>IFERROR(AVERAGE($C$44:$N$44),"")</f>
        <v>0.711290322580645</v>
      </c>
    </row>
    <row r="45" spans="2:15" ht="18" customHeight="1" x14ac:dyDescent="0.25">
      <c r="B45" s="27" t="str">
        <f>IF('Старт'!$D$15="","",'Старт'!$D$15)</f>
        <v>Чтение 20 минут</v>
      </c>
      <c r="C45" s="28">
        <f>IF(OR('Январь'!$AP$3=0,'Январь'!$AP$6=0,'Январь'!$AL$15=""),"",'Январь'!$AL$15)</f>
        <v/>
      </c>
      <c r="D45" s="28">
        <f>IF(OR('Февраль'!$AP$3=0,'Февраль'!$AP$6=0,'Февраль'!$AL$15=""),"",'Февраль'!$AL$15)</f>
        <v/>
      </c>
      <c r="E45" s="28">
        <f>IF(OR('Март'!$AP$3=0,'Март'!$AP$6=0,'Март'!$AL$15=""),"",'Март'!$AL$15)</f>
        <v/>
      </c>
      <c r="F45" s="28">
        <f>IF(OR('Апрель'!$AP$3=0,'Апрель'!$AP$6=0,'Апрель'!$AL$15=""),"",'Апрель'!$AL$15)</f>
        <v/>
      </c>
      <c r="G45" s="28">
        <f>IF(OR('Май'!$AP$3=0,'Май'!$AP$6=0,'Май'!$AL$15=""),"",'Май'!$AL$15)</f>
        <v/>
      </c>
      <c r="H45" s="28">
        <f>IF(OR('Июнь'!$AP$3=0,'Июнь'!$AP$6=0,'Июнь'!$AL$15=""),"",'Июнь'!$AL$15)</f>
        <v/>
      </c>
      <c r="I45" s="28">
        <f>IF(OR('Июль'!$AP$3=0,'Июль'!$AP$6=0,'Июль'!$AL$15=""),"",'Июль'!$AL$15)</f>
        <v>0.806451612903226</v>
      </c>
      <c r="J45" s="28">
        <f>IF(OR('Август'!$AP$3=0,'Август'!$AP$6=0,'Август'!$AL$15=""),"",'Август'!$AL$15)</f>
        <v>0.709677419354839</v>
      </c>
      <c r="K45" s="28">
        <f>IF(OR('Сентябрь'!$AP$3=0,'Сентябрь'!$AP$6=0,'Сентябрь'!$AL$15=""),"",'Сентябрь'!$AL$15)</f>
        <v>0.95</v>
      </c>
      <c r="L45" s="28">
        <f>IF(OR('Октябрь'!$AP$3=0,'Октябрь'!$AP$6=0,'Октябрь'!$AL$15=""),"",'Октябрь'!$AL$15)</f>
        <v/>
      </c>
      <c r="M45" s="28">
        <f>IF(OR('Ноябрь'!$AP$3=0,'Ноябрь'!$AP$6=0,'Ноябрь'!$AL$15=""),"",'Ноябрь'!$AL$15)</f>
        <v/>
      </c>
      <c r="N45" s="28">
        <f>IF(OR('Декабрь'!$AP$3=0,'Декабрь'!$AP$6=0,'Декабрь'!$AL$15=""),"",'Декабрь'!$AL$15)</f>
        <v/>
      </c>
      <c r="O45" s="28">
        <f>IFERROR(AVERAGE($C$45:$N$45),"")</f>
        <v>0.822043010752688</v>
      </c>
    </row>
    <row r="46" spans="2:15" ht="18" customHeight="1" x14ac:dyDescent="0.25">
      <c r="B46" s="27" t="str">
        <f>IF('Старт'!$D$16="","",'Старт'!$D$16)</f>
        <v>Медитация 10 минут</v>
      </c>
      <c r="C46" s="28">
        <f>IF(OR('Январь'!$AP$3=0,'Январь'!$AP$6=0,'Январь'!$AL$16=""),"",'Январь'!$AL$16)</f>
        <v/>
      </c>
      <c r="D46" s="28">
        <f>IF(OR('Февраль'!$AP$3=0,'Февраль'!$AP$6=0,'Февраль'!$AL$16=""),"",'Февраль'!$AL$16)</f>
        <v/>
      </c>
      <c r="E46" s="28">
        <f>IF(OR('Март'!$AP$3=0,'Март'!$AP$6=0,'Март'!$AL$16=""),"",'Март'!$AL$16)</f>
        <v/>
      </c>
      <c r="F46" s="28">
        <f>IF(OR('Апрель'!$AP$3=0,'Апрель'!$AP$6=0,'Апрель'!$AL$16=""),"",'Апрель'!$AL$16)</f>
        <v/>
      </c>
      <c r="G46" s="28">
        <f>IF(OR('Май'!$AP$3=0,'Май'!$AP$6=0,'Май'!$AL$16=""),"",'Май'!$AL$16)</f>
        <v/>
      </c>
      <c r="H46" s="28">
        <f>IF(OR('Июнь'!$AP$3=0,'Июнь'!$AP$6=0,'Июнь'!$AL$16=""),"",'Июнь'!$AL$16)</f>
        <v/>
      </c>
      <c r="I46" s="28">
        <f>IF(OR('Июль'!$AP$3=0,'Июль'!$AP$6=0,'Июль'!$AL$16=""),"",'Июль'!$AL$16)</f>
        <v>0.612903225806452</v>
      </c>
      <c r="J46" s="28">
        <f>IF(OR('Август'!$AP$3=0,'Август'!$AP$6=0,'Август'!$AL$16=""),"",'Август'!$AL$16)</f>
        <v>0.67741935483871</v>
      </c>
      <c r="K46" s="28">
        <f>IF(OR('Сентябрь'!$AP$3=0,'Сентябрь'!$AP$6=0,'Сентябрь'!$AL$16=""),"",'Сентябрь'!$AL$16)</f>
        <v>0.55</v>
      </c>
      <c r="L46" s="28">
        <f>IF(OR('Октябрь'!$AP$3=0,'Октябрь'!$AP$6=0,'Октябрь'!$AL$16=""),"",'Октябрь'!$AL$16)</f>
        <v/>
      </c>
      <c r="M46" s="28">
        <f>IF(OR('Ноябрь'!$AP$3=0,'Ноябрь'!$AP$6=0,'Ноябрь'!$AL$16=""),"",'Ноябрь'!$AL$16)</f>
        <v/>
      </c>
      <c r="N46" s="28">
        <f>IF(OR('Декабрь'!$AP$3=0,'Декабрь'!$AP$6=0,'Декабрь'!$AL$16=""),"",'Декабрь'!$AL$16)</f>
        <v/>
      </c>
      <c r="O46" s="28">
        <f>IFERROR(AVERAGE($C$46:$N$46),"")</f>
        <v>0.613440860215054</v>
      </c>
    </row>
    <row r="47" spans="2:15" ht="18" customHeight="1" x14ac:dyDescent="0.25">
      <c r="B47" s="27" t="str">
        <f>IF('Старт'!$D$17="","",'Старт'!$D$17)</f>
        <v>Без сахара</v>
      </c>
      <c r="C47" s="28">
        <f>IF(OR('Январь'!$AP$3=0,'Январь'!$AP$6=0,'Январь'!$AL$17=""),"",'Январь'!$AL$17)</f>
        <v/>
      </c>
      <c r="D47" s="28">
        <f>IF(OR('Февраль'!$AP$3=0,'Февраль'!$AP$6=0,'Февраль'!$AL$17=""),"",'Февраль'!$AL$17)</f>
        <v/>
      </c>
      <c r="E47" s="28">
        <f>IF(OR('Март'!$AP$3=0,'Март'!$AP$6=0,'Март'!$AL$17=""),"",'Март'!$AL$17)</f>
        <v/>
      </c>
      <c r="F47" s="28">
        <f>IF(OR('Апрель'!$AP$3=0,'Апрель'!$AP$6=0,'Апрель'!$AL$17=""),"",'Апрель'!$AL$17)</f>
        <v/>
      </c>
      <c r="G47" s="28">
        <f>IF(OR('Май'!$AP$3=0,'Май'!$AP$6=0,'Май'!$AL$17=""),"",'Май'!$AL$17)</f>
        <v/>
      </c>
      <c r="H47" s="28">
        <f>IF(OR('Июнь'!$AP$3=0,'Июнь'!$AP$6=0,'Июнь'!$AL$17=""),"",'Июнь'!$AL$17)</f>
        <v/>
      </c>
      <c r="I47" s="28">
        <f>IF(OR('Июль'!$AP$3=0,'Июль'!$AP$6=0,'Июль'!$AL$17=""),"",'Июль'!$AL$17)</f>
        <v>0.451612903225806</v>
      </c>
      <c r="J47" s="28">
        <f>IF(OR('Август'!$AP$3=0,'Август'!$AP$6=0,'Август'!$AL$17=""),"",'Август'!$AL$17)</f>
        <v>0.451612903225806</v>
      </c>
      <c r="K47" s="28">
        <f>IF(OR('Сентябрь'!$AP$3=0,'Сентябрь'!$AP$6=0,'Сентябрь'!$AL$17=""),"",'Сентябрь'!$AL$17)</f>
        <v>0.55</v>
      </c>
      <c r="L47" s="28">
        <f>IF(OR('Октябрь'!$AP$3=0,'Октябрь'!$AP$6=0,'Октябрь'!$AL$17=""),"",'Октябрь'!$AL$17)</f>
        <v/>
      </c>
      <c r="M47" s="28">
        <f>IF(OR('Ноябрь'!$AP$3=0,'Ноябрь'!$AP$6=0,'Ноябрь'!$AL$17=""),"",'Ноябрь'!$AL$17)</f>
        <v/>
      </c>
      <c r="N47" s="28">
        <f>IF(OR('Декабрь'!$AP$3=0,'Декабрь'!$AP$6=0,'Декабрь'!$AL$17=""),"",'Декабрь'!$AL$17)</f>
        <v/>
      </c>
      <c r="O47" s="28">
        <f>IFERROR(AVERAGE($C$47:$N$47),"")</f>
        <v>0.484408602150538</v>
      </c>
    </row>
    <row r="48" spans="2:15" ht="18" customHeight="1" x14ac:dyDescent="0.25">
      <c r="B48" s="27" t="str">
        <f>IF('Старт'!$D$18="","",'Старт'!$D$18)</f>
        <v>План на завтра</v>
      </c>
      <c r="C48" s="28">
        <f>IF(OR('Январь'!$AP$3=0,'Январь'!$AP$6=0,'Январь'!$AL$18=""),"",'Январь'!$AL$18)</f>
        <v/>
      </c>
      <c r="D48" s="28">
        <f>IF(OR('Февраль'!$AP$3=0,'Февраль'!$AP$6=0,'Февраль'!$AL$18=""),"",'Февраль'!$AL$18)</f>
        <v/>
      </c>
      <c r="E48" s="28">
        <f>IF(OR('Март'!$AP$3=0,'Март'!$AP$6=0,'Март'!$AL$18=""),"",'Март'!$AL$18)</f>
        <v/>
      </c>
      <c r="F48" s="28">
        <f>IF(OR('Апрель'!$AP$3=0,'Апрель'!$AP$6=0,'Апрель'!$AL$18=""),"",'Апрель'!$AL$18)</f>
        <v/>
      </c>
      <c r="G48" s="28">
        <f>IF(OR('Май'!$AP$3=0,'Май'!$AP$6=0,'Май'!$AL$18=""),"",'Май'!$AL$18)</f>
        <v/>
      </c>
      <c r="H48" s="28">
        <f>IF(OR('Июнь'!$AP$3=0,'Июнь'!$AP$6=0,'Июнь'!$AL$18=""),"",'Июнь'!$AL$18)</f>
        <v/>
      </c>
      <c r="I48" s="28">
        <f>IF(OR('Июль'!$AP$3=0,'Июль'!$AP$6=0,'Июль'!$AL$18=""),"",'Июль'!$AL$18)</f>
        <v>0.838709677419355</v>
      </c>
      <c r="J48" s="28">
        <f>IF(OR('Август'!$AP$3=0,'Август'!$AP$6=0,'Август'!$AL$18=""),"",'Август'!$AL$18)</f>
        <v>0.806451612903226</v>
      </c>
      <c r="K48" s="28">
        <f>IF(OR('Сентябрь'!$AP$3=0,'Сентябрь'!$AP$6=0,'Сентябрь'!$AL$18=""),"",'Сентябрь'!$AL$18)</f>
        <v>0.95</v>
      </c>
      <c r="L48" s="28">
        <f>IF(OR('Октябрь'!$AP$3=0,'Октябрь'!$AP$6=0,'Октябрь'!$AL$18=""),"",'Октябрь'!$AL$18)</f>
        <v/>
      </c>
      <c r="M48" s="28">
        <f>IF(OR('Ноябрь'!$AP$3=0,'Ноябрь'!$AP$6=0,'Ноябрь'!$AL$18=""),"",'Ноябрь'!$AL$18)</f>
        <v/>
      </c>
      <c r="N48" s="28">
        <f>IF(OR('Декабрь'!$AP$3=0,'Декабрь'!$AP$6=0,'Декабрь'!$AL$18=""),"",'Декабрь'!$AL$18)</f>
        <v/>
      </c>
      <c r="O48" s="28">
        <f>IFERROR(AVERAGE($C$48:$N$48),"")</f>
        <v>0.86505376344086</v>
      </c>
    </row>
    <row r="49" spans="2:15" ht="18" customHeight="1" x14ac:dyDescent="0.25">
      <c r="B49" s="27" t="str">
        <f>IF('Старт'!$D$19="","",'Старт'!$D$19)</f>
        <v>Английский 15 минут</v>
      </c>
      <c r="C49" s="28">
        <f>IF(OR('Январь'!$AP$3=0,'Январь'!$AP$6=0,'Январь'!$AL$19=""),"",'Январь'!$AL$19)</f>
        <v/>
      </c>
      <c r="D49" s="28">
        <f>IF(OR('Февраль'!$AP$3=0,'Февраль'!$AP$6=0,'Февраль'!$AL$19=""),"",'Февраль'!$AL$19)</f>
        <v/>
      </c>
      <c r="E49" s="28">
        <f>IF(OR('Март'!$AP$3=0,'Март'!$AP$6=0,'Март'!$AL$19=""),"",'Март'!$AL$19)</f>
        <v/>
      </c>
      <c r="F49" s="28">
        <f>IF(OR('Апрель'!$AP$3=0,'Апрель'!$AP$6=0,'Апрель'!$AL$19=""),"",'Апрель'!$AL$19)</f>
        <v/>
      </c>
      <c r="G49" s="28">
        <f>IF(OR('Май'!$AP$3=0,'Май'!$AP$6=0,'Май'!$AL$19=""),"",'Май'!$AL$19)</f>
        <v/>
      </c>
      <c r="H49" s="28">
        <f>IF(OR('Июнь'!$AP$3=0,'Июнь'!$AP$6=0,'Июнь'!$AL$19=""),"",'Июнь'!$AL$19)</f>
        <v/>
      </c>
      <c r="I49" s="28">
        <f>IF(OR('Июль'!$AP$3=0,'Июль'!$AP$6=0,'Июль'!$AL$19=""),"",'Июль'!$AL$19)</f>
        <v>0.9</v>
      </c>
      <c r="J49" s="28">
        <f>IF(OR('Август'!$AP$3=0,'Август'!$AP$6=0,'Август'!$AL$19=""),"",'Август'!$AL$19)</f>
        <v>0.9</v>
      </c>
      <c r="K49" s="28">
        <f>IF(OR('Сентябрь'!$AP$3=0,'Сентябрь'!$AP$6=0,'Сентябрь'!$AL$19=""),"",'Сентябрь'!$AL$19)</f>
        <v>1</v>
      </c>
      <c r="L49" s="28">
        <f>IF(OR('Октябрь'!$AP$3=0,'Октябрь'!$AP$6=0,'Октябрь'!$AL$19=""),"",'Октябрь'!$AL$19)</f>
        <v/>
      </c>
      <c r="M49" s="28">
        <f>IF(OR('Ноябрь'!$AP$3=0,'Ноябрь'!$AP$6=0,'Ноябрь'!$AL$19=""),"",'Ноябрь'!$AL$19)</f>
        <v/>
      </c>
      <c r="N49" s="28">
        <f>IF(OR('Декабрь'!$AP$3=0,'Декабрь'!$AP$6=0,'Декабрь'!$AL$19=""),"",'Декабрь'!$AL$19)</f>
        <v/>
      </c>
      <c r="O49" s="28">
        <f>IFERROR(AVERAGE($C$49:$N$49),"")</f>
        <v>0.933333333333333</v>
      </c>
    </row>
    <row r="50" spans="2:15" ht="18" customHeight="1" x14ac:dyDescent="0.25">
      <c r="B50" s="27">
        <f>IF('Старт'!$D$20="","",'Старт'!$D$20)</f>
        <v/>
      </c>
      <c r="C50" s="28">
        <f>IF(OR('Январь'!$AP$3=0,'Январь'!$AP$6=0,'Январь'!$AL$20=""),"",'Январь'!$AL$20)</f>
        <v/>
      </c>
      <c r="D50" s="28">
        <f>IF(OR('Февраль'!$AP$3=0,'Февраль'!$AP$6=0,'Февраль'!$AL$20=""),"",'Февраль'!$AL$20)</f>
        <v/>
      </c>
      <c r="E50" s="28">
        <f>IF(OR('Март'!$AP$3=0,'Март'!$AP$6=0,'Март'!$AL$20=""),"",'Март'!$AL$20)</f>
        <v/>
      </c>
      <c r="F50" s="28">
        <f>IF(OR('Апрель'!$AP$3=0,'Апрель'!$AP$6=0,'Апрель'!$AL$20=""),"",'Апрель'!$AL$20)</f>
        <v/>
      </c>
      <c r="G50" s="28">
        <f>IF(OR('Май'!$AP$3=0,'Май'!$AP$6=0,'Май'!$AL$20=""),"",'Май'!$AL$20)</f>
        <v/>
      </c>
      <c r="H50" s="28">
        <f>IF(OR('Июнь'!$AP$3=0,'Июнь'!$AP$6=0,'Июнь'!$AL$20=""),"",'Июнь'!$AL$20)</f>
        <v/>
      </c>
      <c r="I50" s="28">
        <f>IF(OR('Июль'!$AP$3=0,'Июль'!$AP$6=0,'Июль'!$AL$20=""),"",'Июль'!$AL$20)</f>
        <v/>
      </c>
      <c r="J50" s="28">
        <f>IF(OR('Август'!$AP$3=0,'Август'!$AP$6=0,'Август'!$AL$20=""),"",'Август'!$AL$20)</f>
        <v/>
      </c>
      <c r="K50" s="28">
        <f>IF(OR('Сентябрь'!$AP$3=0,'Сентябрь'!$AP$6=0,'Сентябрь'!$AL$20=""),"",'Сентябрь'!$AL$20)</f>
        <v/>
      </c>
      <c r="L50" s="28">
        <f>IF(OR('Октябрь'!$AP$3=0,'Октябрь'!$AP$6=0,'Октябрь'!$AL$20=""),"",'Октябрь'!$AL$20)</f>
        <v/>
      </c>
      <c r="M50" s="28">
        <f>IF(OR('Ноябрь'!$AP$3=0,'Ноябрь'!$AP$6=0,'Ноябрь'!$AL$20=""),"",'Ноябрь'!$AL$20)</f>
        <v/>
      </c>
      <c r="N50" s="28">
        <f>IF(OR('Декабрь'!$AP$3=0,'Декабрь'!$AP$6=0,'Декабрь'!$AL$20=""),"",'Декабрь'!$AL$20)</f>
        <v/>
      </c>
      <c r="O50" s="28">
        <f>IFERROR(AVERAGE($C$50:$N$50),"")</f>
        <v/>
      </c>
    </row>
    <row r="51" spans="2:15" ht="18" customHeight="1" x14ac:dyDescent="0.25">
      <c r="B51" s="27">
        <f>IF('Старт'!$D$21="","",'Старт'!$D$21)</f>
        <v/>
      </c>
      <c r="C51" s="28">
        <f>IF(OR('Январь'!$AP$3=0,'Январь'!$AP$6=0,'Январь'!$AL$21=""),"",'Январь'!$AL$21)</f>
        <v/>
      </c>
      <c r="D51" s="28">
        <f>IF(OR('Февраль'!$AP$3=0,'Февраль'!$AP$6=0,'Февраль'!$AL$21=""),"",'Февраль'!$AL$21)</f>
        <v/>
      </c>
      <c r="E51" s="28">
        <f>IF(OR('Март'!$AP$3=0,'Март'!$AP$6=0,'Март'!$AL$21=""),"",'Март'!$AL$21)</f>
        <v/>
      </c>
      <c r="F51" s="28">
        <f>IF(OR('Апрель'!$AP$3=0,'Апрель'!$AP$6=0,'Апрель'!$AL$21=""),"",'Апрель'!$AL$21)</f>
        <v/>
      </c>
      <c r="G51" s="28">
        <f>IF(OR('Май'!$AP$3=0,'Май'!$AP$6=0,'Май'!$AL$21=""),"",'Май'!$AL$21)</f>
        <v/>
      </c>
      <c r="H51" s="28">
        <f>IF(OR('Июнь'!$AP$3=0,'Июнь'!$AP$6=0,'Июнь'!$AL$21=""),"",'Июнь'!$AL$21)</f>
        <v/>
      </c>
      <c r="I51" s="28">
        <f>IF(OR('Июль'!$AP$3=0,'Июль'!$AP$6=0,'Июль'!$AL$21=""),"",'Июль'!$AL$21)</f>
        <v/>
      </c>
      <c r="J51" s="28">
        <f>IF(OR('Август'!$AP$3=0,'Август'!$AP$6=0,'Август'!$AL$21=""),"",'Август'!$AL$21)</f>
        <v/>
      </c>
      <c r="K51" s="28">
        <f>IF(OR('Сентябрь'!$AP$3=0,'Сентябрь'!$AP$6=0,'Сентябрь'!$AL$21=""),"",'Сентябрь'!$AL$21)</f>
        <v/>
      </c>
      <c r="L51" s="28">
        <f>IF(OR('Октябрь'!$AP$3=0,'Октябрь'!$AP$6=0,'Октябрь'!$AL$21=""),"",'Октябрь'!$AL$21)</f>
        <v/>
      </c>
      <c r="M51" s="28">
        <f>IF(OR('Ноябрь'!$AP$3=0,'Ноябрь'!$AP$6=0,'Ноябрь'!$AL$21=""),"",'Ноябрь'!$AL$21)</f>
        <v/>
      </c>
      <c r="N51" s="28">
        <f>IF(OR('Декабрь'!$AP$3=0,'Декабрь'!$AP$6=0,'Декабрь'!$AL$21=""),"",'Декабрь'!$AL$21)</f>
        <v/>
      </c>
      <c r="O51" s="28">
        <f>IFERROR(AVERAGE($C$51:$N$51),"")</f>
        <v/>
      </c>
    </row>
    <row r="52" spans="2:15" ht="18" customHeight="1" x14ac:dyDescent="0.25">
      <c r="B52" s="27">
        <f>IF('Старт'!$D$22="","",'Старт'!$D$22)</f>
        <v/>
      </c>
      <c r="C52" s="28">
        <f>IF(OR('Январь'!$AP$3=0,'Январь'!$AP$6=0,'Январь'!$AL$22=""),"",'Январь'!$AL$22)</f>
        <v/>
      </c>
      <c r="D52" s="28">
        <f>IF(OR('Февраль'!$AP$3=0,'Февраль'!$AP$6=0,'Февраль'!$AL$22=""),"",'Февраль'!$AL$22)</f>
        <v/>
      </c>
      <c r="E52" s="28">
        <f>IF(OR('Март'!$AP$3=0,'Март'!$AP$6=0,'Март'!$AL$22=""),"",'Март'!$AL$22)</f>
        <v/>
      </c>
      <c r="F52" s="28">
        <f>IF(OR('Апрель'!$AP$3=0,'Апрель'!$AP$6=0,'Апрель'!$AL$22=""),"",'Апрель'!$AL$22)</f>
        <v/>
      </c>
      <c r="G52" s="28">
        <f>IF(OR('Май'!$AP$3=0,'Май'!$AP$6=0,'Май'!$AL$22=""),"",'Май'!$AL$22)</f>
        <v/>
      </c>
      <c r="H52" s="28">
        <f>IF(OR('Июнь'!$AP$3=0,'Июнь'!$AP$6=0,'Июнь'!$AL$22=""),"",'Июнь'!$AL$22)</f>
        <v/>
      </c>
      <c r="I52" s="28">
        <f>IF(OR('Июль'!$AP$3=0,'Июль'!$AP$6=0,'Июль'!$AL$22=""),"",'Июль'!$AL$22)</f>
        <v/>
      </c>
      <c r="J52" s="28">
        <f>IF(OR('Август'!$AP$3=0,'Август'!$AP$6=0,'Август'!$AL$22=""),"",'Август'!$AL$22)</f>
        <v/>
      </c>
      <c r="K52" s="28">
        <f>IF(OR('Сентябрь'!$AP$3=0,'Сентябрь'!$AP$6=0,'Сентябрь'!$AL$22=""),"",'Сентябрь'!$AL$22)</f>
        <v/>
      </c>
      <c r="L52" s="28">
        <f>IF(OR('Октябрь'!$AP$3=0,'Октябрь'!$AP$6=0,'Октябрь'!$AL$22=""),"",'Октябрь'!$AL$22)</f>
        <v/>
      </c>
      <c r="M52" s="28">
        <f>IF(OR('Ноябрь'!$AP$3=0,'Ноябрь'!$AP$6=0,'Ноябрь'!$AL$22=""),"",'Ноябрь'!$AL$22)</f>
        <v/>
      </c>
      <c r="N52" s="28">
        <f>IF(OR('Декабрь'!$AP$3=0,'Декабрь'!$AP$6=0,'Декабрь'!$AL$22=""),"",'Декабрь'!$AL$22)</f>
        <v/>
      </c>
      <c r="O52" s="28">
        <f>IFERROR(AVERAGE($C$52:$N$52),"")</f>
        <v/>
      </c>
    </row>
    <row r="53" spans="2:15" ht="18" customHeight="1" x14ac:dyDescent="0.25">
      <c r="B53" s="27">
        <f>IF('Старт'!$D$23="","",'Старт'!$D$23)</f>
        <v/>
      </c>
      <c r="C53" s="28">
        <f>IF(OR('Январь'!$AP$3=0,'Январь'!$AP$6=0,'Январь'!$AL$23=""),"",'Январь'!$AL$23)</f>
        <v/>
      </c>
      <c r="D53" s="28">
        <f>IF(OR('Февраль'!$AP$3=0,'Февраль'!$AP$6=0,'Февраль'!$AL$23=""),"",'Февраль'!$AL$23)</f>
        <v/>
      </c>
      <c r="E53" s="28">
        <f>IF(OR('Март'!$AP$3=0,'Март'!$AP$6=0,'Март'!$AL$23=""),"",'Март'!$AL$23)</f>
        <v/>
      </c>
      <c r="F53" s="28">
        <f>IF(OR('Апрель'!$AP$3=0,'Апрель'!$AP$6=0,'Апрель'!$AL$23=""),"",'Апрель'!$AL$23)</f>
        <v/>
      </c>
      <c r="G53" s="28">
        <f>IF(OR('Май'!$AP$3=0,'Май'!$AP$6=0,'Май'!$AL$23=""),"",'Май'!$AL$23)</f>
        <v/>
      </c>
      <c r="H53" s="28">
        <f>IF(OR('Июнь'!$AP$3=0,'Июнь'!$AP$6=0,'Июнь'!$AL$23=""),"",'Июнь'!$AL$23)</f>
        <v/>
      </c>
      <c r="I53" s="28">
        <f>IF(OR('Июль'!$AP$3=0,'Июль'!$AP$6=0,'Июль'!$AL$23=""),"",'Июль'!$AL$23)</f>
        <v/>
      </c>
      <c r="J53" s="28">
        <f>IF(OR('Август'!$AP$3=0,'Август'!$AP$6=0,'Август'!$AL$23=""),"",'Август'!$AL$23)</f>
        <v/>
      </c>
      <c r="K53" s="28">
        <f>IF(OR('Сентябрь'!$AP$3=0,'Сентябрь'!$AP$6=0,'Сентябрь'!$AL$23=""),"",'Сентябрь'!$AL$23)</f>
        <v/>
      </c>
      <c r="L53" s="28">
        <f>IF(OR('Октябрь'!$AP$3=0,'Октябрь'!$AP$6=0,'Октябрь'!$AL$23=""),"",'Октябрь'!$AL$23)</f>
        <v/>
      </c>
      <c r="M53" s="28">
        <f>IF(OR('Ноябрь'!$AP$3=0,'Ноябрь'!$AP$6=0,'Ноябрь'!$AL$23=""),"",'Ноябрь'!$AL$23)</f>
        <v/>
      </c>
      <c r="N53" s="28">
        <f>IF(OR('Декабрь'!$AP$3=0,'Декабрь'!$AP$6=0,'Декабрь'!$AL$23=""),"",'Декабрь'!$AL$23)</f>
        <v/>
      </c>
      <c r="O53" s="28">
        <f>IFERROR(AVERAGE($C$53:$N$53),"")</f>
        <v/>
      </c>
    </row>
    <row r="54" spans="2:15" ht="18" customHeight="1" x14ac:dyDescent="0.25">
      <c r="B54" s="27">
        <f>IF('Старт'!$D$24="","",'Старт'!$D$24)</f>
        <v/>
      </c>
      <c r="C54" s="28">
        <f>IF(OR('Январь'!$AP$3=0,'Январь'!$AP$6=0,'Январь'!$AL$24=""),"",'Январь'!$AL$24)</f>
        <v/>
      </c>
      <c r="D54" s="28">
        <f>IF(OR('Февраль'!$AP$3=0,'Февраль'!$AP$6=0,'Февраль'!$AL$24=""),"",'Февраль'!$AL$24)</f>
        <v/>
      </c>
      <c r="E54" s="28">
        <f>IF(OR('Март'!$AP$3=0,'Март'!$AP$6=0,'Март'!$AL$24=""),"",'Март'!$AL$24)</f>
        <v/>
      </c>
      <c r="F54" s="28">
        <f>IF(OR('Апрель'!$AP$3=0,'Апрель'!$AP$6=0,'Апрель'!$AL$24=""),"",'Апрель'!$AL$24)</f>
        <v/>
      </c>
      <c r="G54" s="28">
        <f>IF(OR('Май'!$AP$3=0,'Май'!$AP$6=0,'Май'!$AL$24=""),"",'Май'!$AL$24)</f>
        <v/>
      </c>
      <c r="H54" s="28">
        <f>IF(OR('Июнь'!$AP$3=0,'Июнь'!$AP$6=0,'Июнь'!$AL$24=""),"",'Июнь'!$AL$24)</f>
        <v/>
      </c>
      <c r="I54" s="28">
        <f>IF(OR('Июль'!$AP$3=0,'Июль'!$AP$6=0,'Июль'!$AL$24=""),"",'Июль'!$AL$24)</f>
        <v/>
      </c>
      <c r="J54" s="28">
        <f>IF(OR('Август'!$AP$3=0,'Август'!$AP$6=0,'Август'!$AL$24=""),"",'Август'!$AL$24)</f>
        <v/>
      </c>
      <c r="K54" s="28">
        <f>IF(OR('Сентябрь'!$AP$3=0,'Сентябрь'!$AP$6=0,'Сентябрь'!$AL$24=""),"",'Сентябрь'!$AL$24)</f>
        <v/>
      </c>
      <c r="L54" s="28">
        <f>IF(OR('Октябрь'!$AP$3=0,'Октябрь'!$AP$6=0,'Октябрь'!$AL$24=""),"",'Октябрь'!$AL$24)</f>
        <v/>
      </c>
      <c r="M54" s="28">
        <f>IF(OR('Ноябрь'!$AP$3=0,'Ноябрь'!$AP$6=0,'Ноябрь'!$AL$24=""),"",'Ноябрь'!$AL$24)</f>
        <v/>
      </c>
      <c r="N54" s="28">
        <f>IF(OR('Декабрь'!$AP$3=0,'Декабрь'!$AP$6=0,'Декабрь'!$AL$24=""),"",'Декабрь'!$AL$24)</f>
        <v/>
      </c>
      <c r="O54" s="28">
        <f>IFERROR(AVERAGE($C$54:$N$54),"")</f>
        <v/>
      </c>
    </row>
    <row r="55" spans="2:15" ht="18" customHeight="1" x14ac:dyDescent="0.25">
      <c r="B55" s="27">
        <f>IF('Старт'!$D$25="","",'Старт'!$D$25)</f>
        <v/>
      </c>
      <c r="C55" s="28">
        <f>IF(OR('Январь'!$AP$3=0,'Январь'!$AP$6=0,'Январь'!$AL$25=""),"",'Январь'!$AL$25)</f>
        <v/>
      </c>
      <c r="D55" s="28">
        <f>IF(OR('Февраль'!$AP$3=0,'Февраль'!$AP$6=0,'Февраль'!$AL$25=""),"",'Февраль'!$AL$25)</f>
        <v/>
      </c>
      <c r="E55" s="28">
        <f>IF(OR('Март'!$AP$3=0,'Март'!$AP$6=0,'Март'!$AL$25=""),"",'Март'!$AL$25)</f>
        <v/>
      </c>
      <c r="F55" s="28">
        <f>IF(OR('Апрель'!$AP$3=0,'Апрель'!$AP$6=0,'Апрель'!$AL$25=""),"",'Апрель'!$AL$25)</f>
        <v/>
      </c>
      <c r="G55" s="28">
        <f>IF(OR('Май'!$AP$3=0,'Май'!$AP$6=0,'Май'!$AL$25=""),"",'Май'!$AL$25)</f>
        <v/>
      </c>
      <c r="H55" s="28">
        <f>IF(OR('Июнь'!$AP$3=0,'Июнь'!$AP$6=0,'Июнь'!$AL$25=""),"",'Июнь'!$AL$25)</f>
        <v/>
      </c>
      <c r="I55" s="28">
        <f>IF(OR('Июль'!$AP$3=0,'Июль'!$AP$6=0,'Июль'!$AL$25=""),"",'Июль'!$AL$25)</f>
        <v/>
      </c>
      <c r="J55" s="28">
        <f>IF(OR('Август'!$AP$3=0,'Август'!$AP$6=0,'Август'!$AL$25=""),"",'Август'!$AL$25)</f>
        <v/>
      </c>
      <c r="K55" s="28">
        <f>IF(OR('Сентябрь'!$AP$3=0,'Сентябрь'!$AP$6=0,'Сентябрь'!$AL$25=""),"",'Сентябрь'!$AL$25)</f>
        <v/>
      </c>
      <c r="L55" s="28">
        <f>IF(OR('Октябрь'!$AP$3=0,'Октябрь'!$AP$6=0,'Октябрь'!$AL$25=""),"",'Октябрь'!$AL$25)</f>
        <v/>
      </c>
      <c r="M55" s="28">
        <f>IF(OR('Ноябрь'!$AP$3=0,'Ноябрь'!$AP$6=0,'Ноябрь'!$AL$25=""),"",'Ноябрь'!$AL$25)</f>
        <v/>
      </c>
      <c r="N55" s="28">
        <f>IF(OR('Декабрь'!$AP$3=0,'Декабрь'!$AP$6=0,'Декабрь'!$AL$25=""),"",'Декабрь'!$AL$25)</f>
        <v/>
      </c>
      <c r="O55" s="28">
        <f>IFERROR(AVERAGE($C$55:$N$55),"")</f>
        <v/>
      </c>
    </row>
    <row r="56" spans="2:15" ht="18" customHeight="1" x14ac:dyDescent="0.25">
      <c r="B56" s="27">
        <f>IF('Старт'!$D$26="","",'Старт'!$D$26)</f>
        <v/>
      </c>
      <c r="C56" s="28">
        <f>IF(OR('Январь'!$AP$3=0,'Январь'!$AP$6=0,'Январь'!$AL$26=""),"",'Январь'!$AL$26)</f>
        <v/>
      </c>
      <c r="D56" s="28">
        <f>IF(OR('Февраль'!$AP$3=0,'Февраль'!$AP$6=0,'Февраль'!$AL$26=""),"",'Февраль'!$AL$26)</f>
        <v/>
      </c>
      <c r="E56" s="28">
        <f>IF(OR('Март'!$AP$3=0,'Март'!$AP$6=0,'Март'!$AL$26=""),"",'Март'!$AL$26)</f>
        <v/>
      </c>
      <c r="F56" s="28">
        <f>IF(OR('Апрель'!$AP$3=0,'Апрель'!$AP$6=0,'Апрель'!$AL$26=""),"",'Апрель'!$AL$26)</f>
        <v/>
      </c>
      <c r="G56" s="28">
        <f>IF(OR('Май'!$AP$3=0,'Май'!$AP$6=0,'Май'!$AL$26=""),"",'Май'!$AL$26)</f>
        <v/>
      </c>
      <c r="H56" s="28">
        <f>IF(OR('Июнь'!$AP$3=0,'Июнь'!$AP$6=0,'Июнь'!$AL$26=""),"",'Июнь'!$AL$26)</f>
        <v/>
      </c>
      <c r="I56" s="28">
        <f>IF(OR('Июль'!$AP$3=0,'Июль'!$AP$6=0,'Июль'!$AL$26=""),"",'Июль'!$AL$26)</f>
        <v/>
      </c>
      <c r="J56" s="28">
        <f>IF(OR('Август'!$AP$3=0,'Август'!$AP$6=0,'Август'!$AL$26=""),"",'Август'!$AL$26)</f>
        <v/>
      </c>
      <c r="K56" s="28">
        <f>IF(OR('Сентябрь'!$AP$3=0,'Сентябрь'!$AP$6=0,'Сентябрь'!$AL$26=""),"",'Сентябрь'!$AL$26)</f>
        <v/>
      </c>
      <c r="L56" s="28">
        <f>IF(OR('Октябрь'!$AP$3=0,'Октябрь'!$AP$6=0,'Октябрь'!$AL$26=""),"",'Октябрь'!$AL$26)</f>
        <v/>
      </c>
      <c r="M56" s="28">
        <f>IF(OR('Ноябрь'!$AP$3=0,'Ноябрь'!$AP$6=0,'Ноябрь'!$AL$26=""),"",'Ноябрь'!$AL$26)</f>
        <v/>
      </c>
      <c r="N56" s="28">
        <f>IF(OR('Декабрь'!$AP$3=0,'Декабрь'!$AP$6=0,'Декабрь'!$AL$26=""),"",'Декабрь'!$AL$26)</f>
        <v/>
      </c>
      <c r="O56" s="28">
        <f>IFERROR(AVERAGE($C$56:$N$56),"")</f>
        <v/>
      </c>
    </row>
  </sheetData>
  <mergeCells count="19">
    <mergeCell ref="B2:O2"/>
    <mergeCell ref="B3:O3"/>
    <mergeCell ref="B5:C5"/>
    <mergeCell ref="B6:C6"/>
    <mergeCell ref="B7:C7"/>
    <mergeCell ref="D5:F5"/>
    <mergeCell ref="D6:F6"/>
    <mergeCell ref="D7:F7"/>
    <mergeCell ref="G5:I5"/>
    <mergeCell ref="G6:I6"/>
    <mergeCell ref="G7:I7"/>
    <mergeCell ref="J5:L5"/>
    <mergeCell ref="J6:L6"/>
    <mergeCell ref="J7:L7"/>
    <mergeCell ref="M5:O5"/>
    <mergeCell ref="M6:O6"/>
    <mergeCell ref="M7:O7"/>
    <mergeCell ref="B24:O24"/>
    <mergeCell ref="B40:O40"/>
  </mergeCells>
  <conditionalFormatting sqref="B10:H21">
    <cfRule type="expression" dxfId="8" priority="2">
      <formula>AND(YEAR(TODAY())='Старт'!$D$6,MONTH(TODAY())=ROW()-9)</formula>
    </cfRule>
  </conditionalFormatting>
  <conditionalFormatting sqref="C10:C21">
    <cfRule type="dataBar" priority="1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conditionalFormatting sqref="C42:O56">
    <cfRule type="colorScale" priority="3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pageMargins left="0.7" right="0.7" top="0.75" bottom="0.75" header="0.3" footer="0.3"/>
  <pageSetup paperSize="9" fitToHeight="0"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C10:C21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DATE('Старт'!$D$6,1,1)</f>
        <v>46023.0</v>
      </c>
    </row>
    <row r="2" spans="2:73" ht="30" customHeight="1" x14ac:dyDescent="0.25">
      <c r="B2" s="30" t="str">
        <f>"ЯНВАРЬ "&amp;'Старт'!$D$6</f>
        <v>ЯНВАРЬ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104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янв")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янв")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Чт</v>
      </c>
      <c r="F10" s="42" t="str">
        <f>IF(2&lt;=$AP$2,CHOOSE(WEEKDAY($AP$1+1,2),"Пн","Вт","Ср","Чт","Пт","Сб","Вс"),"")</f>
        <v>Пт</v>
      </c>
      <c r="G10" s="42" t="str">
        <f>IF(3&lt;=$AP$2,CHOOSE(WEEKDAY($AP$1+2,2),"Пн","Вт","Ср","Чт","Пт","Сб","Вс"),"")</f>
        <v>Сб</v>
      </c>
      <c r="H10" s="42" t="str">
        <f>IF(4&lt;=$AP$2,CHOOSE(WEEKDAY($AP$1+3,2),"Пн","Вт","Ср","Чт","Пт","Сб","Вс"),"")</f>
        <v>Вс</v>
      </c>
      <c r="I10" s="42" t="str">
        <f>IF(5&lt;=$AP$2,CHOOSE(WEEKDAY($AP$1+4,2),"Пн","Вт","Ср","Чт","Пт","Сб","Вс"),"")</f>
        <v>Пн</v>
      </c>
      <c r="J10" s="42" t="str">
        <f>IF(6&lt;=$AP$2,CHOOSE(WEEKDAY($AP$1+5,2),"Пн","Вт","Ср","Чт","Пт","Сб","Вс"),"")</f>
        <v>Вт</v>
      </c>
      <c r="K10" s="42" t="str">
        <f>IF(7&lt;=$AP$2,CHOOSE(WEEKDAY($AP$1+6,2),"Пн","Вт","Ср","Чт","Пт","Сб","Вс"),"")</f>
        <v>Ср</v>
      </c>
      <c r="L10" s="42" t="str">
        <f>IF(8&lt;=$AP$2,CHOOSE(WEEKDAY($AP$1+7,2),"Пн","Вт","Ср","Чт","Пт","Сб","Вс"),"")</f>
        <v>Чт</v>
      </c>
      <c r="M10" s="42" t="str">
        <f>IF(9&lt;=$AP$2,CHOOSE(WEEKDAY($AP$1+8,2),"Пн","Вт","Ср","Чт","Пт","Сб","Вс"),"")</f>
        <v>Пт</v>
      </c>
      <c r="N10" s="42" t="str">
        <f>IF(10&lt;=$AP$2,CHOOSE(WEEKDAY($AP$1+9,2),"Пн","Вт","Ср","Чт","Пт","Сб","Вс"),"")</f>
        <v>Сб</v>
      </c>
      <c r="O10" s="42" t="str">
        <f>IF(11&lt;=$AP$2,CHOOSE(WEEKDAY($AP$1+10,2),"Пн","Вт","Ср","Чт","Пт","Сб","Вс"),"")</f>
        <v>Вс</v>
      </c>
      <c r="P10" s="42" t="str">
        <f>IF(12&lt;=$AP$2,CHOOSE(WEEKDAY($AP$1+11,2),"Пн","Вт","Ср","Чт","Пт","Сб","Вс"),"")</f>
        <v>Пн</v>
      </c>
      <c r="Q10" s="42" t="str">
        <f>IF(13&lt;=$AP$2,CHOOSE(WEEKDAY($AP$1+12,2),"Пн","Вт","Ср","Чт","Пт","Сб","Вс"),"")</f>
        <v>Вт</v>
      </c>
      <c r="R10" s="42" t="str">
        <f>IF(14&lt;=$AP$2,CHOOSE(WEEKDAY($AP$1+13,2),"Пн","Вт","Ср","Чт","Пт","Сб","Вс"),"")</f>
        <v>Ср</v>
      </c>
      <c r="S10" s="42" t="str">
        <f>IF(15&lt;=$AP$2,CHOOSE(WEEKDAY($AP$1+14,2),"Пн","Вт","Ср","Чт","Пт","Сб","Вс"),"")</f>
        <v>Чт</v>
      </c>
      <c r="T10" s="42" t="str">
        <f>IF(16&lt;=$AP$2,CHOOSE(WEEKDAY($AP$1+15,2),"Пн","Вт","Ср","Чт","Пт","Сб","Вс"),"")</f>
        <v>Пт</v>
      </c>
      <c r="U10" s="42" t="str">
        <f>IF(17&lt;=$AP$2,CHOOSE(WEEKDAY($AP$1+16,2),"Пн","Вт","Ср","Чт","Пт","Сб","Вс"),"")</f>
        <v>Сб</v>
      </c>
      <c r="V10" s="42" t="str">
        <f>IF(18&lt;=$AP$2,CHOOSE(WEEKDAY($AP$1+17,2),"Пн","Вт","Ср","Чт","Пт","Сб","Вс"),"")</f>
        <v>Вс</v>
      </c>
      <c r="W10" s="42" t="str">
        <f>IF(19&lt;=$AP$2,CHOOSE(WEEKDAY($AP$1+18,2),"Пн","Вт","Ср","Чт","Пт","Сб","Вс"),"")</f>
        <v>Пн</v>
      </c>
      <c r="X10" s="42" t="str">
        <f>IF(20&lt;=$AP$2,CHOOSE(WEEKDAY($AP$1+19,2),"Пн","Вт","Ср","Чт","Пт","Сб","Вс"),"")</f>
        <v>Вт</v>
      </c>
      <c r="Y10" s="42" t="str">
        <f>IF(21&lt;=$AP$2,CHOOSE(WEEKDAY($AP$1+20,2),"Пн","Вт","Ср","Чт","Пт","Сб","Вс"),"")</f>
        <v>Ср</v>
      </c>
      <c r="Z10" s="42" t="str">
        <f>IF(22&lt;=$AP$2,CHOOSE(WEEKDAY($AP$1+21,2),"Пн","Вт","Ср","Чт","Пт","Сб","Вс"),"")</f>
        <v>Чт</v>
      </c>
      <c r="AA10" s="42" t="str">
        <f>IF(23&lt;=$AP$2,CHOOSE(WEEKDAY($AP$1+22,2),"Пн","Вт","Ср","Чт","Пт","Сб","Вс"),"")</f>
        <v>Пт</v>
      </c>
      <c r="AB10" s="42" t="str">
        <f>IF(24&lt;=$AP$2,CHOOSE(WEEKDAY($AP$1+23,2),"Пн","Вт","Ср","Чт","Пт","Сб","Вс"),"")</f>
        <v>Сб</v>
      </c>
      <c r="AC10" s="42" t="str">
        <f>IF(25&lt;=$AP$2,CHOOSE(WEEKDAY($AP$1+24,2),"Пн","Вт","Ср","Чт","Пт","Сб","Вс"),"")</f>
        <v>Вс</v>
      </c>
      <c r="AD10" s="42" t="str">
        <f>IF(26&lt;=$AP$2,CHOOSE(WEEKDAY($AP$1+25,2),"Пн","Вт","Ср","Чт","Пт","Сб","Вс"),"")</f>
        <v>Пн</v>
      </c>
      <c r="AE10" s="42" t="str">
        <f>IF(27&lt;=$AP$2,CHOOSE(WEEKDAY($AP$1+26,2),"Пн","Вт","Ср","Чт","Пт","Сб","Вс"),"")</f>
        <v>Вт</v>
      </c>
      <c r="AF10" s="42" t="str">
        <f>IF(28&lt;=$AP$2,CHOOSE(WEEKDAY($AP$1+27,2),"Пн","Вт","Ср","Чт","Пт","Сб","Вс"),"")</f>
        <v>Ср</v>
      </c>
      <c r="AG10" s="42" t="str">
        <f>IF(29&lt;=$AP$2,CHOOSE(WEEKDAY($AP$1+28,2),"Пн","Вт","Ср","Чт","Пт","Сб","Вс"),"")</f>
        <v>Чт</v>
      </c>
      <c r="AH10" s="42" t="str">
        <f>IF(30&lt;=$AP$2,CHOOSE(WEEKDAY($AP$1+29,2),"Пн","Вт","Ср","Чт","Пт","Сб","Вс"),"")</f>
        <v>Пт</v>
      </c>
      <c r="AI10" s="42" t="str">
        <f>IF(31&lt;=$AP$2,CHOOSE(WEEKDAY($AP$1+30,2),"Пн","Вт","Ср","Чт","Пт","Сб","Вс"),"")</f>
        <v>Сб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янв","")</f>
        <v>Чт 1 янв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янв","")</f>
        <v>Пт 2 янв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янв","")</f>
        <v>Сб 3 янв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янв","")</f>
        <v>Вс 4 янв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янв","")</f>
        <v>Пн 5 янв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янв","")</f>
        <v>Вт 6 янв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янв","")</f>
        <v>Ср 7 янв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янв","")</f>
        <v>Чт 8 янв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янв","")</f>
        <v>Пт 9 янв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янв","")</f>
        <v>Сб 10 янв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янв","")</f>
        <v>Вс 11 янв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янв","")</f>
        <v>Пн 12 янв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янв","")</f>
        <v>Вт 13 янв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янв","")</f>
        <v>Ср 14 янв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янв","")</f>
        <v>Чт 15 янв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янв","")</f>
        <v>Пт 16 янв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янв","")</f>
        <v>Сб 17 янв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янв","")</f>
        <v>Вс 18 янв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янв","")</f>
        <v>Пн 19 янв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янв","")</f>
        <v>Вт 20 янв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янв","")</f>
        <v>Ср 21 янв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янв","")</f>
        <v>Чт 22 янв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янв","")</f>
        <v>Пт 23 янв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янв","")</f>
        <v>Сб 24 янв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янв","")</f>
        <v>Вс 25 янв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янв","")</f>
        <v>Пн 26 янв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янв","")</f>
        <v>Вт 27 янв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янв","")</f>
        <v>Ср 28 янв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янв","")</f>
        <v>Чт 29 янв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янв","")</f>
        <v>Пт 30 янв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янв","")</f>
        <v>Сб 31 янв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DATE('Старт'!$D$6,2,1)</f>
        <v>46054.0</v>
      </c>
    </row>
    <row r="2" spans="2:73" ht="30" customHeight="1" x14ac:dyDescent="0.25">
      <c r="B2" s="30" t="str">
        <f>"ФЕВРАЛЬ "&amp;'Старт'!$D$6</f>
        <v>ФЕВРАЛЬ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28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137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28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200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фев")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фев")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200 отметок · день 28 из 28</v>
      </c>
      <c r="C7" s="18"/>
      <c r="D7" s="18"/>
      <c r="E7" s="18" t="str">
        <f>IF($AP$3=0,"—","из "&amp;$AP$3&amp;" прошедших · все привычки ✓")</f>
        <v>из 28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/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>
        <f>IF(29&lt;=$AP$2,CHOOSE(WEEKDAY($AP$1+28,2),"Пн","Вт","Ср","Чт","Пт","Сб","Вс"),"")</f>
        <v/>
      </c>
      <c r="AH10" s="42">
        <f>IF(30&lt;=$AP$2,CHOOSE(WEEKDAY($AP$1+29,2),"Пн","Вт","Ср","Чт","Пт","Сб","Вс"),"")</f>
        <v/>
      </c>
      <c r="AI10" s="42">
        <f>IF(31&lt;=$AP$2,CHOOSE(WEEKDAY($AP$1+30,2),"Пн","Вт","Ср","Чт","Пт","Сб","Вс"),"")</f>
        <v/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/>
      </c>
      <c r="AH11" s="43">
        <f>IF(30&lt;=$AP$2,30,"")</f>
        <v/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65"/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28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65"/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65"/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28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65"/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28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65"/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28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65"/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28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65"/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28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65"/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65"/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65"/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65"/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65"/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65"/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65"/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65"/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фев","")</f>
        <v>Вс 1 фев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фев","")</f>
        <v>Пн 2 фев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фев","")</f>
        <v>Вт 3 фев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фев","")</f>
        <v>Ср 4 фев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фев","")</f>
        <v>Чт 5 фев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фев","")</f>
        <v>Пт 6 фев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фев","")</f>
        <v>Сб 7 фев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фев","")</f>
        <v>Вс 8 фев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фев","")</f>
        <v>Пн 9 фев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фев","")</f>
        <v>Вт 10 фев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фев","")</f>
        <v>Ср 11 фев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фев","")</f>
        <v>Чт 12 фев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фев","")</f>
        <v>Пт 13 фев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фев","")</f>
        <v>Сб 14 фев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фев","")</f>
        <v>Вс 15 фев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фев","")</f>
        <v>Пн 16 фев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фев","")</f>
        <v>Вт 17 фев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фев","")</f>
        <v>Ср 18 фев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фев","")</f>
        <v>Чт 19 фев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фев","")</f>
        <v>Пт 20 фев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фев","")</f>
        <v>Сб 21 фев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фев","")</f>
        <v>Вс 22 фев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фев","")</f>
        <v>Пн 23 фев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фев","")</f>
        <v>Вт 24 фев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фев","")</f>
        <v>Ср 25 фев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фев","")</f>
        <v>Чт 26 фев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фев","")</f>
        <v>Пт 27 фев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фев","")</f>
        <v>Сб 28 фев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>
        <f>IF(29&lt;=$AP$2,CHOOSE(WEEKDAY($AP$1+28,2),"Пн","Вт","Ср","Чт","Пт","Сб","Вс")&amp;" 29 фев","")</f>
        <v/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>
        <f>IF(30&lt;=$AP$2,CHOOSE(WEEKDAY($AP$1+29,2),"Пн","Вт","Ср","Чт","Пт","Сб","Вс")&amp;" 30 фев","")</f>
        <v/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фев","")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DATE('Старт'!$D$6,3,1)</f>
        <v>46082.0</v>
      </c>
    </row>
    <row r="2" spans="2:73" ht="30" customHeight="1" x14ac:dyDescent="0.25">
      <c r="B2" s="30" t="str">
        <f>"МАРТ "&amp;'Старт'!$D$6</f>
        <v>МАРТ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138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мар")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мар")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 t="str">
        <f>IF(29&lt;=$AP$2,CHOOSE(WEEKDAY($AP$1+28,2),"Пн","Вт","Ср","Чт","Пт","Сб","Вс"),"")</f>
        <v>Вс</v>
      </c>
      <c r="AH10" s="42" t="str">
        <f>IF(30&lt;=$AP$2,CHOOSE(WEEKDAY($AP$1+29,2),"Пн","Вт","Ср","Чт","Пт","Сб","Вс"),"")</f>
        <v>Пн</v>
      </c>
      <c r="AI10" s="42" t="str">
        <f>IF(31&lt;=$AP$2,CHOOSE(WEEKDAY($AP$1+30,2),"Пн","Вт","Ср","Чт","Пт","Сб","Вс"),"")</f>
        <v>Вт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мар","")</f>
        <v>Вс 1 мар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мар","")</f>
        <v>Пн 2 мар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мар","")</f>
        <v>Вт 3 мар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мар","")</f>
        <v>Ср 4 мар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мар","")</f>
        <v>Чт 5 мар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мар","")</f>
        <v>Пт 6 мар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мар","")</f>
        <v>Сб 7 мар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мар","")</f>
        <v>Вс 8 мар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мар","")</f>
        <v>Пн 9 мар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мар","")</f>
        <v>Вт 10 мар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мар","")</f>
        <v>Ср 11 мар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мар","")</f>
        <v>Чт 12 мар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мар","")</f>
        <v>Пт 13 мар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мар","")</f>
        <v>Сб 14 мар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мар","")</f>
        <v>Вс 15 мар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мар","")</f>
        <v>Пн 16 мар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мар","")</f>
        <v>Вт 17 мар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мар","")</f>
        <v>Ср 18 мар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мар","")</f>
        <v>Чт 19 мар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мар","")</f>
        <v>Пт 20 мар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мар","")</f>
        <v>Сб 21 мар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мар","")</f>
        <v>Вс 22 мар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мар","")</f>
        <v>Пн 23 мар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мар","")</f>
        <v>Вт 24 мар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мар","")</f>
        <v>Ср 25 мар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мар","")</f>
        <v>Чт 26 мар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мар","")</f>
        <v>Пт 27 мар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мар","")</f>
        <v>Сб 28 мар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мар","")</f>
        <v>Вс 29 мар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мар","")</f>
        <v>Пн 30 мар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мар","")</f>
        <v>Вт 31 мар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{DA7ABA51-AAAA-BBBB-0005-000000000001}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5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DATE('Старт'!$D$6,4,1)</f>
        <v>46113.0</v>
      </c>
    </row>
    <row r="2" spans="2:73" ht="30" customHeight="1" x14ac:dyDescent="0.25">
      <c r="B2" s="30" t="str">
        <f>"АПРЕЛЬ "&amp;'Старт'!$D$6</f>
        <v>АПРЕЛЬ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8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212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апр")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апр")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212 отметок · день 30 из 30</v>
      </c>
      <c r="C7" s="18"/>
      <c r="D7" s="18"/>
      <c r="E7" s="18" t="str">
        <f>IF($AP$3=0,"—","из "&amp;$AP$3&amp;" прошедших · все привычки ✓")</f>
        <v>из 30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0/16 · 0%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Ср</v>
      </c>
      <c r="F10" s="42" t="str">
        <f>IF(2&lt;=$AP$2,CHOOSE(WEEKDAY($AP$1+1,2),"Пн","Вт","Ср","Чт","Пт","Сб","Вс"),"")</f>
        <v>Чт</v>
      </c>
      <c r="G10" s="42" t="str">
        <f>IF(3&lt;=$AP$2,CHOOSE(WEEKDAY($AP$1+2,2),"Пн","Вт","Ср","Чт","Пт","Сб","Вс"),"")</f>
        <v>Пт</v>
      </c>
      <c r="H10" s="42" t="str">
        <f>IF(4&lt;=$AP$2,CHOOSE(WEEKDAY($AP$1+3,2),"Пн","Вт","Ср","Чт","Пт","Сб","Вс"),"")</f>
        <v>Сб</v>
      </c>
      <c r="I10" s="42" t="str">
        <f>IF(5&lt;=$AP$2,CHOOSE(WEEKDAY($AP$1+4,2),"Пн","Вт","Ср","Чт","Пт","Сб","Вс"),"")</f>
        <v>Вс</v>
      </c>
      <c r="J10" s="42" t="str">
        <f>IF(6&lt;=$AP$2,CHOOSE(WEEKDAY($AP$1+5,2),"Пн","Вт","Ср","Чт","Пт","Сб","Вс"),"")</f>
        <v>Пн</v>
      </c>
      <c r="K10" s="42" t="str">
        <f>IF(7&lt;=$AP$2,CHOOSE(WEEKDAY($AP$1+6,2),"Пн","Вт","Ср","Чт","Пт","Сб","Вс"),"")</f>
        <v>Вт</v>
      </c>
      <c r="L10" s="42" t="str">
        <f>IF(8&lt;=$AP$2,CHOOSE(WEEKDAY($AP$1+7,2),"Пн","Вт","Ср","Чт","Пт","Сб","Вс"),"")</f>
        <v>Ср</v>
      </c>
      <c r="M10" s="42" t="str">
        <f>IF(9&lt;=$AP$2,CHOOSE(WEEKDAY($AP$1+8,2),"Пн","Вт","Ср","Чт","Пт","Сб","Вс"),"")</f>
        <v>Чт</v>
      </c>
      <c r="N10" s="42" t="str">
        <f>IF(10&lt;=$AP$2,CHOOSE(WEEKDAY($AP$1+9,2),"Пн","Вт","Ср","Чт","Пт","Сб","Вс"),"")</f>
        <v>Пт</v>
      </c>
      <c r="O10" s="42" t="str">
        <f>IF(11&lt;=$AP$2,CHOOSE(WEEKDAY($AP$1+10,2),"Пн","Вт","Ср","Чт","Пт","Сб","Вс"),"")</f>
        <v>Сб</v>
      </c>
      <c r="P10" s="42" t="str">
        <f>IF(12&lt;=$AP$2,CHOOSE(WEEKDAY($AP$1+11,2),"Пн","Вт","Ср","Чт","Пт","Сб","Вс"),"")</f>
        <v>Вс</v>
      </c>
      <c r="Q10" s="42" t="str">
        <f>IF(13&lt;=$AP$2,CHOOSE(WEEKDAY($AP$1+12,2),"Пн","Вт","Ср","Чт","Пт","Сб","Вс"),"")</f>
        <v>Пн</v>
      </c>
      <c r="R10" s="42" t="str">
        <f>IF(14&lt;=$AP$2,CHOOSE(WEEKDAY($AP$1+13,2),"Пн","Вт","Ср","Чт","Пт","Сб","Вс"),"")</f>
        <v>Вт</v>
      </c>
      <c r="S10" s="42" t="str">
        <f>IF(15&lt;=$AP$2,CHOOSE(WEEKDAY($AP$1+14,2),"Пн","Вт","Ср","Чт","Пт","Сб","Вс"),"")</f>
        <v>Ср</v>
      </c>
      <c r="T10" s="42" t="str">
        <f>IF(16&lt;=$AP$2,CHOOSE(WEEKDAY($AP$1+15,2),"Пн","Вт","Ср","Чт","Пт","Сб","Вс"),"")</f>
        <v>Чт</v>
      </c>
      <c r="U10" s="42" t="str">
        <f>IF(17&lt;=$AP$2,CHOOSE(WEEKDAY($AP$1+16,2),"Пн","Вт","Ср","Чт","Пт","Сб","Вс"),"")</f>
        <v>Пт</v>
      </c>
      <c r="V10" s="42" t="str">
        <f>IF(18&lt;=$AP$2,CHOOSE(WEEKDAY($AP$1+17,2),"Пн","Вт","Ср","Чт","Пт","Сб","Вс"),"")</f>
        <v>Сб</v>
      </c>
      <c r="W10" s="42" t="str">
        <f>IF(19&lt;=$AP$2,CHOOSE(WEEKDAY($AP$1+18,2),"Пн","Вт","Ср","Чт","Пт","Сб","Вс"),"")</f>
        <v>Вс</v>
      </c>
      <c r="X10" s="42" t="str">
        <f>IF(20&lt;=$AP$2,CHOOSE(WEEKDAY($AP$1+19,2),"Пн","Вт","Ср","Чт","Пт","Сб","Вс"),"")</f>
        <v>Пн</v>
      </c>
      <c r="Y10" s="42" t="str">
        <f>IF(21&lt;=$AP$2,CHOOSE(WEEKDAY($AP$1+20,2),"Пн","Вт","Ср","Чт","Пт","Сб","Вс"),"")</f>
        <v>Вт</v>
      </c>
      <c r="Z10" s="42" t="str">
        <f>IF(22&lt;=$AP$2,CHOOSE(WEEKDAY($AP$1+21,2),"Пн","Вт","Ср","Чт","Пт","Сб","Вс"),"")</f>
        <v>Ср</v>
      </c>
      <c r="AA10" s="42" t="str">
        <f>IF(23&lt;=$AP$2,CHOOSE(WEEKDAY($AP$1+22,2),"Пн","Вт","Ср","Чт","Пт","Сб","Вс"),"")</f>
        <v>Чт</v>
      </c>
      <c r="AB10" s="42" t="str">
        <f>IF(24&lt;=$AP$2,CHOOSE(WEEKDAY($AP$1+23,2),"Пн","Вт","Ср","Чт","Пт","Сб","Вс"),"")</f>
        <v>Пт</v>
      </c>
      <c r="AC10" s="42" t="str">
        <f>IF(25&lt;=$AP$2,CHOOSE(WEEKDAY($AP$1+24,2),"Пн","Вт","Ср","Чт","Пт","Сб","Вс"),"")</f>
        <v>Сб</v>
      </c>
      <c r="AD10" s="42" t="str">
        <f>IF(26&lt;=$AP$2,CHOOSE(WEEKDAY($AP$1+25,2),"Пн","Вт","Ср","Чт","Пт","Сб","Вс"),"")</f>
        <v>Вс</v>
      </c>
      <c r="AE10" s="42" t="str">
        <f>IF(27&lt;=$AP$2,CHOOSE(WEEKDAY($AP$1+26,2),"Пн","Вт","Ср","Чт","Пт","Сб","Вс"),"")</f>
        <v>Пн</v>
      </c>
      <c r="AF10" s="42" t="str">
        <f>IF(28&lt;=$AP$2,CHOOSE(WEEKDAY($AP$1+27,2),"Пн","Вт","Ср","Чт","Пт","Сб","Вс"),"")</f>
        <v>Вт</v>
      </c>
      <c r="AG10" s="42" t="str">
        <f>IF(29&lt;=$AP$2,CHOOSE(WEEKDAY($AP$1+28,2),"Пн","Вт","Ср","Чт","Пт","Сб","Вс"),"")</f>
        <v>Ср</v>
      </c>
      <c r="AH10" s="42" t="str">
        <f>IF(30&lt;=$AP$2,CHOOSE(WEEKDAY($AP$1+29,2),"Пн","Вт","Ср","Чт","Пт","Сб","Вс"),"")</f>
        <v>Чт</v>
      </c>
      <c r="AI10" s="42">
        <f>IF(31&lt;=$AP$2,CHOOSE(WEEKDAY($AP$1+30,2),"Пн","Вт","Ср","Чт","Пт","Сб","Вс"),"")</f>
        <v/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/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апр","")</f>
        <v>Ср 1 апр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апр","")</f>
        <v>Чт 2 апр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апр","")</f>
        <v>Пт 3 апр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апр","")</f>
        <v>Сб 4 апр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апр","")</f>
        <v>Вс 5 апр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апр","")</f>
        <v>Пн 6 апр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апр","")</f>
        <v>Вт 7 апр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апр","")</f>
        <v>Ср 8 апр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апр","")</f>
        <v>Чт 9 апр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апр","")</f>
        <v>Пт 10 апр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апр","")</f>
        <v>Сб 11 апр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апр","")</f>
        <v>Вс 12 апр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апр","")</f>
        <v>Пн 13 апр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апр","")</f>
        <v>Вт 14 апр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апр","")</f>
        <v>Ср 15 апр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апр","")</f>
        <v>Чт 16 апр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апр","")</f>
        <v>Пт 17 апр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апр","")</f>
        <v>Сб 18 апр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апр","")</f>
        <v>Вс 19 апр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апр","")</f>
        <v>Пн 20 апр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апр","")</f>
        <v>Вт 21 апр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апр","")</f>
        <v>Ср 22 апр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апр","")</f>
        <v>Чт 23 апр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апр","")</f>
        <v>Пт 24 апр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апр","")</f>
        <v>Сб 25 апр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апр","")</f>
        <v>Вс 26 апр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апр","")</f>
        <v>Пн 27 апр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апр","")</f>
        <v>Вт 28 апр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апр","")</f>
        <v>Ср 29 апр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апр","")</f>
        <v>Чт 30 апр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апр","")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{DA7ABA51-AAAA-BBBB-0006-000000000001}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6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4D399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DATE('Старт'!$D$6,5,1)</f>
        <v>46143.0</v>
      </c>
    </row>
    <row r="2" spans="2:73" ht="30" customHeight="1" x14ac:dyDescent="0.25">
      <c r="B2" s="30" t="str">
        <f>"МАЙ "&amp;'Старт'!$D$6</f>
        <v>МАЙ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139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мая")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мая")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0/24 · 0%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Пт</v>
      </c>
      <c r="F10" s="42" t="str">
        <f>IF(2&lt;=$AP$2,CHOOSE(WEEKDAY($AP$1+1,2),"Пн","Вт","Ср","Чт","Пт","Сб","Вс"),"")</f>
        <v>Сб</v>
      </c>
      <c r="G10" s="42" t="str">
        <f>IF(3&lt;=$AP$2,CHOOSE(WEEKDAY($AP$1+2,2),"Пн","Вт","Ср","Чт","Пт","Сб","Вс"),"")</f>
        <v>Вс</v>
      </c>
      <c r="H10" s="42" t="str">
        <f>IF(4&lt;=$AP$2,CHOOSE(WEEKDAY($AP$1+3,2),"Пн","Вт","Ср","Чт","Пт","Сб","Вс"),"")</f>
        <v>Пн</v>
      </c>
      <c r="I10" s="42" t="str">
        <f>IF(5&lt;=$AP$2,CHOOSE(WEEKDAY($AP$1+4,2),"Пн","Вт","Ср","Чт","Пт","Сб","Вс"),"")</f>
        <v>Вт</v>
      </c>
      <c r="J10" s="42" t="str">
        <f>IF(6&lt;=$AP$2,CHOOSE(WEEKDAY($AP$1+5,2),"Пн","Вт","Ср","Чт","Пт","Сб","Вс"),"")</f>
        <v>Ср</v>
      </c>
      <c r="K10" s="42" t="str">
        <f>IF(7&lt;=$AP$2,CHOOSE(WEEKDAY($AP$1+6,2),"Пн","Вт","Ср","Чт","Пт","Сб","Вс"),"")</f>
        <v>Чт</v>
      </c>
      <c r="L10" s="42" t="str">
        <f>IF(8&lt;=$AP$2,CHOOSE(WEEKDAY($AP$1+7,2),"Пн","Вт","Ср","Чт","Пт","Сб","Вс"),"")</f>
        <v>Пт</v>
      </c>
      <c r="M10" s="42" t="str">
        <f>IF(9&lt;=$AP$2,CHOOSE(WEEKDAY($AP$1+8,2),"Пн","Вт","Ср","Чт","Пт","Сб","Вс"),"")</f>
        <v>Сб</v>
      </c>
      <c r="N10" s="42" t="str">
        <f>IF(10&lt;=$AP$2,CHOOSE(WEEKDAY($AP$1+9,2),"Пн","Вт","Ср","Чт","Пт","Сб","Вс"),"")</f>
        <v>Вс</v>
      </c>
      <c r="O10" s="42" t="str">
        <f>IF(11&lt;=$AP$2,CHOOSE(WEEKDAY($AP$1+10,2),"Пн","Вт","Ср","Чт","Пт","Сб","Вс"),"")</f>
        <v>Пн</v>
      </c>
      <c r="P10" s="42" t="str">
        <f>IF(12&lt;=$AP$2,CHOOSE(WEEKDAY($AP$1+11,2),"Пн","Вт","Ср","Чт","Пт","Сб","Вс"),"")</f>
        <v>Вт</v>
      </c>
      <c r="Q10" s="42" t="str">
        <f>IF(13&lt;=$AP$2,CHOOSE(WEEKDAY($AP$1+12,2),"Пн","Вт","Ср","Чт","Пт","Сб","Вс"),"")</f>
        <v>Ср</v>
      </c>
      <c r="R10" s="42" t="str">
        <f>IF(14&lt;=$AP$2,CHOOSE(WEEKDAY($AP$1+13,2),"Пн","Вт","Ср","Чт","Пт","Сб","Вс"),"")</f>
        <v>Чт</v>
      </c>
      <c r="S10" s="42" t="str">
        <f>IF(15&lt;=$AP$2,CHOOSE(WEEKDAY($AP$1+14,2),"Пн","Вт","Ср","Чт","Пт","Сб","Вс"),"")</f>
        <v>Пт</v>
      </c>
      <c r="T10" s="42" t="str">
        <f>IF(16&lt;=$AP$2,CHOOSE(WEEKDAY($AP$1+15,2),"Пн","Вт","Ср","Чт","Пт","Сб","Вс"),"")</f>
        <v>Сб</v>
      </c>
      <c r="U10" s="42" t="str">
        <f>IF(17&lt;=$AP$2,CHOOSE(WEEKDAY($AP$1+16,2),"Пн","Вт","Ср","Чт","Пт","Сб","Вс"),"")</f>
        <v>Вс</v>
      </c>
      <c r="V10" s="42" t="str">
        <f>IF(18&lt;=$AP$2,CHOOSE(WEEKDAY($AP$1+17,2),"Пн","Вт","Ср","Чт","Пт","Сб","Вс"),"")</f>
        <v>Пн</v>
      </c>
      <c r="W10" s="42" t="str">
        <f>IF(19&lt;=$AP$2,CHOOSE(WEEKDAY($AP$1+18,2),"Пн","Вт","Ср","Чт","Пт","Сб","Вс"),"")</f>
        <v>Вт</v>
      </c>
      <c r="X10" s="42" t="str">
        <f>IF(20&lt;=$AP$2,CHOOSE(WEEKDAY($AP$1+19,2),"Пн","Вт","Ср","Чт","Пт","Сб","Вс"),"")</f>
        <v>Ср</v>
      </c>
      <c r="Y10" s="42" t="str">
        <f>IF(21&lt;=$AP$2,CHOOSE(WEEKDAY($AP$1+20,2),"Пн","Вт","Ср","Чт","Пт","Сб","Вс"),"")</f>
        <v>Чт</v>
      </c>
      <c r="Z10" s="42" t="str">
        <f>IF(22&lt;=$AP$2,CHOOSE(WEEKDAY($AP$1+21,2),"Пн","Вт","Ср","Чт","Пт","Сб","Вс"),"")</f>
        <v>Пт</v>
      </c>
      <c r="AA10" s="42" t="str">
        <f>IF(23&lt;=$AP$2,CHOOSE(WEEKDAY($AP$1+22,2),"Пн","Вт","Ср","Чт","Пт","Сб","Вс"),"")</f>
        <v>Сб</v>
      </c>
      <c r="AB10" s="42" t="str">
        <f>IF(24&lt;=$AP$2,CHOOSE(WEEKDAY($AP$1+23,2),"Пн","Вт","Ср","Чт","Пт","Сб","Вс"),"")</f>
        <v>Вс</v>
      </c>
      <c r="AC10" s="42" t="str">
        <f>IF(25&lt;=$AP$2,CHOOSE(WEEKDAY($AP$1+24,2),"Пн","Вт","Ср","Чт","Пт","Сб","Вс"),"")</f>
        <v>Пн</v>
      </c>
      <c r="AD10" s="42" t="str">
        <f>IF(26&lt;=$AP$2,CHOOSE(WEEKDAY($AP$1+25,2),"Пн","Вт","Ср","Чт","Пт","Сб","Вс"),"")</f>
        <v>Вт</v>
      </c>
      <c r="AE10" s="42" t="str">
        <f>IF(27&lt;=$AP$2,CHOOSE(WEEKDAY($AP$1+26,2),"Пн","Вт","Ср","Чт","Пт","Сб","Вс"),"")</f>
        <v>Ср</v>
      </c>
      <c r="AF10" s="42" t="str">
        <f>IF(28&lt;=$AP$2,CHOOSE(WEEKDAY($AP$1+27,2),"Пн","Вт","Ср","Чт","Пт","Сб","Вс"),"")</f>
        <v>Чт</v>
      </c>
      <c r="AG10" s="42" t="str">
        <f>IF(29&lt;=$AP$2,CHOOSE(WEEKDAY($AP$1+28,2),"Пн","Вт","Ср","Чт","Пт","Сб","Вс"),"")</f>
        <v>Пт</v>
      </c>
      <c r="AH10" s="42" t="str">
        <f>IF(30&lt;=$AP$2,CHOOSE(WEEKDAY($AP$1+29,2),"Пн","Вт","Ср","Чт","Пт","Сб","Вс"),"")</f>
        <v>Сб</v>
      </c>
      <c r="AI10" s="42" t="str">
        <f>IF(31&lt;=$AP$2,CHOOSE(WEEKDAY($AP$1+30,2),"Пн","Вт","Ср","Чт","Пт","Сб","Вс"),"")</f>
        <v>Вс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31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31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31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>0</v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>0</v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мая","")</f>
        <v>Пт 1 мая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мая","")</f>
        <v>Сб 2 мая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мая","")</f>
        <v>Вс 3 мая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мая","")</f>
        <v>Пн 4 мая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мая","")</f>
        <v>Вт 5 мая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мая","")</f>
        <v>Ср 6 мая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мая","")</f>
        <v>Чт 7 мая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мая","")</f>
        <v>Пт 8 мая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мая","")</f>
        <v>Сб 9 мая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мая","")</f>
        <v>Вс 10 мая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мая","")</f>
        <v>Пн 11 мая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мая","")</f>
        <v>Вт 12 мая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мая","")</f>
        <v>Ср 13 мая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мая","")</f>
        <v>Чт 14 мая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мая","")</f>
        <v>Пт 15 мая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мая","")</f>
        <v>Сб 16 мая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мая","")</f>
        <v>Вс 17 мая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мая","")</f>
        <v>Пн 18 мая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мая","")</f>
        <v>Вт 19 мая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мая","")</f>
        <v>Ср 20 мая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мая","")</f>
        <v>Чт 21 мая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мая","")</f>
        <v>Пт 22 мая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мая","")</f>
        <v>Сб 23 мая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мая","")</f>
        <v>Вс 24 мая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мая","")</f>
        <v>Пн 25 мая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мая","")</f>
        <v>Вт 26 мая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мая","")</f>
        <v>Ср 27 мая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мая","")</f>
        <v>Чт 28 мая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мая","")</f>
        <v>Пт 29 мая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мая","")</f>
        <v>Сб 30 мая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мая","")</f>
        <v>Вс 31 мая</v>
      </c>
      <c r="C81" s="63" t="str">
        <f>IF(INDEX($E$27:$AI$27,31)="","",INDEX($E$27:$AI$27,31)&amp;"/"&amp;$AP$4&amp;" ✓")</f>
        <v>0/8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{DA7ABA51-AAAA-BBBB-0007-000000000001}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7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DATE('Старт'!$D$6,6,1)</f>
        <v>46174.0</v>
      </c>
    </row>
    <row r="2" spans="2:73" ht="30" customHeight="1" x14ac:dyDescent="0.25">
      <c r="B2" s="30" t="str">
        <f>"ИЮНЬ "&amp;'Старт'!$D$6</f>
        <v>ИЮНЬ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140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212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июн")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июн")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0 из 212 отметок · день 30 из 30</v>
      </c>
      <c r="C7" s="18"/>
      <c r="D7" s="18"/>
      <c r="E7" s="18" t="str">
        <f>IF($AP$3=0,"—","из "&amp;$AP$3&amp;" прошедших · все привычки ✓")</f>
        <v>из 30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0/56 · 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0/56 · 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0/56 · 0%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0/56 · 0%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0/16 · 0%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Пн</v>
      </c>
      <c r="F10" s="42" t="str">
        <f>IF(2&lt;=$AP$2,CHOOSE(WEEKDAY($AP$1+1,2),"Пн","Вт","Ср","Чт","Пт","Сб","Вс"),"")</f>
        <v>Вт</v>
      </c>
      <c r="G10" s="42" t="str">
        <f>IF(3&lt;=$AP$2,CHOOSE(WEEKDAY($AP$1+2,2),"Пн","Вт","Ср","Чт","Пт","Сб","Вс"),"")</f>
        <v>Ср</v>
      </c>
      <c r="H10" s="42" t="str">
        <f>IF(4&lt;=$AP$2,CHOOSE(WEEKDAY($AP$1+3,2),"Пн","Вт","Ср","Чт","Пт","Сб","Вс"),"")</f>
        <v>Чт</v>
      </c>
      <c r="I10" s="42" t="str">
        <f>IF(5&lt;=$AP$2,CHOOSE(WEEKDAY($AP$1+4,2),"Пн","Вт","Ср","Чт","Пт","Сб","Вс"),"")</f>
        <v>Пт</v>
      </c>
      <c r="J10" s="42" t="str">
        <f>IF(6&lt;=$AP$2,CHOOSE(WEEKDAY($AP$1+5,2),"Пн","Вт","Ср","Чт","Пт","Сб","Вс"),"")</f>
        <v>Сб</v>
      </c>
      <c r="K10" s="42" t="str">
        <f>IF(7&lt;=$AP$2,CHOOSE(WEEKDAY($AP$1+6,2),"Пн","Вт","Ср","Чт","Пт","Сб","Вс"),"")</f>
        <v>Вс</v>
      </c>
      <c r="L10" s="42" t="str">
        <f>IF(8&lt;=$AP$2,CHOOSE(WEEKDAY($AP$1+7,2),"Пн","Вт","Ср","Чт","Пт","Сб","Вс"),"")</f>
        <v>Пн</v>
      </c>
      <c r="M10" s="42" t="str">
        <f>IF(9&lt;=$AP$2,CHOOSE(WEEKDAY($AP$1+8,2),"Пн","Вт","Ср","Чт","Пт","Сб","Вс"),"")</f>
        <v>Вт</v>
      </c>
      <c r="N10" s="42" t="str">
        <f>IF(10&lt;=$AP$2,CHOOSE(WEEKDAY($AP$1+9,2),"Пн","Вт","Ср","Чт","Пт","Сб","Вс"),"")</f>
        <v>Ср</v>
      </c>
      <c r="O10" s="42" t="str">
        <f>IF(11&lt;=$AP$2,CHOOSE(WEEKDAY($AP$1+10,2),"Пн","Вт","Ср","Чт","Пт","Сб","Вс"),"")</f>
        <v>Чт</v>
      </c>
      <c r="P10" s="42" t="str">
        <f>IF(12&lt;=$AP$2,CHOOSE(WEEKDAY($AP$1+11,2),"Пн","Вт","Ср","Чт","Пт","Сб","Вс"),"")</f>
        <v>Пт</v>
      </c>
      <c r="Q10" s="42" t="str">
        <f>IF(13&lt;=$AP$2,CHOOSE(WEEKDAY($AP$1+12,2),"Пн","Вт","Ср","Чт","Пт","Сб","Вс"),"")</f>
        <v>Сб</v>
      </c>
      <c r="R10" s="42" t="str">
        <f>IF(14&lt;=$AP$2,CHOOSE(WEEKDAY($AP$1+13,2),"Пн","Вт","Ср","Чт","Пт","Сб","Вс"),"")</f>
        <v>Вс</v>
      </c>
      <c r="S10" s="42" t="str">
        <f>IF(15&lt;=$AP$2,CHOOSE(WEEKDAY($AP$1+14,2),"Пн","Вт","Ср","Чт","Пт","Сб","Вс"),"")</f>
        <v>Пн</v>
      </c>
      <c r="T10" s="42" t="str">
        <f>IF(16&lt;=$AP$2,CHOOSE(WEEKDAY($AP$1+15,2),"Пн","Вт","Ср","Чт","Пт","Сб","Вс"),"")</f>
        <v>Вт</v>
      </c>
      <c r="U10" s="42" t="str">
        <f>IF(17&lt;=$AP$2,CHOOSE(WEEKDAY($AP$1+16,2),"Пн","Вт","Ср","Чт","Пт","Сб","Вс"),"")</f>
        <v>Ср</v>
      </c>
      <c r="V10" s="42" t="str">
        <f>IF(18&lt;=$AP$2,CHOOSE(WEEKDAY($AP$1+17,2),"Пн","Вт","Ср","Чт","Пт","Сб","Вс"),"")</f>
        <v>Чт</v>
      </c>
      <c r="W10" s="42" t="str">
        <f>IF(19&lt;=$AP$2,CHOOSE(WEEKDAY($AP$1+18,2),"Пн","Вт","Ср","Чт","Пт","Сб","Вс"),"")</f>
        <v>Пт</v>
      </c>
      <c r="X10" s="42" t="str">
        <f>IF(20&lt;=$AP$2,CHOOSE(WEEKDAY($AP$1+19,2),"Пн","Вт","Ср","Чт","Пт","Сб","Вс"),"")</f>
        <v>Сб</v>
      </c>
      <c r="Y10" s="42" t="str">
        <f>IF(21&lt;=$AP$2,CHOOSE(WEEKDAY($AP$1+20,2),"Пн","Вт","Ср","Чт","Пт","Сб","Вс"),"")</f>
        <v>Вс</v>
      </c>
      <c r="Z10" s="42" t="str">
        <f>IF(22&lt;=$AP$2,CHOOSE(WEEKDAY($AP$1+21,2),"Пн","Вт","Ср","Чт","Пт","Сб","Вс"),"")</f>
        <v>Пн</v>
      </c>
      <c r="AA10" s="42" t="str">
        <f>IF(23&lt;=$AP$2,CHOOSE(WEEKDAY($AP$1+22,2),"Пн","Вт","Ср","Чт","Пт","Сб","Вс"),"")</f>
        <v>Вт</v>
      </c>
      <c r="AB10" s="42" t="str">
        <f>IF(24&lt;=$AP$2,CHOOSE(WEEKDAY($AP$1+23,2),"Пн","Вт","Ср","Чт","Пт","Сб","Вс"),"")</f>
        <v>Ср</v>
      </c>
      <c r="AC10" s="42" t="str">
        <f>IF(25&lt;=$AP$2,CHOOSE(WEEKDAY($AP$1+24,2),"Пн","Вт","Ср","Чт","Пт","Сб","Вс"),"")</f>
        <v>Чт</v>
      </c>
      <c r="AD10" s="42" t="str">
        <f>IF(26&lt;=$AP$2,CHOOSE(WEEKDAY($AP$1+25,2),"Пн","Вт","Ср","Чт","Пт","Сб","Вс"),"")</f>
        <v>Пт</v>
      </c>
      <c r="AE10" s="42" t="str">
        <f>IF(27&lt;=$AP$2,CHOOSE(WEEKDAY($AP$1+26,2),"Пн","Вт","Ср","Чт","Пт","Сб","Вс"),"")</f>
        <v>Сб</v>
      </c>
      <c r="AF10" s="42" t="str">
        <f>IF(28&lt;=$AP$2,CHOOSE(WEEKDAY($AP$1+27,2),"Пн","Вт","Ср","Чт","Пт","Сб","Вс"),"")</f>
        <v>Вс</v>
      </c>
      <c r="AG10" s="42" t="str">
        <f>IF(29&lt;=$AP$2,CHOOSE(WEEKDAY($AP$1+28,2),"Пн","Вт","Ср","Чт","Пт","Сб","Вс"),"")</f>
        <v>Пн</v>
      </c>
      <c r="AH10" s="42" t="str">
        <f>IF(30&lt;=$AP$2,CHOOSE(WEEKDAY($AP$1+29,2),"Пн","Вт","Ср","Чт","Пт","Сб","Вс"),"")</f>
        <v>Вт</v>
      </c>
      <c r="AI10" s="42">
        <f>IF(31&lt;=$AP$2,CHOOSE(WEEKDAY($AP$1+30,2),"Пн","Вт","Ср","Чт","Пт","Сб","Вс"),"")</f>
        <v/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30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30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30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30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30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30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0</v>
      </c>
      <c r="F27" s="51">
        <f>IF(OR(F$11="",F$11&gt;$AP$3),"",SUMPRODUCT((((F$12:F$26=TRUE)+(F$12:F$26=1))&gt;0)*($C$12:$C$26&lt;&gt;"")))</f>
        <v>0</v>
      </c>
      <c r="G27" s="51">
        <f>IF(OR(G$11="",G$11&gt;$AP$3),"",SUMPRODUCT((((G$12:G$26=TRUE)+(G$12:G$26=1))&gt;0)*($C$12:$C$26&lt;&gt;"")))</f>
        <v>0</v>
      </c>
      <c r="H27" s="51">
        <f>IF(OR(H$11="",H$11&gt;$AP$3),"",SUMPRODUCT((((H$12:H$26=TRUE)+(H$12:H$26=1))&gt;0)*($C$12:$C$26&lt;&gt;"")))</f>
        <v>0</v>
      </c>
      <c r="I27" s="51">
        <f>IF(OR(I$11="",I$11&gt;$AP$3),"",SUMPRODUCT((((I$12:I$26=TRUE)+(I$12:I$26=1))&gt;0)*($C$12:$C$26&lt;&gt;"")))</f>
        <v>0</v>
      </c>
      <c r="J27" s="51">
        <f>IF(OR(J$11="",J$11&gt;$AP$3),"",SUMPRODUCT((((J$12:J$26=TRUE)+(J$12:J$26=1))&gt;0)*($C$12:$C$26&lt;&gt;"")))</f>
        <v>0</v>
      </c>
      <c r="K27" s="51">
        <f>IF(OR(K$11="",K$11&gt;$AP$3),"",SUMPRODUCT((((K$12:K$26=TRUE)+(K$12:K$26=1))&gt;0)*($C$12:$C$26&lt;&gt;"")))</f>
        <v>0</v>
      </c>
      <c r="L27" s="51">
        <f>IF(OR(L$11="",L$11&gt;$AP$3),"",SUMPRODUCT((((L$12:L$26=TRUE)+(L$12:L$26=1))&gt;0)*($C$12:$C$26&lt;&gt;"")))</f>
        <v>0</v>
      </c>
      <c r="M27" s="51">
        <f>IF(OR(M$11="",M$11&gt;$AP$3),"",SUMPRODUCT((((M$12:M$26=TRUE)+(M$12:M$26=1))&gt;0)*($C$12:$C$26&lt;&gt;"")))</f>
        <v>0</v>
      </c>
      <c r="N27" s="51">
        <f>IF(OR(N$11="",N$11&gt;$AP$3),"",SUMPRODUCT((((N$12:N$26=TRUE)+(N$12:N$26=1))&gt;0)*($C$12:$C$26&lt;&gt;"")))</f>
        <v>0</v>
      </c>
      <c r="O27" s="51">
        <f>IF(OR(O$11="",O$11&gt;$AP$3),"",SUMPRODUCT((((O$12:O$26=TRUE)+(O$12:O$26=1))&gt;0)*($C$12:$C$26&lt;&gt;"")))</f>
        <v>0</v>
      </c>
      <c r="P27" s="51">
        <f>IF(OR(P$11="",P$11&gt;$AP$3),"",SUMPRODUCT((((P$12:P$26=TRUE)+(P$12:P$26=1))&gt;0)*($C$12:$C$26&lt;&gt;"")))</f>
        <v>0</v>
      </c>
      <c r="Q27" s="51">
        <f>IF(OR(Q$11="",Q$11&gt;$AP$3),"",SUMPRODUCT((((Q$12:Q$26=TRUE)+(Q$12:Q$26=1))&gt;0)*($C$12:$C$26&lt;&gt;"")))</f>
        <v>0</v>
      </c>
      <c r="R27" s="51">
        <f>IF(OR(R$11="",R$11&gt;$AP$3),"",SUMPRODUCT((((R$12:R$26=TRUE)+(R$12:R$26=1))&gt;0)*($C$12:$C$26&lt;&gt;"")))</f>
        <v>0</v>
      </c>
      <c r="S27" s="51">
        <f>IF(OR(S$11="",S$11&gt;$AP$3),"",SUMPRODUCT((((S$12:S$26=TRUE)+(S$12:S$26=1))&gt;0)*($C$12:$C$26&lt;&gt;"")))</f>
        <v>0</v>
      </c>
      <c r="T27" s="51">
        <f>IF(OR(T$11="",T$11&gt;$AP$3),"",SUMPRODUCT((((T$12:T$26=TRUE)+(T$12:T$26=1))&gt;0)*($C$12:$C$26&lt;&gt;"")))</f>
        <v>0</v>
      </c>
      <c r="U27" s="51">
        <f>IF(OR(U$11="",U$11&gt;$AP$3),"",SUMPRODUCT((((U$12:U$26=TRUE)+(U$12:U$26=1))&gt;0)*($C$12:$C$26&lt;&gt;"")))</f>
        <v>0</v>
      </c>
      <c r="V27" s="51">
        <f>IF(OR(V$11="",V$11&gt;$AP$3),"",SUMPRODUCT((((V$12:V$26=TRUE)+(V$12:V$26=1))&gt;0)*($C$12:$C$26&lt;&gt;"")))</f>
        <v>0</v>
      </c>
      <c r="W27" s="51">
        <f>IF(OR(W$11="",W$11&gt;$AP$3),"",SUMPRODUCT((((W$12:W$26=TRUE)+(W$12:W$26=1))&gt;0)*($C$12:$C$26&lt;&gt;"")))</f>
        <v>0</v>
      </c>
      <c r="X27" s="51">
        <f>IF(OR(X$11="",X$11&gt;$AP$3),"",SUMPRODUCT((((X$12:X$26=TRUE)+(X$12:X$26=1))&gt;0)*($C$12:$C$26&lt;&gt;"")))</f>
        <v>0</v>
      </c>
      <c r="Y27" s="51">
        <f>IF(OR(Y$11="",Y$11&gt;$AP$3),"",SUMPRODUCT((((Y$12:Y$26=TRUE)+(Y$12:Y$26=1))&gt;0)*($C$12:$C$26&lt;&gt;"")))</f>
        <v>0</v>
      </c>
      <c r="Z27" s="51">
        <f>IF(OR(Z$11="",Z$11&gt;$AP$3),"",SUMPRODUCT((((Z$12:Z$26=TRUE)+(Z$12:Z$26=1))&gt;0)*($C$12:$C$26&lt;&gt;"")))</f>
        <v>0</v>
      </c>
      <c r="AA27" s="51">
        <f>IF(OR(AA$11="",AA$11&gt;$AP$3),"",SUMPRODUCT((((AA$12:AA$26=TRUE)+(AA$12:AA$26=1))&gt;0)*($C$12:$C$26&lt;&gt;"")))</f>
        <v>0</v>
      </c>
      <c r="AB27" s="51">
        <f>IF(OR(AB$11="",AB$11&gt;$AP$3),"",SUMPRODUCT((((AB$12:AB$26=TRUE)+(AB$12:AB$26=1))&gt;0)*($C$12:$C$26&lt;&gt;"")))</f>
        <v>0</v>
      </c>
      <c r="AC27" s="51">
        <f>IF(OR(AC$11="",AC$11&gt;$AP$3),"",SUMPRODUCT((((AC$12:AC$26=TRUE)+(AC$12:AC$26=1))&gt;0)*($C$12:$C$26&lt;&gt;"")))</f>
        <v>0</v>
      </c>
      <c r="AD27" s="51">
        <f>IF(OR(AD$11="",AD$11&gt;$AP$3),"",SUMPRODUCT((((AD$12:AD$26=TRUE)+(AD$12:AD$26=1))&gt;0)*($C$12:$C$26&lt;&gt;"")))</f>
        <v>0</v>
      </c>
      <c r="AE27" s="51">
        <f>IF(OR(AE$11="",AE$11&gt;$AP$3),"",SUMPRODUCT((((AE$12:AE$26=TRUE)+(AE$12:AE$26=1))&gt;0)*($C$12:$C$26&lt;&gt;"")))</f>
        <v>0</v>
      </c>
      <c r="AF27" s="51">
        <f>IF(OR(AF$11="",AF$11&gt;$AP$3),"",SUMPRODUCT((((AF$12:AF$26=TRUE)+(AF$12:AF$26=1))&gt;0)*($C$12:$C$26&lt;&gt;"")))</f>
        <v>0</v>
      </c>
      <c r="AG27" s="51">
        <f>IF(OR(AG$11="",AG$11&gt;$AP$3),"",SUMPRODUCT((((AG$12:AG$26=TRUE)+(AG$12:AG$26=1))&gt;0)*($C$12:$C$26&lt;&gt;"")))</f>
        <v>0</v>
      </c>
      <c r="AH27" s="51">
        <f>IF(OR(AH$11="",AH$11&gt;$AP$3),"",SUMPRODUCT((((AH$12:AH$26=TRUE)+(AH$12:AH$26=1))&gt;0)*($C$12:$C$26&lt;&gt;"")))</f>
        <v>0</v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</v>
      </c>
      <c r="F28" s="54">
        <f>IF(OR(F27="",$AP$4=0),"",F27/$AP$4)</f>
        <v>0</v>
      </c>
      <c r="G28" s="54">
        <f>IF(OR(G27="",$AP$4=0),"",G27/$AP$4)</f>
        <v>0</v>
      </c>
      <c r="H28" s="54">
        <f>IF(OR(H27="",$AP$4=0),"",H27/$AP$4)</f>
        <v>0</v>
      </c>
      <c r="I28" s="54">
        <f>IF(OR(I27="",$AP$4=0),"",I27/$AP$4)</f>
        <v>0</v>
      </c>
      <c r="J28" s="54">
        <f>IF(OR(J27="",$AP$4=0),"",J27/$AP$4)</f>
        <v>0</v>
      </c>
      <c r="K28" s="54">
        <f>IF(OR(K27="",$AP$4=0),"",K27/$AP$4)</f>
        <v>0</v>
      </c>
      <c r="L28" s="54">
        <f>IF(OR(L27="",$AP$4=0),"",L27/$AP$4)</f>
        <v>0</v>
      </c>
      <c r="M28" s="54">
        <f>IF(OR(M27="",$AP$4=0),"",M27/$AP$4)</f>
        <v>0</v>
      </c>
      <c r="N28" s="54">
        <f>IF(OR(N27="",$AP$4=0),"",N27/$AP$4)</f>
        <v>0</v>
      </c>
      <c r="O28" s="54">
        <f>IF(OR(O27="",$AP$4=0),"",O27/$AP$4)</f>
        <v>0</v>
      </c>
      <c r="P28" s="54">
        <f>IF(OR(P27="",$AP$4=0),"",P27/$AP$4)</f>
        <v>0</v>
      </c>
      <c r="Q28" s="54">
        <f>IF(OR(Q27="",$AP$4=0),"",Q27/$AP$4)</f>
        <v>0</v>
      </c>
      <c r="R28" s="54">
        <f>IF(OR(R27="",$AP$4=0),"",R27/$AP$4)</f>
        <v>0</v>
      </c>
      <c r="S28" s="54">
        <f>IF(OR(S27="",$AP$4=0),"",S27/$AP$4)</f>
        <v>0</v>
      </c>
      <c r="T28" s="54">
        <f>IF(OR(T27="",$AP$4=0),"",T27/$AP$4)</f>
        <v>0</v>
      </c>
      <c r="U28" s="54">
        <f>IF(OR(U27="",$AP$4=0),"",U27/$AP$4)</f>
        <v>0</v>
      </c>
      <c r="V28" s="54">
        <f>IF(OR(V27="",$AP$4=0),"",V27/$AP$4)</f>
        <v>0</v>
      </c>
      <c r="W28" s="54">
        <f>IF(OR(W27="",$AP$4=0),"",W27/$AP$4)</f>
        <v>0</v>
      </c>
      <c r="X28" s="54">
        <f>IF(OR(X27="",$AP$4=0),"",X27/$AP$4)</f>
        <v>0</v>
      </c>
      <c r="Y28" s="54">
        <f>IF(OR(Y27="",$AP$4=0),"",Y27/$AP$4)</f>
        <v>0</v>
      </c>
      <c r="Z28" s="54">
        <f>IF(OR(Z27="",$AP$4=0),"",Z27/$AP$4)</f>
        <v>0</v>
      </c>
      <c r="AA28" s="54">
        <f>IF(OR(AA27="",$AP$4=0),"",AA27/$AP$4)</f>
        <v>0</v>
      </c>
      <c r="AB28" s="54">
        <f>IF(OR(AB27="",$AP$4=0),"",AB27/$AP$4)</f>
        <v>0</v>
      </c>
      <c r="AC28" s="54">
        <f>IF(OR(AC27="",$AP$4=0),"",AC27/$AP$4)</f>
        <v>0</v>
      </c>
      <c r="AD28" s="54">
        <f>IF(OR(AD27="",$AP$4=0),"",AD27/$AP$4)</f>
        <v>0</v>
      </c>
      <c r="AE28" s="54">
        <f>IF(OR(AE27="",$AP$4=0),"",AE27/$AP$4)</f>
        <v>0</v>
      </c>
      <c r="AF28" s="54">
        <f>IF(OR(AF27="",$AP$4=0),"",AF27/$AP$4)</f>
        <v>0</v>
      </c>
      <c r="AG28" s="54">
        <f>IF(OR(AG27="",$AP$4=0),"",AG27/$AP$4)</f>
        <v>0</v>
      </c>
      <c r="AH28" s="54">
        <f>IF(OR(AH27="",$AP$4=0),"",AH27/$AP$4)</f>
        <v>0</v>
      </c>
      <c r="AI28" s="54">
        <f>IF(OR(AI27="",$AP$4=0),"",AI27/$AP$4)</f>
        <v/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июн","")</f>
        <v>Пн 1 июн</v>
      </c>
      <c r="C51" s="63" t="str">
        <f>IF(INDEX($E$27:$AI$27,1)="","",INDEX($E$27:$AI$27,1)&amp;"/"&amp;$AP$4&amp;" ✓")</f>
        <v>0/8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июн","")</f>
        <v>Вт 2 июн</v>
      </c>
      <c r="C52" s="63" t="str">
        <f>IF(INDEX($E$27:$AI$27,2)="","",INDEX($E$27:$AI$27,2)&amp;"/"&amp;$AP$4&amp;" ✓")</f>
        <v>0/8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июн","")</f>
        <v>Ср 3 июн</v>
      </c>
      <c r="C53" s="63" t="str">
        <f>IF(INDEX($E$27:$AI$27,3)="","",INDEX($E$27:$AI$27,3)&amp;"/"&amp;$AP$4&amp;" ✓")</f>
        <v>0/8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июн","")</f>
        <v>Чт 4 июн</v>
      </c>
      <c r="C54" s="63" t="str">
        <f>IF(INDEX($E$27:$AI$27,4)="","",INDEX($E$27:$AI$27,4)&amp;"/"&amp;$AP$4&amp;" ✓")</f>
        <v>0/8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июн","")</f>
        <v>Пт 5 июн</v>
      </c>
      <c r="C55" s="63" t="str">
        <f>IF(INDEX($E$27:$AI$27,5)="","",INDEX($E$27:$AI$27,5)&amp;"/"&amp;$AP$4&amp;" ✓")</f>
        <v>0/8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июн","")</f>
        <v>Сб 6 июн</v>
      </c>
      <c r="C56" s="63" t="str">
        <f>IF(INDEX($E$27:$AI$27,6)="","",INDEX($E$27:$AI$27,6)&amp;"/"&amp;$AP$4&amp;" ✓")</f>
        <v>0/8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июн","")</f>
        <v>Вс 7 июн</v>
      </c>
      <c r="C57" s="63" t="str">
        <f>IF(INDEX($E$27:$AI$27,7)="","",INDEX($E$27:$AI$27,7)&amp;"/"&amp;$AP$4&amp;" ✓")</f>
        <v>0/8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июн","")</f>
        <v>Пн 8 июн</v>
      </c>
      <c r="C58" s="63" t="str">
        <f>IF(INDEX($E$27:$AI$27,8)="","",INDEX($E$27:$AI$27,8)&amp;"/"&amp;$AP$4&amp;" ✓")</f>
        <v>0/8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июн","")</f>
        <v>Вт 9 июн</v>
      </c>
      <c r="C59" s="63" t="str">
        <f>IF(INDEX($E$27:$AI$27,9)="","",INDEX($E$27:$AI$27,9)&amp;"/"&amp;$AP$4&amp;" ✓")</f>
        <v>0/8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июн","")</f>
        <v>Ср 10 июн</v>
      </c>
      <c r="C60" s="63" t="str">
        <f>IF(INDEX($E$27:$AI$27,10)="","",INDEX($E$27:$AI$27,10)&amp;"/"&amp;$AP$4&amp;" ✓")</f>
        <v>0/8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июн","")</f>
        <v>Чт 11 июн</v>
      </c>
      <c r="C61" s="63" t="str">
        <f>IF(INDEX($E$27:$AI$27,11)="","",INDEX($E$27:$AI$27,11)&amp;"/"&amp;$AP$4&amp;" ✓")</f>
        <v>0/8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июн","")</f>
        <v>Пт 12 июн</v>
      </c>
      <c r="C62" s="63" t="str">
        <f>IF(INDEX($E$27:$AI$27,12)="","",INDEX($E$27:$AI$27,12)&amp;"/"&amp;$AP$4&amp;" ✓")</f>
        <v>0/8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июн","")</f>
        <v>Сб 13 июн</v>
      </c>
      <c r="C63" s="63" t="str">
        <f>IF(INDEX($E$27:$AI$27,13)="","",INDEX($E$27:$AI$27,13)&amp;"/"&amp;$AP$4&amp;" ✓")</f>
        <v>0/8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июн","")</f>
        <v>Вс 14 июн</v>
      </c>
      <c r="C64" s="63" t="str">
        <f>IF(INDEX($E$27:$AI$27,14)="","",INDEX($E$27:$AI$27,14)&amp;"/"&amp;$AP$4&amp;" ✓")</f>
        <v>0/8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июн","")</f>
        <v>Пн 15 июн</v>
      </c>
      <c r="C65" s="63" t="str">
        <f>IF(INDEX($E$27:$AI$27,15)="","",INDEX($E$27:$AI$27,15)&amp;"/"&amp;$AP$4&amp;" ✓")</f>
        <v>0/8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июн","")</f>
        <v>Вт 16 июн</v>
      </c>
      <c r="C66" s="63" t="str">
        <f>IF(INDEX($E$27:$AI$27,16)="","",INDEX($E$27:$AI$27,16)&amp;"/"&amp;$AP$4&amp;" ✓")</f>
        <v>0/8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июн","")</f>
        <v>Ср 17 июн</v>
      </c>
      <c r="C67" s="63" t="str">
        <f>IF(INDEX($E$27:$AI$27,17)="","",INDEX($E$27:$AI$27,17)&amp;"/"&amp;$AP$4&amp;" ✓")</f>
        <v>0/8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июн","")</f>
        <v>Чт 18 июн</v>
      </c>
      <c r="C68" s="63" t="str">
        <f>IF(INDEX($E$27:$AI$27,18)="","",INDEX($E$27:$AI$27,18)&amp;"/"&amp;$AP$4&amp;" ✓")</f>
        <v>0/8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июн","")</f>
        <v>Пт 19 июн</v>
      </c>
      <c r="C69" s="63" t="str">
        <f>IF(INDEX($E$27:$AI$27,19)="","",INDEX($E$27:$AI$27,19)&amp;"/"&amp;$AP$4&amp;" ✓")</f>
        <v>0/8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июн","")</f>
        <v>Сб 20 июн</v>
      </c>
      <c r="C70" s="63" t="str">
        <f>IF(INDEX($E$27:$AI$27,20)="","",INDEX($E$27:$AI$27,20)&amp;"/"&amp;$AP$4&amp;" ✓")</f>
        <v>0/8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июн","")</f>
        <v>Вс 21 июн</v>
      </c>
      <c r="C71" s="63" t="str">
        <f>IF(INDEX($E$27:$AI$27,21)="","",INDEX($E$27:$AI$27,21)&amp;"/"&amp;$AP$4&amp;" ✓")</f>
        <v>0/8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июн","")</f>
        <v>Пн 22 июн</v>
      </c>
      <c r="C72" s="63" t="str">
        <f>IF(INDEX($E$27:$AI$27,22)="","",INDEX($E$27:$AI$27,22)&amp;"/"&amp;$AP$4&amp;" ✓")</f>
        <v>0/8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июн","")</f>
        <v>Вт 23 июн</v>
      </c>
      <c r="C73" s="63" t="str">
        <f>IF(INDEX($E$27:$AI$27,23)="","",INDEX($E$27:$AI$27,23)&amp;"/"&amp;$AP$4&amp;" ✓")</f>
        <v>0/8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июн","")</f>
        <v>Ср 24 июн</v>
      </c>
      <c r="C74" s="63" t="str">
        <f>IF(INDEX($E$27:$AI$27,24)="","",INDEX($E$27:$AI$27,24)&amp;"/"&amp;$AP$4&amp;" ✓")</f>
        <v>0/8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июн","")</f>
        <v>Чт 25 июн</v>
      </c>
      <c r="C75" s="63" t="str">
        <f>IF(INDEX($E$27:$AI$27,25)="","",INDEX($E$27:$AI$27,25)&amp;"/"&amp;$AP$4&amp;" ✓")</f>
        <v>0/8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июн","")</f>
        <v>Пт 26 июн</v>
      </c>
      <c r="C76" s="63" t="str">
        <f>IF(INDEX($E$27:$AI$27,26)="","",INDEX($E$27:$AI$27,26)&amp;"/"&amp;$AP$4&amp;" ✓")</f>
        <v>0/8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июн","")</f>
        <v>Сб 27 июн</v>
      </c>
      <c r="C77" s="63" t="str">
        <f>IF(INDEX($E$27:$AI$27,27)="","",INDEX($E$27:$AI$27,27)&amp;"/"&amp;$AP$4&amp;" ✓")</f>
        <v>0/8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июн","")</f>
        <v>Вс 28 июн</v>
      </c>
      <c r="C78" s="63" t="str">
        <f>IF(INDEX($E$27:$AI$27,28)="","",INDEX($E$27:$AI$27,28)&amp;"/"&amp;$AP$4&amp;" ✓")</f>
        <v>0/8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июн","")</f>
        <v>Пн 29 июн</v>
      </c>
      <c r="C79" s="63" t="str">
        <f>IF(INDEX($E$27:$AI$27,29)="","",INDEX($E$27:$AI$27,29)&amp;"/"&amp;$AP$4&amp;" ✓")</f>
        <v>0/8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июн","")</f>
        <v>Вт 30 июн</v>
      </c>
      <c r="C80" s="63" t="str">
        <f>IF(INDEX($E$27:$AI$27,30)="","",INDEX($E$27:$AI$27,30)&amp;"/"&amp;$AP$4&amp;" ✓")</f>
        <v>0/8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июн","")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{DA7ABA51-AAAA-BBBB-0008-000000000001}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8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DATE('Старт'!$D$6,7,1)</f>
        <v>46204.0</v>
      </c>
    </row>
    <row r="2" spans="2:73" ht="30" customHeight="1" x14ac:dyDescent="0.25">
      <c r="B2" s="30" t="str">
        <f>"ИЮЛЬ "&amp;'Старт'!$D$6</f>
        <v>ИЮЛЬ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141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0.781854838709677</v>
      </c>
      <c r="C6" s="15"/>
      <c r="D6" s="15"/>
      <c r="E6" s="16">
        <f>$AP$9</f>
        <v>2</v>
      </c>
      <c r="F6" s="16"/>
      <c r="G6" s="16"/>
      <c r="H6" s="16"/>
      <c r="I6" s="16"/>
      <c r="J6" s="16"/>
      <c r="K6" s="16"/>
      <c r="L6" s="17">
        <f>IFERROR(MAX($AN$12:$AN$26),0)</f>
        <v>13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июл")</f>
        <v>11 июл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июл")</f>
        <v>7 июл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Тренировка</v>
      </c>
      <c r="AH6" s="34"/>
      <c r="AI6" s="34"/>
      <c r="AJ6" s="34"/>
      <c r="AK6" s="34"/>
      <c r="AL6" s="34"/>
      <c r="AM6" s="34"/>
      <c r="AN6" s="34"/>
      <c r="AP6" s="29">
        <f>SUM($AK$12:$AK$26)</f>
        <v>169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169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Подъём до 7:00</v>
      </c>
      <c r="M7" s="18"/>
      <c r="N7" s="18"/>
      <c r="O7" s="18"/>
      <c r="P7" s="18"/>
      <c r="Q7" s="18"/>
      <c r="R7" s="18"/>
      <c r="S7" s="18" t="str">
        <f>IF($AP$3*$AP$4*$AP$6=0,"",ROUND(MAX($E$28:$AI$28)*100,0)&amp;"% привычек выполнено")</f>
        <v>100% привычек выполнено</v>
      </c>
      <c r="T7" s="18"/>
      <c r="U7" s="18"/>
      <c r="V7" s="18"/>
      <c r="W7" s="18"/>
      <c r="X7" s="18"/>
      <c r="Y7" s="18"/>
      <c r="Z7" s="18" t="str">
        <f>IF($AP$3*$AP$4*$AP$6=0,"",ROUND(MIN($E$28:$AI$28)*100,0)&amp;"% привычек выполнено")</f>
        <v>13% привычек выполнено</v>
      </c>
      <c r="AA7" s="18"/>
      <c r="AB7" s="18"/>
      <c r="AC7" s="18"/>
      <c r="AD7" s="18"/>
      <c r="AE7" s="18"/>
      <c r="AF7" s="18"/>
      <c r="AG7" s="18" t="str">
        <f>IF($AP$3*$AP$4*$AP$6=0,"","Подтянуть: "&amp;INDEX($C$12:$C$26,MATCH(MIN($AL$12:$AL$26),$AL$12:$AL$26,0)))</f>
        <v>Подтянуть: Без сахара</v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0.781854838709677</v>
      </c>
    </row>
    <row r="8" spans="2:73" ht="8" customHeight="1" x14ac:dyDescent="0.25">
      <c r="AP8" s="29">
        <f>1-$AP$7</f>
        <v>0.218145161290323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38/56 · 68%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41/56 · 73%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43/56 · 77%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36/56 · 64%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11/24 · 46%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2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Ср</v>
      </c>
      <c r="F10" s="42" t="str">
        <f>IF(2&lt;=$AP$2,CHOOSE(WEEKDAY($AP$1+1,2),"Пн","Вт","Ср","Чт","Пт","Сб","Вс"),"")</f>
        <v>Чт</v>
      </c>
      <c r="G10" s="42" t="str">
        <f>IF(3&lt;=$AP$2,CHOOSE(WEEKDAY($AP$1+2,2),"Пн","Вт","Ср","Чт","Пт","Сб","Вс"),"")</f>
        <v>Пт</v>
      </c>
      <c r="H10" s="42" t="str">
        <f>IF(4&lt;=$AP$2,CHOOSE(WEEKDAY($AP$1+3,2),"Пн","Вт","Ср","Чт","Пт","Сб","Вс"),"")</f>
        <v>Сб</v>
      </c>
      <c r="I10" s="42" t="str">
        <f>IF(5&lt;=$AP$2,CHOOSE(WEEKDAY($AP$1+4,2),"Пн","Вт","Ср","Чт","Пт","Сб","Вс"),"")</f>
        <v>Вс</v>
      </c>
      <c r="J10" s="42" t="str">
        <f>IF(6&lt;=$AP$2,CHOOSE(WEEKDAY($AP$1+5,2),"Пн","Вт","Ср","Чт","Пт","Сб","Вс"),"")</f>
        <v>Пн</v>
      </c>
      <c r="K10" s="42" t="str">
        <f>IF(7&lt;=$AP$2,CHOOSE(WEEKDAY($AP$1+6,2),"Пн","Вт","Ср","Чт","Пт","Сб","Вс"),"")</f>
        <v>Вт</v>
      </c>
      <c r="L10" s="42" t="str">
        <f>IF(8&lt;=$AP$2,CHOOSE(WEEKDAY($AP$1+7,2),"Пн","Вт","Ср","Чт","Пт","Сб","Вс"),"")</f>
        <v>Ср</v>
      </c>
      <c r="M10" s="42" t="str">
        <f>IF(9&lt;=$AP$2,CHOOSE(WEEKDAY($AP$1+8,2),"Пн","Вт","Ср","Чт","Пт","Сб","Вс"),"")</f>
        <v>Чт</v>
      </c>
      <c r="N10" s="42" t="str">
        <f>IF(10&lt;=$AP$2,CHOOSE(WEEKDAY($AP$1+9,2),"Пн","Вт","Ср","Чт","Пт","Сб","Вс"),"")</f>
        <v>Пт</v>
      </c>
      <c r="O10" s="42" t="str">
        <f>IF(11&lt;=$AP$2,CHOOSE(WEEKDAY($AP$1+10,2),"Пн","Вт","Ср","Чт","Пт","Сб","Вс"),"")</f>
        <v>Сб</v>
      </c>
      <c r="P10" s="42" t="str">
        <f>IF(12&lt;=$AP$2,CHOOSE(WEEKDAY($AP$1+11,2),"Пн","Вт","Ср","Чт","Пт","Сб","Вс"),"")</f>
        <v>Вс</v>
      </c>
      <c r="Q10" s="42" t="str">
        <f>IF(13&lt;=$AP$2,CHOOSE(WEEKDAY($AP$1+12,2),"Пн","Вт","Ср","Чт","Пт","Сб","Вс"),"")</f>
        <v>Пн</v>
      </c>
      <c r="R10" s="42" t="str">
        <f>IF(14&lt;=$AP$2,CHOOSE(WEEKDAY($AP$1+13,2),"Пн","Вт","Ср","Чт","Пт","Сб","Вс"),"")</f>
        <v>Вт</v>
      </c>
      <c r="S10" s="42" t="str">
        <f>IF(15&lt;=$AP$2,CHOOSE(WEEKDAY($AP$1+14,2),"Пн","Вт","Ср","Чт","Пт","Сб","Вс"),"")</f>
        <v>Ср</v>
      </c>
      <c r="T10" s="42" t="str">
        <f>IF(16&lt;=$AP$2,CHOOSE(WEEKDAY($AP$1+15,2),"Пн","Вт","Ср","Чт","Пт","Сб","Вс"),"")</f>
        <v>Чт</v>
      </c>
      <c r="U10" s="42" t="str">
        <f>IF(17&lt;=$AP$2,CHOOSE(WEEKDAY($AP$1+16,2),"Пн","Вт","Ср","Чт","Пт","Сб","Вс"),"")</f>
        <v>Пт</v>
      </c>
      <c r="V10" s="42" t="str">
        <f>IF(18&lt;=$AP$2,CHOOSE(WEEKDAY($AP$1+17,2),"Пн","Вт","Ср","Чт","Пт","Сб","Вс"),"")</f>
        <v>Сб</v>
      </c>
      <c r="W10" s="42" t="str">
        <f>IF(19&lt;=$AP$2,CHOOSE(WEEKDAY($AP$1+18,2),"Пн","Вт","Ср","Чт","Пт","Сб","Вс"),"")</f>
        <v>Вс</v>
      </c>
      <c r="X10" s="42" t="str">
        <f>IF(20&lt;=$AP$2,CHOOSE(WEEKDAY($AP$1+19,2),"Пн","Вт","Ср","Чт","Пт","Сб","Вс"),"")</f>
        <v>Пн</v>
      </c>
      <c r="Y10" s="42" t="str">
        <f>IF(21&lt;=$AP$2,CHOOSE(WEEKDAY($AP$1+20,2),"Пн","Вт","Ср","Чт","Пт","Сб","Вс"),"")</f>
        <v>Вт</v>
      </c>
      <c r="Z10" s="42" t="str">
        <f>IF(22&lt;=$AP$2,CHOOSE(WEEKDAY($AP$1+21,2),"Пн","Вт","Ср","Чт","Пт","Сб","Вс"),"")</f>
        <v>Ср</v>
      </c>
      <c r="AA10" s="42" t="str">
        <f>IF(23&lt;=$AP$2,CHOOSE(WEEKDAY($AP$1+22,2),"Пн","Вт","Ср","Чт","Пт","Сб","Вс"),"")</f>
        <v>Чт</v>
      </c>
      <c r="AB10" s="42" t="str">
        <f>IF(24&lt;=$AP$2,CHOOSE(WEEKDAY($AP$1+23,2),"Пн","Вт","Ср","Чт","Пт","Сб","Вс"),"")</f>
        <v>Пт</v>
      </c>
      <c r="AC10" s="42" t="str">
        <f>IF(25&lt;=$AP$2,CHOOSE(WEEKDAY($AP$1+24,2),"Пн","Вт","Ср","Чт","Пт","Сб","Вс"),"")</f>
        <v>Сб</v>
      </c>
      <c r="AD10" s="42" t="str">
        <f>IF(26&lt;=$AP$2,CHOOSE(WEEKDAY($AP$1+25,2),"Пн","Вт","Ср","Чт","Пт","Сб","Вс"),"")</f>
        <v>Вс</v>
      </c>
      <c r="AE10" s="42" t="str">
        <f>IF(27&lt;=$AP$2,CHOOSE(WEEKDAY($AP$1+26,2),"Пн","Вт","Ср","Чт","Пт","Сб","Вс"),"")</f>
        <v>Пн</v>
      </c>
      <c r="AF10" s="42" t="str">
        <f>IF(28&lt;=$AP$2,CHOOSE(WEEKDAY($AP$1+27,2),"Пн","Вт","Ср","Чт","Пт","Сб","Вс"),"")</f>
        <v>Вт</v>
      </c>
      <c r="AG10" s="42" t="str">
        <f>IF(29&lt;=$AP$2,CHOOSE(WEEKDAY($AP$1+28,2),"Пн","Вт","Ср","Чт","Пт","Сб","Вс"),"")</f>
        <v>Ср</v>
      </c>
      <c r="AH10" s="42" t="str">
        <f>IF(30&lt;=$AP$2,CHOOSE(WEEKDAY($AP$1+29,2),"Пн","Вт","Ср","Чт","Пт","Сб","Вс"),"")</f>
        <v>Чт</v>
      </c>
      <c r="AI10" s="42" t="str">
        <f>IF(31&lt;=$AP$2,CHOOSE(WEEKDAY($AP$1+30,2),"Пн","Вт","Ср","Чт","Пт","Сб","Вс"),"")</f>
        <v>Пт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1</v>
      </c>
      <c r="F12" s="46" t="b">
        <v>1</v>
      </c>
      <c r="G12" s="46" t="b">
        <v>1</v>
      </c>
      <c r="H12" s="46" t="b">
        <v>1</v>
      </c>
      <c r="I12" s="46" t="b">
        <v>1</v>
      </c>
      <c r="J12" s="46" t="b">
        <v>1</v>
      </c>
      <c r="K12" s="46" t="b">
        <v>0</v>
      </c>
      <c r="L12" s="46" t="b">
        <v>1</v>
      </c>
      <c r="M12" s="46" t="b">
        <v>1</v>
      </c>
      <c r="N12" s="46" t="b">
        <v>1</v>
      </c>
      <c r="O12" s="46" t="b">
        <v>1</v>
      </c>
      <c r="P12" s="46" t="b">
        <v>1</v>
      </c>
      <c r="Q12" s="46" t="b">
        <v>1</v>
      </c>
      <c r="R12" s="46" t="b">
        <v>1</v>
      </c>
      <c r="S12" s="46" t="b">
        <v>1</v>
      </c>
      <c r="T12" s="46" t="b">
        <v>1</v>
      </c>
      <c r="U12" s="46" t="b">
        <v>0</v>
      </c>
      <c r="V12" s="46" t="b">
        <v>1</v>
      </c>
      <c r="W12" s="46" t="b">
        <v>1</v>
      </c>
      <c r="X12" s="46" t="b">
        <v>1</v>
      </c>
      <c r="Y12" s="46" t="b">
        <v>1</v>
      </c>
      <c r="Z12" s="46" t="b">
        <v>1</v>
      </c>
      <c r="AA12" s="46" t="b">
        <v>1</v>
      </c>
      <c r="AB12" s="46" t="b">
        <v>1</v>
      </c>
      <c r="AC12" s="46" t="b">
        <v>1</v>
      </c>
      <c r="AD12" s="46" t="b">
        <v>1</v>
      </c>
      <c r="AE12" s="46" t="b">
        <v>1</v>
      </c>
      <c r="AF12" s="46" t="b">
        <v>1</v>
      </c>
      <c r="AG12" s="46" t="b">
        <v>1</v>
      </c>
      <c r="AH12" s="46" t="b">
        <v>1</v>
      </c>
      <c r="AI12" s="46" t="b">
        <v>0</v>
      </c>
      <c r="AK12" s="47">
        <f>IF($C12="","",SUMPRODUCT((((E12:AI12=TRUE)+(E12:AI12=1))&gt;0)*($E$11:$AI$11&lt;&gt;"")))</f>
        <v>28</v>
      </c>
      <c r="AL12" s="48">
        <f>IF($C12="","",IF($AP$3=0,0,IFERROR(MIN(1,AK12/$AP$12),0)))</f>
        <v>0.903225806451613</v>
      </c>
      <c r="AM12" s="49">
        <f>IF($C12="","",IF($AP$3=0,0,MAX(INDEX($AQ$12:$BU$12,$AP$3),INDEX($AQ$12:$BU$12,MAX($AP$3-1,1)))))</f>
        <v>13</v>
      </c>
      <c r="AN12" s="45">
        <f>IF($C12="","",MAX($AQ$12:$BU$12))</f>
        <v>13</v>
      </c>
      <c r="AP12" s="29">
        <f>IF($C12="",0,IFERROR(IF($D12="",$AP$2,$D12)*$AP$3/$AP$2,$AP$3))</f>
        <v>31</v>
      </c>
      <c r="AQ12" s="29">
        <f>IF(AND(1&lt;=$AP$3,OR(E12=TRUE,E12=1)),0+1,0)</f>
        <v>1</v>
      </c>
      <c r="AR12" s="29">
        <f>IF(AND(2&lt;=$AP$3,OR(F12=TRUE,F12=1)),AQ12+1,0)</f>
        <v>2</v>
      </c>
      <c r="AS12" s="29">
        <f>IF(AND(3&lt;=$AP$3,OR(G12=TRUE,G12=1)),AR12+1,0)</f>
        <v>3</v>
      </c>
      <c r="AT12" s="29">
        <f>IF(AND(4&lt;=$AP$3,OR(H12=TRUE,H12=1)),AS12+1,0)</f>
        <v>4</v>
      </c>
      <c r="AU12" s="29">
        <f>IF(AND(5&lt;=$AP$3,OR(I12=TRUE,I12=1)),AT12+1,0)</f>
        <v>5</v>
      </c>
      <c r="AV12" s="29">
        <f>IF(AND(6&lt;=$AP$3,OR(J12=TRUE,J12=1)),AU12+1,0)</f>
        <v>6</v>
      </c>
      <c r="AW12" s="29">
        <f>IF(AND(7&lt;=$AP$3,OR(K12=TRUE,K12=1)),AV12+1,0)</f>
        <v>0</v>
      </c>
      <c r="AX12" s="29">
        <f>IF(AND(8&lt;=$AP$3,OR(L12=TRUE,L12=1)),AW12+1,0)</f>
        <v>1</v>
      </c>
      <c r="AY12" s="29">
        <f>IF(AND(9&lt;=$AP$3,OR(M12=TRUE,M12=1)),AX12+1,0)</f>
        <v>2</v>
      </c>
      <c r="AZ12" s="29">
        <f>IF(AND(10&lt;=$AP$3,OR(N12=TRUE,N12=1)),AY12+1,0)</f>
        <v>3</v>
      </c>
      <c r="BA12" s="29">
        <f>IF(AND(11&lt;=$AP$3,OR(O12=TRUE,O12=1)),AZ12+1,0)</f>
        <v>4</v>
      </c>
      <c r="BB12" s="29">
        <f>IF(AND(12&lt;=$AP$3,OR(P12=TRUE,P12=1)),BA12+1,0)</f>
        <v>5</v>
      </c>
      <c r="BC12" s="29">
        <f>IF(AND(13&lt;=$AP$3,OR(Q12=TRUE,Q12=1)),BB12+1,0)</f>
        <v>6</v>
      </c>
      <c r="BD12" s="29">
        <f>IF(AND(14&lt;=$AP$3,OR(R12=TRUE,R12=1)),BC12+1,0)</f>
        <v>7</v>
      </c>
      <c r="BE12" s="29">
        <f>IF(AND(15&lt;=$AP$3,OR(S12=TRUE,S12=1)),BD12+1,0)</f>
        <v>8</v>
      </c>
      <c r="BF12" s="29">
        <f>IF(AND(16&lt;=$AP$3,OR(T12=TRUE,T12=1)),BE12+1,0)</f>
        <v>9</v>
      </c>
      <c r="BG12" s="29">
        <f>IF(AND(17&lt;=$AP$3,OR(U12=TRUE,U12=1)),BF12+1,0)</f>
        <v>0</v>
      </c>
      <c r="BH12" s="29">
        <f>IF(AND(18&lt;=$AP$3,OR(V12=TRUE,V12=1)),BG12+1,0)</f>
        <v>1</v>
      </c>
      <c r="BI12" s="29">
        <f>IF(AND(19&lt;=$AP$3,OR(W12=TRUE,W12=1)),BH12+1,0)</f>
        <v>2</v>
      </c>
      <c r="BJ12" s="29">
        <f>IF(AND(20&lt;=$AP$3,OR(X12=TRUE,X12=1)),BI12+1,0)</f>
        <v>3</v>
      </c>
      <c r="BK12" s="29">
        <f>IF(AND(21&lt;=$AP$3,OR(Y12=TRUE,Y12=1)),BJ12+1,0)</f>
        <v>4</v>
      </c>
      <c r="BL12" s="29">
        <f>IF(AND(22&lt;=$AP$3,OR(Z12=TRUE,Z12=1)),BK12+1,0)</f>
        <v>5</v>
      </c>
      <c r="BM12" s="29">
        <f>IF(AND(23&lt;=$AP$3,OR(AA12=TRUE,AA12=1)),BL12+1,0)</f>
        <v>6</v>
      </c>
      <c r="BN12" s="29">
        <f>IF(AND(24&lt;=$AP$3,OR(AB12=TRUE,AB12=1)),BM12+1,0)</f>
        <v>7</v>
      </c>
      <c r="BO12" s="29">
        <f>IF(AND(25&lt;=$AP$3,OR(AC12=TRUE,AC12=1)),BN12+1,0)</f>
        <v>8</v>
      </c>
      <c r="BP12" s="29">
        <f>IF(AND(26&lt;=$AP$3,OR(AD12=TRUE,AD12=1)),BO12+1,0)</f>
        <v>9</v>
      </c>
      <c r="BQ12" s="29">
        <f>IF(AND(27&lt;=$AP$3,OR(AE12=TRUE,AE12=1)),BP12+1,0)</f>
        <v>10</v>
      </c>
      <c r="BR12" s="29">
        <f>IF(AND(28&lt;=$AP$3,OR(AF12=TRUE,AF12=1)),BQ12+1,0)</f>
        <v>11</v>
      </c>
      <c r="BS12" s="29">
        <f>IF(AND(29&lt;=$AP$3,OR(AG12=TRUE,AG12=1)),BR12+1,0)</f>
        <v>12</v>
      </c>
      <c r="BT12" s="29">
        <f>IF(AND(30&lt;=$AP$3,OR(AH12=TRUE,AH12=1)),BS12+1,0)</f>
        <v>13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1</v>
      </c>
      <c r="F13" s="46" t="b">
        <v>1</v>
      </c>
      <c r="G13" s="46" t="b">
        <v>1</v>
      </c>
      <c r="H13" s="46" t="b">
        <v>0</v>
      </c>
      <c r="I13" s="46" t="b">
        <v>0</v>
      </c>
      <c r="J13" s="46" t="b">
        <v>1</v>
      </c>
      <c r="K13" s="46" t="b">
        <v>0</v>
      </c>
      <c r="L13" s="46" t="b">
        <v>0</v>
      </c>
      <c r="M13" s="46" t="b">
        <v>1</v>
      </c>
      <c r="N13" s="46" t="b">
        <v>1</v>
      </c>
      <c r="O13" s="46" t="b">
        <v>1</v>
      </c>
      <c r="P13" s="46" t="b">
        <v>0</v>
      </c>
      <c r="Q13" s="46" t="b">
        <v>1</v>
      </c>
      <c r="R13" s="46" t="b">
        <v>0</v>
      </c>
      <c r="S13" s="46" t="b">
        <v>1</v>
      </c>
      <c r="T13" s="46" t="b">
        <v>0</v>
      </c>
      <c r="U13" s="46" t="b">
        <v>0</v>
      </c>
      <c r="V13" s="46" t="b">
        <v>0</v>
      </c>
      <c r="W13" s="46" t="b">
        <v>1</v>
      </c>
      <c r="X13" s="46" t="b">
        <v>1</v>
      </c>
      <c r="Y13" s="46" t="b">
        <v>1</v>
      </c>
      <c r="Z13" s="46" t="b">
        <v>1</v>
      </c>
      <c r="AA13" s="46" t="b">
        <v>0</v>
      </c>
      <c r="AB13" s="46" t="b">
        <v>1</v>
      </c>
      <c r="AC13" s="46" t="b">
        <v>1</v>
      </c>
      <c r="AD13" s="46" t="b">
        <v>0</v>
      </c>
      <c r="AE13" s="46" t="b">
        <v>0</v>
      </c>
      <c r="AF13" s="46" t="b">
        <v>1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16</v>
      </c>
      <c r="AL13" s="48">
        <f>IF($C13="","",IF($AP$3=0,0,IFERROR(MIN(1,AK13/$AP$13),0)))</f>
        <v>1</v>
      </c>
      <c r="AM13" s="49">
        <f>IF($C13="","",IF($AP$3=0,0,MAX(INDEX($AQ$13:$BU$13,$AP$3),INDEX($AQ$13:$BU$13,MAX($AP$3-1,1)))))</f>
        <v>0</v>
      </c>
      <c r="AN13" s="45">
        <f>IF($C13="","",MAX($AQ$13:$BU$13))</f>
        <v>4</v>
      </c>
      <c r="AP13" s="29">
        <f>IF($C13="",0,IFERROR(IF($D13="",$AP$2,$D13)*$AP$3/$AP$2,$AP$3))</f>
        <v>12</v>
      </c>
      <c r="AQ13" s="29">
        <f>IF(AND(1&lt;=$AP$3,OR(E13=TRUE,E13=1)),0+1,0)</f>
        <v>1</v>
      </c>
      <c r="AR13" s="29">
        <f>IF(AND(2&lt;=$AP$3,OR(F13=TRUE,F13=1)),AQ13+1,0)</f>
        <v>2</v>
      </c>
      <c r="AS13" s="29">
        <f>IF(AND(3&lt;=$AP$3,OR(G13=TRUE,G13=1)),AR13+1,0)</f>
        <v>3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1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1</v>
      </c>
      <c r="AZ13" s="29">
        <f>IF(AND(10&lt;=$AP$3,OR(N13=TRUE,N13=1)),AY13+1,0)</f>
        <v>2</v>
      </c>
      <c r="BA13" s="29">
        <f>IF(AND(11&lt;=$AP$3,OR(O13=TRUE,O13=1)),AZ13+1,0)</f>
        <v>3</v>
      </c>
      <c r="BB13" s="29">
        <f>IF(AND(12&lt;=$AP$3,OR(P13=TRUE,P13=1)),BA13+1,0)</f>
        <v>0</v>
      </c>
      <c r="BC13" s="29">
        <f>IF(AND(13&lt;=$AP$3,OR(Q13=TRUE,Q13=1)),BB13+1,0)</f>
        <v>1</v>
      </c>
      <c r="BD13" s="29">
        <f>IF(AND(14&lt;=$AP$3,OR(R13=TRUE,R13=1)),BC13+1,0)</f>
        <v>0</v>
      </c>
      <c r="BE13" s="29">
        <f>IF(AND(15&lt;=$AP$3,OR(S13=TRUE,S13=1)),BD13+1,0)</f>
        <v>1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1</v>
      </c>
      <c r="BJ13" s="29">
        <f>IF(AND(20&lt;=$AP$3,OR(X13=TRUE,X13=1)),BI13+1,0)</f>
        <v>2</v>
      </c>
      <c r="BK13" s="29">
        <f>IF(AND(21&lt;=$AP$3,OR(Y13=TRUE,Y13=1)),BJ13+1,0)</f>
        <v>3</v>
      </c>
      <c r="BL13" s="29">
        <f>IF(AND(22&lt;=$AP$3,OR(Z13=TRUE,Z13=1)),BK13+1,0)</f>
        <v>4</v>
      </c>
      <c r="BM13" s="29">
        <f>IF(AND(23&lt;=$AP$3,OR(AA13=TRUE,AA13=1)),BL13+1,0)</f>
        <v>0</v>
      </c>
      <c r="BN13" s="29">
        <f>IF(AND(24&lt;=$AP$3,OR(AB13=TRUE,AB13=1)),BM13+1,0)</f>
        <v>1</v>
      </c>
      <c r="BO13" s="29">
        <f>IF(AND(25&lt;=$AP$3,OR(AC13=TRUE,AC13=1)),BN13+1,0)</f>
        <v>2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1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1</v>
      </c>
      <c r="F14" s="46" t="b">
        <v>1</v>
      </c>
      <c r="G14" s="46" t="b">
        <v>1</v>
      </c>
      <c r="H14" s="46" t="b">
        <v>1</v>
      </c>
      <c r="I14" s="46" t="b">
        <v>1</v>
      </c>
      <c r="J14" s="46" t="b">
        <v>0</v>
      </c>
      <c r="K14" s="46" t="b">
        <v>0</v>
      </c>
      <c r="L14" s="46" t="b">
        <v>1</v>
      </c>
      <c r="M14" s="46" t="b">
        <v>1</v>
      </c>
      <c r="N14" s="46" t="b">
        <v>1</v>
      </c>
      <c r="O14" s="46" t="b">
        <v>1</v>
      </c>
      <c r="P14" s="46" t="b">
        <v>1</v>
      </c>
      <c r="Q14" s="46" t="b">
        <v>1</v>
      </c>
      <c r="R14" s="46" t="b">
        <v>0</v>
      </c>
      <c r="S14" s="46" t="b">
        <v>1</v>
      </c>
      <c r="T14" s="46" t="b">
        <v>1</v>
      </c>
      <c r="U14" s="46" t="b">
        <v>1</v>
      </c>
      <c r="V14" s="46" t="b">
        <v>0</v>
      </c>
      <c r="W14" s="46" t="b">
        <v>1</v>
      </c>
      <c r="X14" s="46" t="b">
        <v>1</v>
      </c>
      <c r="Y14" s="46" t="b">
        <v>1</v>
      </c>
      <c r="Z14" s="46" t="b">
        <v>0</v>
      </c>
      <c r="AA14" s="46" t="b">
        <v>0</v>
      </c>
      <c r="AB14" s="46" t="b">
        <v>0</v>
      </c>
      <c r="AC14" s="46" t="b">
        <v>1</v>
      </c>
      <c r="AD14" s="46" t="b">
        <v>1</v>
      </c>
      <c r="AE14" s="46" t="b">
        <v>1</v>
      </c>
      <c r="AF14" s="46" t="b">
        <v>1</v>
      </c>
      <c r="AG14" s="46" t="b">
        <v>0</v>
      </c>
      <c r="AH14" s="46" t="b">
        <v>1</v>
      </c>
      <c r="AI14" s="46" t="b">
        <v>1</v>
      </c>
      <c r="AK14" s="47">
        <f>IF($C14="","",SUMPRODUCT((((E14:AI14=TRUE)+(E14:AI14=1))&gt;0)*($E$11:$AI$11&lt;&gt;"")))</f>
        <v>23</v>
      </c>
      <c r="AL14" s="48">
        <f>IF($C14="","",IF($AP$3=0,0,IFERROR(MIN(1,AK14/$AP$14),0)))</f>
        <v>0.741935483870968</v>
      </c>
      <c r="AM14" s="49">
        <f>IF($C14="","",IF($AP$3=0,0,MAX(INDEX($AQ$14:$BU$14,$AP$3),INDEX($AQ$14:$BU$14,MAX($AP$3-1,1)))))</f>
        <v>2</v>
      </c>
      <c r="AN14" s="45">
        <f>IF($C14="","",MAX($AQ$14:$BU$14))</f>
        <v>6</v>
      </c>
      <c r="AP14" s="29">
        <f>IF($C14="",0,IFERROR(IF($D14="",$AP$2,$D14)*$AP$3/$AP$2,$AP$3))</f>
        <v>31</v>
      </c>
      <c r="AQ14" s="29">
        <f>IF(AND(1&lt;=$AP$3,OR(E14=TRUE,E14=1)),0+1,0)</f>
        <v>1</v>
      </c>
      <c r="AR14" s="29">
        <f>IF(AND(2&lt;=$AP$3,OR(F14=TRUE,F14=1)),AQ14+1,0)</f>
        <v>2</v>
      </c>
      <c r="AS14" s="29">
        <f>IF(AND(3&lt;=$AP$3,OR(G14=TRUE,G14=1)),AR14+1,0)</f>
        <v>3</v>
      </c>
      <c r="AT14" s="29">
        <f>IF(AND(4&lt;=$AP$3,OR(H14=TRUE,H14=1)),AS14+1,0)</f>
        <v>4</v>
      </c>
      <c r="AU14" s="29">
        <f>IF(AND(5&lt;=$AP$3,OR(I14=TRUE,I14=1)),AT14+1,0)</f>
        <v>5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1</v>
      </c>
      <c r="AY14" s="29">
        <f>IF(AND(9&lt;=$AP$3,OR(M14=TRUE,M14=1)),AX14+1,0)</f>
        <v>2</v>
      </c>
      <c r="AZ14" s="29">
        <f>IF(AND(10&lt;=$AP$3,OR(N14=TRUE,N14=1)),AY14+1,0)</f>
        <v>3</v>
      </c>
      <c r="BA14" s="29">
        <f>IF(AND(11&lt;=$AP$3,OR(O14=TRUE,O14=1)),AZ14+1,0)</f>
        <v>4</v>
      </c>
      <c r="BB14" s="29">
        <f>IF(AND(12&lt;=$AP$3,OR(P14=TRUE,P14=1)),BA14+1,0)</f>
        <v>5</v>
      </c>
      <c r="BC14" s="29">
        <f>IF(AND(13&lt;=$AP$3,OR(Q14=TRUE,Q14=1)),BB14+1,0)</f>
        <v>6</v>
      </c>
      <c r="BD14" s="29">
        <f>IF(AND(14&lt;=$AP$3,OR(R14=TRUE,R14=1)),BC14+1,0)</f>
        <v>0</v>
      </c>
      <c r="BE14" s="29">
        <f>IF(AND(15&lt;=$AP$3,OR(S14=TRUE,S14=1)),BD14+1,0)</f>
        <v>1</v>
      </c>
      <c r="BF14" s="29">
        <f>IF(AND(16&lt;=$AP$3,OR(T14=TRUE,T14=1)),BE14+1,0)</f>
        <v>2</v>
      </c>
      <c r="BG14" s="29">
        <f>IF(AND(17&lt;=$AP$3,OR(U14=TRUE,U14=1)),BF14+1,0)</f>
        <v>3</v>
      </c>
      <c r="BH14" s="29">
        <f>IF(AND(18&lt;=$AP$3,OR(V14=TRUE,V14=1)),BG14+1,0)</f>
        <v>0</v>
      </c>
      <c r="BI14" s="29">
        <f>IF(AND(19&lt;=$AP$3,OR(W14=TRUE,W14=1)),BH14+1,0)</f>
        <v>1</v>
      </c>
      <c r="BJ14" s="29">
        <f>IF(AND(20&lt;=$AP$3,OR(X14=TRUE,X14=1)),BI14+1,0)</f>
        <v>2</v>
      </c>
      <c r="BK14" s="29">
        <f>IF(AND(21&lt;=$AP$3,OR(Y14=TRUE,Y14=1)),BJ14+1,0)</f>
        <v>3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1</v>
      </c>
      <c r="BP14" s="29">
        <f>IF(AND(26&lt;=$AP$3,OR(AD14=TRUE,AD14=1)),BO14+1,0)</f>
        <v>2</v>
      </c>
      <c r="BQ14" s="29">
        <f>IF(AND(27&lt;=$AP$3,OR(AE14=TRUE,AE14=1)),BP14+1,0)</f>
        <v>3</v>
      </c>
      <c r="BR14" s="29">
        <f>IF(AND(28&lt;=$AP$3,OR(AF14=TRUE,AF14=1)),BQ14+1,0)</f>
        <v>4</v>
      </c>
      <c r="BS14" s="29">
        <f>IF(AND(29&lt;=$AP$3,OR(AG14=TRUE,AG14=1)),BR14+1,0)</f>
        <v>0</v>
      </c>
      <c r="BT14" s="29">
        <f>IF(AND(30&lt;=$AP$3,OR(AH14=TRUE,AH14=1)),BS14+1,0)</f>
        <v>1</v>
      </c>
      <c r="BU14" s="29">
        <f>IF(AND(31&lt;=$AP$3,OR(AI14=TRUE,AI14=1)),BT14+1,0)</f>
        <v>2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1</v>
      </c>
      <c r="F15" s="46" t="b">
        <v>1</v>
      </c>
      <c r="G15" s="46" t="b">
        <v>1</v>
      </c>
      <c r="H15" s="46" t="b">
        <v>0</v>
      </c>
      <c r="I15" s="46" t="b">
        <v>1</v>
      </c>
      <c r="J15" s="46" t="b">
        <v>1</v>
      </c>
      <c r="K15" s="46" t="b">
        <v>1</v>
      </c>
      <c r="L15" s="46" t="b">
        <v>1</v>
      </c>
      <c r="M15" s="46" t="b">
        <v>1</v>
      </c>
      <c r="N15" s="46" t="b">
        <v>0</v>
      </c>
      <c r="O15" s="46" t="b">
        <v>1</v>
      </c>
      <c r="P15" s="46" t="b">
        <v>1</v>
      </c>
      <c r="Q15" s="46" t="b">
        <v>1</v>
      </c>
      <c r="R15" s="46" t="b">
        <v>0</v>
      </c>
      <c r="S15" s="46" t="b">
        <v>1</v>
      </c>
      <c r="T15" s="46" t="b">
        <v>1</v>
      </c>
      <c r="U15" s="46" t="b">
        <v>1</v>
      </c>
      <c r="V15" s="46" t="b">
        <v>1</v>
      </c>
      <c r="W15" s="46" t="b">
        <v>1</v>
      </c>
      <c r="X15" s="46" t="b">
        <v>1</v>
      </c>
      <c r="Y15" s="46" t="b">
        <v>0</v>
      </c>
      <c r="Z15" s="46" t="b">
        <v>0</v>
      </c>
      <c r="AA15" s="46" t="b">
        <v>0</v>
      </c>
      <c r="AB15" s="46" t="b">
        <v>1</v>
      </c>
      <c r="AC15" s="46" t="b">
        <v>1</v>
      </c>
      <c r="AD15" s="46" t="b">
        <v>1</v>
      </c>
      <c r="AE15" s="46" t="b">
        <v>1</v>
      </c>
      <c r="AF15" s="46" t="b">
        <v>1</v>
      </c>
      <c r="AG15" s="46" t="b">
        <v>1</v>
      </c>
      <c r="AH15" s="46" t="b">
        <v>1</v>
      </c>
      <c r="AI15" s="46" t="b">
        <v>1</v>
      </c>
      <c r="AK15" s="47">
        <f>IF($C15="","",SUMPRODUCT((((E15:AI15=TRUE)+(E15:AI15=1))&gt;0)*($E$11:$AI$11&lt;&gt;"")))</f>
        <v>25</v>
      </c>
      <c r="AL15" s="48">
        <f>IF($C15="","",IF($AP$3=0,0,IFERROR(MIN(1,AK15/$AP$15),0)))</f>
        <v>0.806451612903226</v>
      </c>
      <c r="AM15" s="49">
        <f>IF($C15="","",IF($AP$3=0,0,MAX(INDEX($AQ$15:$BU$15,$AP$3),INDEX($AQ$15:$BU$15,MAX($AP$3-1,1)))))</f>
        <v>8</v>
      </c>
      <c r="AN15" s="45">
        <f>IF($C15="","",MAX($AQ$15:$BU$15))</f>
        <v>8</v>
      </c>
      <c r="AP15" s="29">
        <f>IF($C15="",0,IFERROR(IF($D15="",$AP$2,$D15)*$AP$3/$AP$2,$AP$3))</f>
        <v>31</v>
      </c>
      <c r="AQ15" s="29">
        <f>IF(AND(1&lt;=$AP$3,OR(E15=TRUE,E15=1)),0+1,0)</f>
        <v>1</v>
      </c>
      <c r="AR15" s="29">
        <f>IF(AND(2&lt;=$AP$3,OR(F15=TRUE,F15=1)),AQ15+1,0)</f>
        <v>2</v>
      </c>
      <c r="AS15" s="29">
        <f>IF(AND(3&lt;=$AP$3,OR(G15=TRUE,G15=1)),AR15+1,0)</f>
        <v>3</v>
      </c>
      <c r="AT15" s="29">
        <f>IF(AND(4&lt;=$AP$3,OR(H15=TRUE,H15=1)),AS15+1,0)</f>
        <v>0</v>
      </c>
      <c r="AU15" s="29">
        <f>IF(AND(5&lt;=$AP$3,OR(I15=TRUE,I15=1)),AT15+1,0)</f>
        <v>1</v>
      </c>
      <c r="AV15" s="29">
        <f>IF(AND(6&lt;=$AP$3,OR(J15=TRUE,J15=1)),AU15+1,0)</f>
        <v>2</v>
      </c>
      <c r="AW15" s="29">
        <f>IF(AND(7&lt;=$AP$3,OR(K15=TRUE,K15=1)),AV15+1,0)</f>
        <v>3</v>
      </c>
      <c r="AX15" s="29">
        <f>IF(AND(8&lt;=$AP$3,OR(L15=TRUE,L15=1)),AW15+1,0)</f>
        <v>4</v>
      </c>
      <c r="AY15" s="29">
        <f>IF(AND(9&lt;=$AP$3,OR(M15=TRUE,M15=1)),AX15+1,0)</f>
        <v>5</v>
      </c>
      <c r="AZ15" s="29">
        <f>IF(AND(10&lt;=$AP$3,OR(N15=TRUE,N15=1)),AY15+1,0)</f>
        <v>0</v>
      </c>
      <c r="BA15" s="29">
        <f>IF(AND(11&lt;=$AP$3,OR(O15=TRUE,O15=1)),AZ15+1,0)</f>
        <v>1</v>
      </c>
      <c r="BB15" s="29">
        <f>IF(AND(12&lt;=$AP$3,OR(P15=TRUE,P15=1)),BA15+1,0)</f>
        <v>2</v>
      </c>
      <c r="BC15" s="29">
        <f>IF(AND(13&lt;=$AP$3,OR(Q15=TRUE,Q15=1)),BB15+1,0)</f>
        <v>3</v>
      </c>
      <c r="BD15" s="29">
        <f>IF(AND(14&lt;=$AP$3,OR(R15=TRUE,R15=1)),BC15+1,0)</f>
        <v>0</v>
      </c>
      <c r="BE15" s="29">
        <f>IF(AND(15&lt;=$AP$3,OR(S15=TRUE,S15=1)),BD15+1,0)</f>
        <v>1</v>
      </c>
      <c r="BF15" s="29">
        <f>IF(AND(16&lt;=$AP$3,OR(T15=TRUE,T15=1)),BE15+1,0)</f>
        <v>2</v>
      </c>
      <c r="BG15" s="29">
        <f>IF(AND(17&lt;=$AP$3,OR(U15=TRUE,U15=1)),BF15+1,0)</f>
        <v>3</v>
      </c>
      <c r="BH15" s="29">
        <f>IF(AND(18&lt;=$AP$3,OR(V15=TRUE,V15=1)),BG15+1,0)</f>
        <v>4</v>
      </c>
      <c r="BI15" s="29">
        <f>IF(AND(19&lt;=$AP$3,OR(W15=TRUE,W15=1)),BH15+1,0)</f>
        <v>5</v>
      </c>
      <c r="BJ15" s="29">
        <f>IF(AND(20&lt;=$AP$3,OR(X15=TRUE,X15=1)),BI15+1,0)</f>
        <v>6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1</v>
      </c>
      <c r="BO15" s="29">
        <f>IF(AND(25&lt;=$AP$3,OR(AC15=TRUE,AC15=1)),BN15+1,0)</f>
        <v>2</v>
      </c>
      <c r="BP15" s="29">
        <f>IF(AND(26&lt;=$AP$3,OR(AD15=TRUE,AD15=1)),BO15+1,0)</f>
        <v>3</v>
      </c>
      <c r="BQ15" s="29">
        <f>IF(AND(27&lt;=$AP$3,OR(AE15=TRUE,AE15=1)),BP15+1,0)</f>
        <v>4</v>
      </c>
      <c r="BR15" s="29">
        <f>IF(AND(28&lt;=$AP$3,OR(AF15=TRUE,AF15=1)),BQ15+1,0)</f>
        <v>5</v>
      </c>
      <c r="BS15" s="29">
        <f>IF(AND(29&lt;=$AP$3,OR(AG15=TRUE,AG15=1)),BR15+1,0)</f>
        <v>6</v>
      </c>
      <c r="BT15" s="29">
        <f>IF(AND(30&lt;=$AP$3,OR(AH15=TRUE,AH15=1)),BS15+1,0)</f>
        <v>7</v>
      </c>
      <c r="BU15" s="29">
        <f>IF(AND(31&lt;=$AP$3,OR(AI15=TRUE,AI15=1)),BT15+1,0)</f>
        <v>8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1</v>
      </c>
      <c r="F16" s="46" t="b">
        <v>1</v>
      </c>
      <c r="G16" s="46" t="b">
        <v>1</v>
      </c>
      <c r="H16" s="46" t="b">
        <v>1</v>
      </c>
      <c r="I16" s="46" t="b">
        <v>1</v>
      </c>
      <c r="J16" s="46" t="b">
        <v>1</v>
      </c>
      <c r="K16" s="46" t="b">
        <v>0</v>
      </c>
      <c r="L16" s="46" t="b">
        <v>0</v>
      </c>
      <c r="M16" s="46" t="b">
        <v>1</v>
      </c>
      <c r="N16" s="46" t="b">
        <v>0</v>
      </c>
      <c r="O16" s="46" t="b">
        <v>1</v>
      </c>
      <c r="P16" s="46" t="b">
        <v>0</v>
      </c>
      <c r="Q16" s="46" t="b">
        <v>1</v>
      </c>
      <c r="R16" s="46" t="b">
        <v>0</v>
      </c>
      <c r="S16" s="46" t="b">
        <v>0</v>
      </c>
      <c r="T16" s="46" t="b">
        <v>0</v>
      </c>
      <c r="U16" s="46" t="b">
        <v>1</v>
      </c>
      <c r="V16" s="46" t="b">
        <v>1</v>
      </c>
      <c r="W16" s="46" t="b">
        <v>1</v>
      </c>
      <c r="X16" s="46" t="b">
        <v>1</v>
      </c>
      <c r="Y16" s="46" t="b">
        <v>1</v>
      </c>
      <c r="Z16" s="46" t="b">
        <v>1</v>
      </c>
      <c r="AA16" s="46" t="b">
        <v>0</v>
      </c>
      <c r="AB16" s="46" t="b">
        <v>1</v>
      </c>
      <c r="AC16" s="46" t="b">
        <v>1</v>
      </c>
      <c r="AD16" s="46" t="b">
        <v>0</v>
      </c>
      <c r="AE16" s="46" t="b">
        <v>0</v>
      </c>
      <c r="AF16" s="46" t="b">
        <v>1</v>
      </c>
      <c r="AG16" s="46" t="b">
        <v>0</v>
      </c>
      <c r="AH16" s="46" t="b">
        <v>0</v>
      </c>
      <c r="AI16" s="46" t="b">
        <v>1</v>
      </c>
      <c r="AK16" s="47">
        <f>IF($C16="","",SUMPRODUCT((((E16:AI16=TRUE)+(E16:AI16=1))&gt;0)*($E$11:$AI$11&lt;&gt;"")))</f>
        <v>19</v>
      </c>
      <c r="AL16" s="48">
        <f>IF($C16="","",IF($AP$3=0,0,IFERROR(MIN(1,AK16/$AP$16),0)))</f>
        <v>0.612903225806452</v>
      </c>
      <c r="AM16" s="49">
        <f>IF($C16="","",IF($AP$3=0,0,MAX(INDEX($AQ$16:$BU$16,$AP$3),INDEX($AQ$16:$BU$16,MAX($AP$3-1,1)))))</f>
        <v>1</v>
      </c>
      <c r="AN16" s="45">
        <f>IF($C16="","",MAX($AQ$16:$BU$16))</f>
        <v>6</v>
      </c>
      <c r="AP16" s="29">
        <f>IF($C16="",0,IFERROR(IF($D16="",$AP$2,$D16)*$AP$3/$AP$2,$AP$3))</f>
        <v>31</v>
      </c>
      <c r="AQ16" s="29">
        <f>IF(AND(1&lt;=$AP$3,OR(E16=TRUE,E16=1)),0+1,0)</f>
        <v>1</v>
      </c>
      <c r="AR16" s="29">
        <f>IF(AND(2&lt;=$AP$3,OR(F16=TRUE,F16=1)),AQ16+1,0)</f>
        <v>2</v>
      </c>
      <c r="AS16" s="29">
        <f>IF(AND(3&lt;=$AP$3,OR(G16=TRUE,G16=1)),AR16+1,0)</f>
        <v>3</v>
      </c>
      <c r="AT16" s="29">
        <f>IF(AND(4&lt;=$AP$3,OR(H16=TRUE,H16=1)),AS16+1,0)</f>
        <v>4</v>
      </c>
      <c r="AU16" s="29">
        <f>IF(AND(5&lt;=$AP$3,OR(I16=TRUE,I16=1)),AT16+1,0)</f>
        <v>5</v>
      </c>
      <c r="AV16" s="29">
        <f>IF(AND(6&lt;=$AP$3,OR(J16=TRUE,J16=1)),AU16+1,0)</f>
        <v>6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1</v>
      </c>
      <c r="AZ16" s="29">
        <f>IF(AND(10&lt;=$AP$3,OR(N16=TRUE,N16=1)),AY16+1,0)</f>
        <v>0</v>
      </c>
      <c r="BA16" s="29">
        <f>IF(AND(11&lt;=$AP$3,OR(O16=TRUE,O16=1)),AZ16+1,0)</f>
        <v>1</v>
      </c>
      <c r="BB16" s="29">
        <f>IF(AND(12&lt;=$AP$3,OR(P16=TRUE,P16=1)),BA16+1,0)</f>
        <v>0</v>
      </c>
      <c r="BC16" s="29">
        <f>IF(AND(13&lt;=$AP$3,OR(Q16=TRUE,Q16=1)),BB16+1,0)</f>
        <v>1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1</v>
      </c>
      <c r="BH16" s="29">
        <f>IF(AND(18&lt;=$AP$3,OR(V16=TRUE,V16=1)),BG16+1,0)</f>
        <v>2</v>
      </c>
      <c r="BI16" s="29">
        <f>IF(AND(19&lt;=$AP$3,OR(W16=TRUE,W16=1)),BH16+1,0)</f>
        <v>3</v>
      </c>
      <c r="BJ16" s="29">
        <f>IF(AND(20&lt;=$AP$3,OR(X16=TRUE,X16=1)),BI16+1,0)</f>
        <v>4</v>
      </c>
      <c r="BK16" s="29">
        <f>IF(AND(21&lt;=$AP$3,OR(Y16=TRUE,Y16=1)),BJ16+1,0)</f>
        <v>5</v>
      </c>
      <c r="BL16" s="29">
        <f>IF(AND(22&lt;=$AP$3,OR(Z16=TRUE,Z16=1)),BK16+1,0)</f>
        <v>6</v>
      </c>
      <c r="BM16" s="29">
        <f>IF(AND(23&lt;=$AP$3,OR(AA16=TRUE,AA16=1)),BL16+1,0)</f>
        <v>0</v>
      </c>
      <c r="BN16" s="29">
        <f>IF(AND(24&lt;=$AP$3,OR(AB16=TRUE,AB16=1)),BM16+1,0)</f>
        <v>1</v>
      </c>
      <c r="BO16" s="29">
        <f>IF(AND(25&lt;=$AP$3,OR(AC16=TRUE,AC16=1)),BN16+1,0)</f>
        <v>2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1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1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1</v>
      </c>
      <c r="G17" s="46" t="b">
        <v>0</v>
      </c>
      <c r="H17" s="46" t="b">
        <v>1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1</v>
      </c>
      <c r="P17" s="46" t="b">
        <v>0</v>
      </c>
      <c r="Q17" s="46" t="b">
        <v>1</v>
      </c>
      <c r="R17" s="46" t="b">
        <v>1</v>
      </c>
      <c r="S17" s="46" t="b">
        <v>1</v>
      </c>
      <c r="T17" s="46" t="b">
        <v>1</v>
      </c>
      <c r="U17" s="46" t="b">
        <v>1</v>
      </c>
      <c r="V17" s="46" t="b">
        <v>1</v>
      </c>
      <c r="W17" s="46" t="b">
        <v>0</v>
      </c>
      <c r="X17" s="46" t="b">
        <v>1</v>
      </c>
      <c r="Y17" s="46" t="b">
        <v>1</v>
      </c>
      <c r="Z17" s="46" t="b">
        <v>1</v>
      </c>
      <c r="AA17" s="46" t="b">
        <v>0</v>
      </c>
      <c r="AB17" s="46" t="b">
        <v>0</v>
      </c>
      <c r="AC17" s="46" t="b">
        <v>0</v>
      </c>
      <c r="AD17" s="46" t="b">
        <v>1</v>
      </c>
      <c r="AE17" s="46" t="b">
        <v>1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14</v>
      </c>
      <c r="AL17" s="48">
        <f>IF($C17="","",IF($AP$3=0,0,IFERROR(MIN(1,AK17/$AP$17),0)))</f>
        <v>0.451612903225806</v>
      </c>
      <c r="AM17" s="49">
        <f>IF($C17="","",IF($AP$3=0,0,MAX(INDEX($AQ$17:$BU$17,$AP$3),INDEX($AQ$17:$BU$17,MAX($AP$3-1,1)))))</f>
        <v>0</v>
      </c>
      <c r="AN17" s="45">
        <f>IF($C17="","",MAX($AQ$17:$BU$17))</f>
        <v>6</v>
      </c>
      <c r="AP17" s="29">
        <f>IF($C17="",0,IFERROR(IF($D17="",$AP$2,$D17)*$AP$3/$AP$2,$AP$3))</f>
        <v>31</v>
      </c>
      <c r="AQ17" s="29">
        <f>IF(AND(1&lt;=$AP$3,OR(E17=TRUE,E17=1)),0+1,0)</f>
        <v>0</v>
      </c>
      <c r="AR17" s="29">
        <f>IF(AND(2&lt;=$AP$3,OR(F17=TRUE,F17=1)),AQ17+1,0)</f>
        <v>1</v>
      </c>
      <c r="AS17" s="29">
        <f>IF(AND(3&lt;=$AP$3,OR(G17=TRUE,G17=1)),AR17+1,0)</f>
        <v>0</v>
      </c>
      <c r="AT17" s="29">
        <f>IF(AND(4&lt;=$AP$3,OR(H17=TRUE,H17=1)),AS17+1,0)</f>
        <v>1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1</v>
      </c>
      <c r="BB17" s="29">
        <f>IF(AND(12&lt;=$AP$3,OR(P17=TRUE,P17=1)),BA17+1,0)</f>
        <v>0</v>
      </c>
      <c r="BC17" s="29">
        <f>IF(AND(13&lt;=$AP$3,OR(Q17=TRUE,Q17=1)),BB17+1,0)</f>
        <v>1</v>
      </c>
      <c r="BD17" s="29">
        <f>IF(AND(14&lt;=$AP$3,OR(R17=TRUE,R17=1)),BC17+1,0)</f>
        <v>2</v>
      </c>
      <c r="BE17" s="29">
        <f>IF(AND(15&lt;=$AP$3,OR(S17=TRUE,S17=1)),BD17+1,0)</f>
        <v>3</v>
      </c>
      <c r="BF17" s="29">
        <f>IF(AND(16&lt;=$AP$3,OR(T17=TRUE,T17=1)),BE17+1,0)</f>
        <v>4</v>
      </c>
      <c r="BG17" s="29">
        <f>IF(AND(17&lt;=$AP$3,OR(U17=TRUE,U17=1)),BF17+1,0)</f>
        <v>5</v>
      </c>
      <c r="BH17" s="29">
        <f>IF(AND(18&lt;=$AP$3,OR(V17=TRUE,V17=1)),BG17+1,0)</f>
        <v>6</v>
      </c>
      <c r="BI17" s="29">
        <f>IF(AND(19&lt;=$AP$3,OR(W17=TRUE,W17=1)),BH17+1,0)</f>
        <v>0</v>
      </c>
      <c r="BJ17" s="29">
        <f>IF(AND(20&lt;=$AP$3,OR(X17=TRUE,X17=1)),BI17+1,0)</f>
        <v>1</v>
      </c>
      <c r="BK17" s="29">
        <f>IF(AND(21&lt;=$AP$3,OR(Y17=TRUE,Y17=1)),BJ17+1,0)</f>
        <v>2</v>
      </c>
      <c r="BL17" s="29">
        <f>IF(AND(22&lt;=$AP$3,OR(Z17=TRUE,Z17=1)),BK17+1,0)</f>
        <v>3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1</v>
      </c>
      <c r="BQ17" s="29">
        <f>IF(AND(27&lt;=$AP$3,OR(AE17=TRUE,AE17=1)),BP17+1,0)</f>
        <v>2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1</v>
      </c>
      <c r="G18" s="46" t="b">
        <v>1</v>
      </c>
      <c r="H18" s="46" t="b">
        <v>1</v>
      </c>
      <c r="I18" s="46" t="b">
        <v>1</v>
      </c>
      <c r="J18" s="46" t="b">
        <v>1</v>
      </c>
      <c r="K18" s="46" t="b">
        <v>0</v>
      </c>
      <c r="L18" s="46" t="b">
        <v>1</v>
      </c>
      <c r="M18" s="46" t="b">
        <v>1</v>
      </c>
      <c r="N18" s="46" t="b">
        <v>1</v>
      </c>
      <c r="O18" s="46" t="b">
        <v>1</v>
      </c>
      <c r="P18" s="46" t="b">
        <v>1</v>
      </c>
      <c r="Q18" s="46" t="b">
        <v>1</v>
      </c>
      <c r="R18" s="46" t="b">
        <v>1</v>
      </c>
      <c r="S18" s="46" t="b">
        <v>1</v>
      </c>
      <c r="T18" s="46" t="b">
        <v>1</v>
      </c>
      <c r="U18" s="46" t="b">
        <v>1</v>
      </c>
      <c r="V18" s="46" t="b">
        <v>1</v>
      </c>
      <c r="W18" s="46" t="b">
        <v>0</v>
      </c>
      <c r="X18" s="46" t="b">
        <v>1</v>
      </c>
      <c r="Y18" s="46" t="b">
        <v>1</v>
      </c>
      <c r="Z18" s="46" t="b">
        <v>0</v>
      </c>
      <c r="AA18" s="46" t="b">
        <v>1</v>
      </c>
      <c r="AB18" s="46" t="b">
        <v>1</v>
      </c>
      <c r="AC18" s="46" t="b">
        <v>1</v>
      </c>
      <c r="AD18" s="46" t="b">
        <v>1</v>
      </c>
      <c r="AE18" s="46" t="b">
        <v>1</v>
      </c>
      <c r="AF18" s="46" t="b">
        <v>1</v>
      </c>
      <c r="AG18" s="46" t="b">
        <v>1</v>
      </c>
      <c r="AH18" s="46" t="b">
        <v>1</v>
      </c>
      <c r="AI18" s="46" t="b">
        <v>0</v>
      </c>
      <c r="AK18" s="47">
        <f>IF($C18="","",SUMPRODUCT((((E18:AI18=TRUE)+(E18:AI18=1))&gt;0)*($E$11:$AI$11&lt;&gt;"")))</f>
        <v>26</v>
      </c>
      <c r="AL18" s="48">
        <f>IF($C18="","",IF($AP$3=0,0,IFERROR(MIN(1,AK18/$AP$18),0)))</f>
        <v>0.838709677419355</v>
      </c>
      <c r="AM18" s="49">
        <f>IF($C18="","",IF($AP$3=0,0,MAX(INDEX($AQ$18:$BU$18,$AP$3),INDEX($AQ$18:$BU$18,MAX($AP$3-1,1)))))</f>
        <v>8</v>
      </c>
      <c r="AN18" s="45">
        <f>IF($C18="","",MAX($AQ$18:$BU$18))</f>
        <v>11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1</v>
      </c>
      <c r="AS18" s="29">
        <f>IF(AND(3&lt;=$AP$3,OR(G18=TRUE,G18=1)),AR18+1,0)</f>
        <v>2</v>
      </c>
      <c r="AT18" s="29">
        <f>IF(AND(4&lt;=$AP$3,OR(H18=TRUE,H18=1)),AS18+1,0)</f>
        <v>3</v>
      </c>
      <c r="AU18" s="29">
        <f>IF(AND(5&lt;=$AP$3,OR(I18=TRUE,I18=1)),AT18+1,0)</f>
        <v>4</v>
      </c>
      <c r="AV18" s="29">
        <f>IF(AND(6&lt;=$AP$3,OR(J18=TRUE,J18=1)),AU18+1,0)</f>
        <v>5</v>
      </c>
      <c r="AW18" s="29">
        <f>IF(AND(7&lt;=$AP$3,OR(K18=TRUE,K18=1)),AV18+1,0)</f>
        <v>0</v>
      </c>
      <c r="AX18" s="29">
        <f>IF(AND(8&lt;=$AP$3,OR(L18=TRUE,L18=1)),AW18+1,0)</f>
        <v>1</v>
      </c>
      <c r="AY18" s="29">
        <f>IF(AND(9&lt;=$AP$3,OR(M18=TRUE,M18=1)),AX18+1,0)</f>
        <v>2</v>
      </c>
      <c r="AZ18" s="29">
        <f>IF(AND(10&lt;=$AP$3,OR(N18=TRUE,N18=1)),AY18+1,0)</f>
        <v>3</v>
      </c>
      <c r="BA18" s="29">
        <f>IF(AND(11&lt;=$AP$3,OR(O18=TRUE,O18=1)),AZ18+1,0)</f>
        <v>4</v>
      </c>
      <c r="BB18" s="29">
        <f>IF(AND(12&lt;=$AP$3,OR(P18=TRUE,P18=1)),BA18+1,0)</f>
        <v>5</v>
      </c>
      <c r="BC18" s="29">
        <f>IF(AND(13&lt;=$AP$3,OR(Q18=TRUE,Q18=1)),BB18+1,0)</f>
        <v>6</v>
      </c>
      <c r="BD18" s="29">
        <f>IF(AND(14&lt;=$AP$3,OR(R18=TRUE,R18=1)),BC18+1,0)</f>
        <v>7</v>
      </c>
      <c r="BE18" s="29">
        <f>IF(AND(15&lt;=$AP$3,OR(S18=TRUE,S18=1)),BD18+1,0)</f>
        <v>8</v>
      </c>
      <c r="BF18" s="29">
        <f>IF(AND(16&lt;=$AP$3,OR(T18=TRUE,T18=1)),BE18+1,0)</f>
        <v>9</v>
      </c>
      <c r="BG18" s="29">
        <f>IF(AND(17&lt;=$AP$3,OR(U18=TRUE,U18=1)),BF18+1,0)</f>
        <v>10</v>
      </c>
      <c r="BH18" s="29">
        <f>IF(AND(18&lt;=$AP$3,OR(V18=TRUE,V18=1)),BG18+1,0)</f>
        <v>11</v>
      </c>
      <c r="BI18" s="29">
        <f>IF(AND(19&lt;=$AP$3,OR(W18=TRUE,W18=1)),BH18+1,0)</f>
        <v>0</v>
      </c>
      <c r="BJ18" s="29">
        <f>IF(AND(20&lt;=$AP$3,OR(X18=TRUE,X18=1)),BI18+1,0)</f>
        <v>1</v>
      </c>
      <c r="BK18" s="29">
        <f>IF(AND(21&lt;=$AP$3,OR(Y18=TRUE,Y18=1)),BJ18+1,0)</f>
        <v>2</v>
      </c>
      <c r="BL18" s="29">
        <f>IF(AND(22&lt;=$AP$3,OR(Z18=TRUE,Z18=1)),BK18+1,0)</f>
        <v>0</v>
      </c>
      <c r="BM18" s="29">
        <f>IF(AND(23&lt;=$AP$3,OR(AA18=TRUE,AA18=1)),BL18+1,0)</f>
        <v>1</v>
      </c>
      <c r="BN18" s="29">
        <f>IF(AND(24&lt;=$AP$3,OR(AB18=TRUE,AB18=1)),BM18+1,0)</f>
        <v>2</v>
      </c>
      <c r="BO18" s="29">
        <f>IF(AND(25&lt;=$AP$3,OR(AC18=TRUE,AC18=1)),BN18+1,0)</f>
        <v>3</v>
      </c>
      <c r="BP18" s="29">
        <f>IF(AND(26&lt;=$AP$3,OR(AD18=TRUE,AD18=1)),BO18+1,0)</f>
        <v>4</v>
      </c>
      <c r="BQ18" s="29">
        <f>IF(AND(27&lt;=$AP$3,OR(AE18=TRUE,AE18=1)),BP18+1,0)</f>
        <v>5</v>
      </c>
      <c r="BR18" s="29">
        <f>IF(AND(28&lt;=$AP$3,OR(AF18=TRUE,AF18=1)),BQ18+1,0)</f>
        <v>6</v>
      </c>
      <c r="BS18" s="29">
        <f>IF(AND(29&lt;=$AP$3,OR(AG18=TRUE,AG18=1)),BR18+1,0)</f>
        <v>7</v>
      </c>
      <c r="BT18" s="29">
        <f>IF(AND(30&lt;=$AP$3,OR(AH18=TRUE,AH18=1)),BS18+1,0)</f>
        <v>8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1</v>
      </c>
      <c r="F19" s="46" t="b">
        <v>0</v>
      </c>
      <c r="G19" s="46" t="b">
        <v>1</v>
      </c>
      <c r="H19" s="46" t="b">
        <v>0</v>
      </c>
      <c r="I19" s="46" t="b">
        <v>1</v>
      </c>
      <c r="J19" s="46" t="b">
        <v>1</v>
      </c>
      <c r="K19" s="46" t="b">
        <v>0</v>
      </c>
      <c r="L19" s="46" t="b">
        <v>1</v>
      </c>
      <c r="M19" s="46" t="b">
        <v>1</v>
      </c>
      <c r="N19" s="46" t="b">
        <v>1</v>
      </c>
      <c r="O19" s="46" t="b">
        <v>1</v>
      </c>
      <c r="P19" s="46" t="b">
        <v>0</v>
      </c>
      <c r="Q19" s="46" t="b">
        <v>1</v>
      </c>
      <c r="R19" s="46" t="b">
        <v>1</v>
      </c>
      <c r="S19" s="46" t="b">
        <v>1</v>
      </c>
      <c r="T19" s="46" t="b">
        <v>0</v>
      </c>
      <c r="U19" s="46" t="b">
        <v>1</v>
      </c>
      <c r="V19" s="46" t="b">
        <v>0</v>
      </c>
      <c r="W19" s="46" t="b">
        <v>1</v>
      </c>
      <c r="X19" s="46" t="b">
        <v>0</v>
      </c>
      <c r="Y19" s="46" t="b">
        <v>1</v>
      </c>
      <c r="Z19" s="46" t="b">
        <v>0</v>
      </c>
      <c r="AA19" s="46" t="b">
        <v>0</v>
      </c>
      <c r="AB19" s="46" t="b">
        <v>0</v>
      </c>
      <c r="AC19" s="46" t="b">
        <v>1</v>
      </c>
      <c r="AD19" s="46" t="b">
        <v>1</v>
      </c>
      <c r="AE19" s="46" t="b">
        <v>0</v>
      </c>
      <c r="AF19" s="46" t="b">
        <v>1</v>
      </c>
      <c r="AG19" s="46" t="b">
        <v>0</v>
      </c>
      <c r="AH19" s="46" t="b">
        <v>1</v>
      </c>
      <c r="AI19" s="46" t="b">
        <v>0</v>
      </c>
      <c r="AK19" s="47">
        <f>IF($C19="","",SUMPRODUCT((((E19:AI19=TRUE)+(E19:AI19=1))&gt;0)*($E$11:$AI$11&lt;&gt;"")))</f>
        <v>18</v>
      </c>
      <c r="AL19" s="48">
        <f>IF($C19="","",IF($AP$3=0,0,IFERROR(MIN(1,AK19/$AP$19),0)))</f>
        <v>0.9</v>
      </c>
      <c r="AM19" s="49">
        <f>IF($C19="","",IF($AP$3=0,0,MAX(INDEX($AQ$19:$BU$19,$AP$3),INDEX($AQ$19:$BU$19,MAX($AP$3-1,1)))))</f>
        <v>1</v>
      </c>
      <c r="AN19" s="45">
        <f>IF($C19="","",MAX($AQ$19:$BU$19))</f>
        <v>4</v>
      </c>
      <c r="AP19" s="29">
        <f>IF($C19="",0,IFERROR(IF($D19="",$AP$2,$D19)*$AP$3/$AP$2,$AP$3))</f>
        <v>20</v>
      </c>
      <c r="AQ19" s="29">
        <f>IF(AND(1&lt;=$AP$3,OR(E19=TRUE,E19=1)),0+1,0)</f>
        <v>1</v>
      </c>
      <c r="AR19" s="29">
        <f>IF(AND(2&lt;=$AP$3,OR(F19=TRUE,F19=1)),AQ19+1,0)</f>
        <v>0</v>
      </c>
      <c r="AS19" s="29">
        <f>IF(AND(3&lt;=$AP$3,OR(G19=TRUE,G19=1)),AR19+1,0)</f>
        <v>1</v>
      </c>
      <c r="AT19" s="29">
        <f>IF(AND(4&lt;=$AP$3,OR(H19=TRUE,H19=1)),AS19+1,0)</f>
        <v>0</v>
      </c>
      <c r="AU19" s="29">
        <f>IF(AND(5&lt;=$AP$3,OR(I19=TRUE,I19=1)),AT19+1,0)</f>
        <v>1</v>
      </c>
      <c r="AV19" s="29">
        <f>IF(AND(6&lt;=$AP$3,OR(J19=TRUE,J19=1)),AU19+1,0)</f>
        <v>2</v>
      </c>
      <c r="AW19" s="29">
        <f>IF(AND(7&lt;=$AP$3,OR(K19=TRUE,K19=1)),AV19+1,0)</f>
        <v>0</v>
      </c>
      <c r="AX19" s="29">
        <f>IF(AND(8&lt;=$AP$3,OR(L19=TRUE,L19=1)),AW19+1,0)</f>
        <v>1</v>
      </c>
      <c r="AY19" s="29">
        <f>IF(AND(9&lt;=$AP$3,OR(M19=TRUE,M19=1)),AX19+1,0)</f>
        <v>2</v>
      </c>
      <c r="AZ19" s="29">
        <f>IF(AND(10&lt;=$AP$3,OR(N19=TRUE,N19=1)),AY19+1,0)</f>
        <v>3</v>
      </c>
      <c r="BA19" s="29">
        <f>IF(AND(11&lt;=$AP$3,OR(O19=TRUE,O19=1)),AZ19+1,0)</f>
        <v>4</v>
      </c>
      <c r="BB19" s="29">
        <f>IF(AND(12&lt;=$AP$3,OR(P19=TRUE,P19=1)),BA19+1,0)</f>
        <v>0</v>
      </c>
      <c r="BC19" s="29">
        <f>IF(AND(13&lt;=$AP$3,OR(Q19=TRUE,Q19=1)),BB19+1,0)</f>
        <v>1</v>
      </c>
      <c r="BD19" s="29">
        <f>IF(AND(14&lt;=$AP$3,OR(R19=TRUE,R19=1)),BC19+1,0)</f>
        <v>2</v>
      </c>
      <c r="BE19" s="29">
        <f>IF(AND(15&lt;=$AP$3,OR(S19=TRUE,S19=1)),BD19+1,0)</f>
        <v>3</v>
      </c>
      <c r="BF19" s="29">
        <f>IF(AND(16&lt;=$AP$3,OR(T19=TRUE,T19=1)),BE19+1,0)</f>
        <v>0</v>
      </c>
      <c r="BG19" s="29">
        <f>IF(AND(17&lt;=$AP$3,OR(U19=TRUE,U19=1)),BF19+1,0)</f>
        <v>1</v>
      </c>
      <c r="BH19" s="29">
        <f>IF(AND(18&lt;=$AP$3,OR(V19=TRUE,V19=1)),BG19+1,0)</f>
        <v>0</v>
      </c>
      <c r="BI19" s="29">
        <f>IF(AND(19&lt;=$AP$3,OR(W19=TRUE,W19=1)),BH19+1,0)</f>
        <v>1</v>
      </c>
      <c r="BJ19" s="29">
        <f>IF(AND(20&lt;=$AP$3,OR(X19=TRUE,X19=1)),BI19+1,0)</f>
        <v>0</v>
      </c>
      <c r="BK19" s="29">
        <f>IF(AND(21&lt;=$AP$3,OR(Y19=TRUE,Y19=1)),BJ19+1,0)</f>
        <v>1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1</v>
      </c>
      <c r="BP19" s="29">
        <f>IF(AND(26&lt;=$AP$3,OR(AD19=TRUE,AD19=1)),BO19+1,0)</f>
        <v>2</v>
      </c>
      <c r="BQ19" s="29">
        <f>IF(AND(27&lt;=$AP$3,OR(AE19=TRUE,AE19=1)),BP19+1,0)</f>
        <v>0</v>
      </c>
      <c r="BR19" s="29">
        <f>IF(AND(28&lt;=$AP$3,OR(AF19=TRUE,AF19=1)),BQ19+1,0)</f>
        <v>1</v>
      </c>
      <c r="BS19" s="29">
        <f>IF(AND(29&lt;=$AP$3,OR(AG19=TRUE,AG19=1)),BR19+1,0)</f>
        <v>0</v>
      </c>
      <c r="BT19" s="29">
        <f>IF(AND(30&lt;=$AP$3,OR(AH19=TRUE,AH19=1)),BS19+1,0)</f>
        <v>1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6</v>
      </c>
      <c r="F27" s="51">
        <f>IF(OR(F$11="",F$11&gt;$AP$3),"",SUMPRODUCT((((F$12:F$26=TRUE)+(F$12:F$26=1))&gt;0)*($C$12:$C$26&lt;&gt;"")))</f>
        <v>7</v>
      </c>
      <c r="G27" s="51">
        <f>IF(OR(G$11="",G$11&gt;$AP$3),"",SUMPRODUCT((((G$12:G$26=TRUE)+(G$12:G$26=1))&gt;0)*($C$12:$C$26&lt;&gt;"")))</f>
        <v>7</v>
      </c>
      <c r="H27" s="51">
        <f>IF(OR(H$11="",H$11&gt;$AP$3),"",SUMPRODUCT((((H$12:H$26=TRUE)+(H$12:H$26=1))&gt;0)*($C$12:$C$26&lt;&gt;"")))</f>
        <v>5</v>
      </c>
      <c r="I27" s="51">
        <f>IF(OR(I$11="",I$11&gt;$AP$3),"",SUMPRODUCT((((I$12:I$26=TRUE)+(I$12:I$26=1))&gt;0)*($C$12:$C$26&lt;&gt;"")))</f>
        <v>6</v>
      </c>
      <c r="J27" s="51">
        <f>IF(OR(J$11="",J$11&gt;$AP$3),"",SUMPRODUCT((((J$12:J$26=TRUE)+(J$12:J$26=1))&gt;0)*($C$12:$C$26&lt;&gt;"")))</f>
        <v>6</v>
      </c>
      <c r="K27" s="51">
        <f>IF(OR(K$11="",K$11&gt;$AP$3),"",SUMPRODUCT((((K$12:K$26=TRUE)+(K$12:K$26=1))&gt;0)*($C$12:$C$26&lt;&gt;"")))</f>
        <v>1</v>
      </c>
      <c r="L27" s="51">
        <f>IF(OR(L$11="",L$11&gt;$AP$3),"",SUMPRODUCT((((L$12:L$26=TRUE)+(L$12:L$26=1))&gt;0)*($C$12:$C$26&lt;&gt;"")))</f>
        <v>5</v>
      </c>
      <c r="M27" s="51">
        <f>IF(OR(M$11="",M$11&gt;$AP$3),"",SUMPRODUCT((((M$12:M$26=TRUE)+(M$12:M$26=1))&gt;0)*($C$12:$C$26&lt;&gt;"")))</f>
        <v>7</v>
      </c>
      <c r="N27" s="51">
        <f>IF(OR(N$11="",N$11&gt;$AP$3),"",SUMPRODUCT((((N$12:N$26=TRUE)+(N$12:N$26=1))&gt;0)*($C$12:$C$26&lt;&gt;"")))</f>
        <v>5</v>
      </c>
      <c r="O27" s="51">
        <f>IF(OR(O$11="",O$11&gt;$AP$3),"",SUMPRODUCT((((O$12:O$26=TRUE)+(O$12:O$26=1))&gt;0)*($C$12:$C$26&lt;&gt;"")))</f>
        <v>8</v>
      </c>
      <c r="P27" s="51">
        <f>IF(OR(P$11="",P$11&gt;$AP$3),"",SUMPRODUCT((((P$12:P$26=TRUE)+(P$12:P$26=1))&gt;0)*($C$12:$C$26&lt;&gt;"")))</f>
        <v>4</v>
      </c>
      <c r="Q27" s="51">
        <f>IF(OR(Q$11="",Q$11&gt;$AP$3),"",SUMPRODUCT((((Q$12:Q$26=TRUE)+(Q$12:Q$26=1))&gt;0)*($C$12:$C$26&lt;&gt;"")))</f>
        <v>8</v>
      </c>
      <c r="R27" s="51">
        <f>IF(OR(R$11="",R$11&gt;$AP$3),"",SUMPRODUCT((((R$12:R$26=TRUE)+(R$12:R$26=1))&gt;0)*($C$12:$C$26&lt;&gt;"")))</f>
        <v>4</v>
      </c>
      <c r="S27" s="51">
        <f>IF(OR(S$11="",S$11&gt;$AP$3),"",SUMPRODUCT((((S$12:S$26=TRUE)+(S$12:S$26=1))&gt;0)*($C$12:$C$26&lt;&gt;"")))</f>
        <v>7</v>
      </c>
      <c r="T27" s="51">
        <f>IF(OR(T$11="",T$11&gt;$AP$3),"",SUMPRODUCT((((T$12:T$26=TRUE)+(T$12:T$26=1))&gt;0)*($C$12:$C$26&lt;&gt;"")))</f>
        <v>5</v>
      </c>
      <c r="U27" s="51">
        <f>IF(OR(U$11="",U$11&gt;$AP$3),"",SUMPRODUCT((((U$12:U$26=TRUE)+(U$12:U$26=1))&gt;0)*($C$12:$C$26&lt;&gt;"")))</f>
        <v>6</v>
      </c>
      <c r="V27" s="51">
        <f>IF(OR(V$11="",V$11&gt;$AP$3),"",SUMPRODUCT((((V$12:V$26=TRUE)+(V$12:V$26=1))&gt;0)*($C$12:$C$26&lt;&gt;"")))</f>
        <v>5</v>
      </c>
      <c r="W27" s="51">
        <f>IF(OR(W$11="",W$11&gt;$AP$3),"",SUMPRODUCT((((W$12:W$26=TRUE)+(W$12:W$26=1))&gt;0)*($C$12:$C$26&lt;&gt;"")))</f>
        <v>6</v>
      </c>
      <c r="X27" s="51">
        <f>IF(OR(X$11="",X$11&gt;$AP$3),"",SUMPRODUCT((((X$12:X$26=TRUE)+(X$12:X$26=1))&gt;0)*($C$12:$C$26&lt;&gt;"")))</f>
        <v>7</v>
      </c>
      <c r="Y27" s="51">
        <f>IF(OR(Y$11="",Y$11&gt;$AP$3),"",SUMPRODUCT((((Y$12:Y$26=TRUE)+(Y$12:Y$26=1))&gt;0)*($C$12:$C$26&lt;&gt;"")))</f>
        <v>7</v>
      </c>
      <c r="Z27" s="51">
        <f>IF(OR(Z$11="",Z$11&gt;$AP$3),"",SUMPRODUCT((((Z$12:Z$26=TRUE)+(Z$12:Z$26=1))&gt;0)*($C$12:$C$26&lt;&gt;"")))</f>
        <v>4</v>
      </c>
      <c r="AA27" s="51">
        <f>IF(OR(AA$11="",AA$11&gt;$AP$3),"",SUMPRODUCT((((AA$12:AA$26=TRUE)+(AA$12:AA$26=1))&gt;0)*($C$12:$C$26&lt;&gt;"")))</f>
        <v>2</v>
      </c>
      <c r="AB27" s="51">
        <f>IF(OR(AB$11="",AB$11&gt;$AP$3),"",SUMPRODUCT((((AB$12:AB$26=TRUE)+(AB$12:AB$26=1))&gt;0)*($C$12:$C$26&lt;&gt;"")))</f>
        <v>5</v>
      </c>
      <c r="AC27" s="51">
        <f>IF(OR(AC$11="",AC$11&gt;$AP$3),"",SUMPRODUCT((((AC$12:AC$26=TRUE)+(AC$12:AC$26=1))&gt;0)*($C$12:$C$26&lt;&gt;"")))</f>
        <v>7</v>
      </c>
      <c r="AD27" s="51">
        <f>IF(OR(AD$11="",AD$11&gt;$AP$3),"",SUMPRODUCT((((AD$12:AD$26=TRUE)+(AD$12:AD$26=1))&gt;0)*($C$12:$C$26&lt;&gt;"")))</f>
        <v>6</v>
      </c>
      <c r="AE27" s="51">
        <f>IF(OR(AE$11="",AE$11&gt;$AP$3),"",SUMPRODUCT((((AE$12:AE$26=TRUE)+(AE$12:AE$26=1))&gt;0)*($C$12:$C$26&lt;&gt;"")))</f>
        <v>5</v>
      </c>
      <c r="AF27" s="51">
        <f>IF(OR(AF$11="",AF$11&gt;$AP$3),"",SUMPRODUCT((((AF$12:AF$26=TRUE)+(AF$12:AF$26=1))&gt;0)*($C$12:$C$26&lt;&gt;"")))</f>
        <v>7</v>
      </c>
      <c r="AG27" s="51">
        <f>IF(OR(AG$11="",AG$11&gt;$AP$3),"",SUMPRODUCT((((AG$12:AG$26=TRUE)+(AG$12:AG$26=1))&gt;0)*($C$12:$C$26&lt;&gt;"")))</f>
        <v>3</v>
      </c>
      <c r="AH27" s="51">
        <f>IF(OR(AH$11="",AH$11&gt;$AP$3),"",SUMPRODUCT((((AH$12:AH$26=TRUE)+(AH$12:AH$26=1))&gt;0)*($C$12:$C$26&lt;&gt;"")))</f>
        <v>5</v>
      </c>
      <c r="AI27" s="51">
        <f>IF(OR(AI$11="",AI$11&gt;$AP$3),"",SUMPRODUCT((((AI$12:AI$26=TRUE)+(AI$12:AI$26=1))&gt;0)*($C$12:$C$26&lt;&gt;"")))</f>
        <v>3</v>
      </c>
      <c r="AK27" s="52">
        <f>$AP$6</f>
        <v>169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0.75</v>
      </c>
      <c r="F28" s="54">
        <f>IF(OR(F27="",$AP$4=0),"",F27/$AP$4)</f>
        <v>0.875</v>
      </c>
      <c r="G28" s="54">
        <f>IF(OR(G27="",$AP$4=0),"",G27/$AP$4)</f>
        <v>0.875</v>
      </c>
      <c r="H28" s="54">
        <f>IF(OR(H27="",$AP$4=0),"",H27/$AP$4)</f>
        <v>0.625</v>
      </c>
      <c r="I28" s="54">
        <f>IF(OR(I27="",$AP$4=0),"",I27/$AP$4)</f>
        <v>0.75</v>
      </c>
      <c r="J28" s="54">
        <f>IF(OR(J27="",$AP$4=0),"",J27/$AP$4)</f>
        <v>0.75</v>
      </c>
      <c r="K28" s="54">
        <f>IF(OR(K27="",$AP$4=0),"",K27/$AP$4)</f>
        <v>0.125</v>
      </c>
      <c r="L28" s="54">
        <f>IF(OR(L27="",$AP$4=0),"",L27/$AP$4)</f>
        <v>0.625</v>
      </c>
      <c r="M28" s="54">
        <f>IF(OR(M27="",$AP$4=0),"",M27/$AP$4)</f>
        <v>0.875</v>
      </c>
      <c r="N28" s="54">
        <f>IF(OR(N27="",$AP$4=0),"",N27/$AP$4)</f>
        <v>0.625</v>
      </c>
      <c r="O28" s="54">
        <f>IF(OR(O27="",$AP$4=0),"",O27/$AP$4)</f>
        <v>1</v>
      </c>
      <c r="P28" s="54">
        <f>IF(OR(P27="",$AP$4=0),"",P27/$AP$4)</f>
        <v>0.5</v>
      </c>
      <c r="Q28" s="54">
        <f>IF(OR(Q27="",$AP$4=0),"",Q27/$AP$4)</f>
        <v>1</v>
      </c>
      <c r="R28" s="54">
        <f>IF(OR(R27="",$AP$4=0),"",R27/$AP$4)</f>
        <v>0.5</v>
      </c>
      <c r="S28" s="54">
        <f>IF(OR(S27="",$AP$4=0),"",S27/$AP$4)</f>
        <v>0.875</v>
      </c>
      <c r="T28" s="54">
        <f>IF(OR(T27="",$AP$4=0),"",T27/$AP$4)</f>
        <v>0.625</v>
      </c>
      <c r="U28" s="54">
        <f>IF(OR(U27="",$AP$4=0),"",U27/$AP$4)</f>
        <v>0.75</v>
      </c>
      <c r="V28" s="54">
        <f>IF(OR(V27="",$AP$4=0),"",V27/$AP$4)</f>
        <v>0.625</v>
      </c>
      <c r="W28" s="54">
        <f>IF(OR(W27="",$AP$4=0),"",W27/$AP$4)</f>
        <v>0.75</v>
      </c>
      <c r="X28" s="54">
        <f>IF(OR(X27="",$AP$4=0),"",X27/$AP$4)</f>
        <v>0.875</v>
      </c>
      <c r="Y28" s="54">
        <f>IF(OR(Y27="",$AP$4=0),"",Y27/$AP$4)</f>
        <v>0.875</v>
      </c>
      <c r="Z28" s="54">
        <f>IF(OR(Z27="",$AP$4=0),"",Z27/$AP$4)</f>
        <v>0.5</v>
      </c>
      <c r="AA28" s="54">
        <f>IF(OR(AA27="",$AP$4=0),"",AA27/$AP$4)</f>
        <v>0.25</v>
      </c>
      <c r="AB28" s="54">
        <f>IF(OR(AB27="",$AP$4=0),"",AB27/$AP$4)</f>
        <v>0.625</v>
      </c>
      <c r="AC28" s="54">
        <f>IF(OR(AC27="",$AP$4=0),"",AC27/$AP$4)</f>
        <v>0.875</v>
      </c>
      <c r="AD28" s="54">
        <f>IF(OR(AD27="",$AP$4=0),"",AD27/$AP$4)</f>
        <v>0.75</v>
      </c>
      <c r="AE28" s="54">
        <f>IF(OR(AE27="",$AP$4=0),"",AE27/$AP$4)</f>
        <v>0.625</v>
      </c>
      <c r="AF28" s="54">
        <f>IF(OR(AF27="",$AP$4=0),"",AF27/$AP$4)</f>
        <v>0.875</v>
      </c>
      <c r="AG28" s="54">
        <f>IF(OR(AG27="",$AP$4=0),"",AG27/$AP$4)</f>
        <v>0.375</v>
      </c>
      <c r="AH28" s="54">
        <f>IF(OR(AH27="",$AP$4=0),"",AH27/$AP$4)</f>
        <v>0.625</v>
      </c>
      <c r="AI28" s="54">
        <f>IF(OR(AI27="",$AP$4=0),"",AI27/$AP$4)</f>
        <v>0.375</v>
      </c>
      <c r="AK28" s="55">
        <f>$AP$7</f>
        <v>0.781854838709677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>
        <v>7.5</v>
      </c>
      <c r="F30" s="56">
        <v>7.5</v>
      </c>
      <c r="G30" s="56">
        <v>7.5</v>
      </c>
      <c r="H30" s="56">
        <v>6</v>
      </c>
      <c r="I30" s="56">
        <v>7.5</v>
      </c>
      <c r="J30" s="56">
        <v>7.5</v>
      </c>
      <c r="K30" s="56">
        <v>6</v>
      </c>
      <c r="L30" s="56">
        <v>7</v>
      </c>
      <c r="M30" s="56">
        <v>7.5</v>
      </c>
      <c r="N30" s="56">
        <v>8</v>
      </c>
      <c r="O30" s="56">
        <v>7.5</v>
      </c>
      <c r="P30" s="56">
        <v>7.5</v>
      </c>
      <c r="Q30" s="56">
        <v>8.5</v>
      </c>
      <c r="R30" s="56">
        <v>5.5</v>
      </c>
      <c r="S30" s="56">
        <v>7.5</v>
      </c>
      <c r="T30" s="56">
        <v>7</v>
      </c>
      <c r="U30" s="56">
        <v>7</v>
      </c>
      <c r="V30" s="56">
        <v>7.5</v>
      </c>
      <c r="W30" s="56">
        <v>8</v>
      </c>
      <c r="X30" s="56">
        <v>7.5</v>
      </c>
      <c r="Y30" s="56">
        <v>8</v>
      </c>
      <c r="Z30" s="56">
        <v>7.5</v>
      </c>
      <c r="AA30" s="56">
        <v>6.5</v>
      </c>
      <c r="AB30" s="56">
        <v>8.5</v>
      </c>
      <c r="AC30" s="56">
        <v>7</v>
      </c>
      <c r="AD30" s="56">
        <v>8</v>
      </c>
      <c r="AE30" s="56">
        <v>6.5</v>
      </c>
      <c r="AF30" s="56">
        <v>8</v>
      </c>
      <c r="AG30" s="56">
        <v>6</v>
      </c>
      <c r="AH30" s="56">
        <v>8.5</v>
      </c>
      <c r="AI30" s="56">
        <v>6</v>
      </c>
      <c r="AK30" s="57" t="s">
        <v>122</v>
      </c>
      <c r="AL30" s="57"/>
      <c r="AM30" s="57"/>
      <c r="AN30" s="57"/>
      <c r="AP30" s="29">
        <f>COUNTIF($E$32:$AI$32,'Списки'!$C$2)</f>
        <v>10</v>
      </c>
    </row>
    <row r="31" spans="2:73" ht="18" customHeight="1" x14ac:dyDescent="0.25">
      <c r="B31" s="50" t="s">
        <v>120</v>
      </c>
      <c r="C31" s="50"/>
      <c r="D31" s="50"/>
      <c r="E31" s="56">
        <v>3</v>
      </c>
      <c r="F31" s="56">
        <v>5</v>
      </c>
      <c r="G31" s="56">
        <v>5</v>
      </c>
      <c r="H31" s="56">
        <v>3</v>
      </c>
      <c r="I31" s="56">
        <v>4</v>
      </c>
      <c r="J31" s="56">
        <v>3</v>
      </c>
      <c r="K31" s="56">
        <v>2</v>
      </c>
      <c r="L31" s="56">
        <v>3</v>
      </c>
      <c r="M31" s="56">
        <v>4</v>
      </c>
      <c r="N31" s="56">
        <v>3</v>
      </c>
      <c r="O31" s="56">
        <v>4</v>
      </c>
      <c r="P31" s="56">
        <v>3</v>
      </c>
      <c r="Q31" s="56">
        <v>5</v>
      </c>
      <c r="R31" s="56">
        <v>3</v>
      </c>
      <c r="S31" s="56">
        <v>5</v>
      </c>
      <c r="T31" s="56">
        <v>4</v>
      </c>
      <c r="U31" s="56">
        <v>4</v>
      </c>
      <c r="V31" s="56">
        <v>3</v>
      </c>
      <c r="W31" s="56">
        <v>5</v>
      </c>
      <c r="X31" s="56">
        <v>5</v>
      </c>
      <c r="Y31" s="56">
        <v>5</v>
      </c>
      <c r="Z31" s="56">
        <v>2</v>
      </c>
      <c r="AA31" s="56">
        <v>1</v>
      </c>
      <c r="AB31" s="56">
        <v>4</v>
      </c>
      <c r="AC31" s="56">
        <v>5</v>
      </c>
      <c r="AD31" s="56">
        <v>5</v>
      </c>
      <c r="AE31" s="56">
        <v>4</v>
      </c>
      <c r="AF31" s="56">
        <v>5</v>
      </c>
      <c r="AG31" s="56">
        <v>3</v>
      </c>
      <c r="AH31" s="56">
        <v>3</v>
      </c>
      <c r="AI31" s="56">
        <v>2</v>
      </c>
      <c r="AK31" s="57" t="s">
        <v>123</v>
      </c>
      <c r="AL31" s="57"/>
      <c r="AM31" s="57"/>
      <c r="AN31" s="57"/>
      <c r="AP31" s="29">
        <f>COUNTIF($E$32:$AI$32,'Списки'!$C$3)</f>
        <v>6</v>
      </c>
    </row>
    <row r="32" spans="2:73" ht="18" customHeight="1" x14ac:dyDescent="0.25">
      <c r="B32" s="50" t="s">
        <v>121</v>
      </c>
      <c r="C32" s="50"/>
      <c r="D32" s="50"/>
      <c r="E32" s="56" t="s">
        <v>142</v>
      </c>
      <c r="F32" s="56" t="s">
        <v>143</v>
      </c>
      <c r="G32" s="56" t="s">
        <v>143</v>
      </c>
      <c r="H32" s="56" t="s">
        <v>144</v>
      </c>
      <c r="I32" s="56" t="s">
        <v>142</v>
      </c>
      <c r="J32" s="56" t="s">
        <v>142</v>
      </c>
      <c r="K32" s="56" t="s">
        <v>145</v>
      </c>
      <c r="L32" s="56" t="s">
        <v>144</v>
      </c>
      <c r="M32" s="56" t="s">
        <v>143</v>
      </c>
      <c r="N32" s="56" t="s">
        <v>144</v>
      </c>
      <c r="O32" s="56" t="s">
        <v>143</v>
      </c>
      <c r="P32" s="56" t="s">
        <v>144</v>
      </c>
      <c r="Q32" s="56" t="s">
        <v>143</v>
      </c>
      <c r="R32" s="56" t="s">
        <v>144</v>
      </c>
      <c r="S32" s="56" t="s">
        <v>143</v>
      </c>
      <c r="T32" s="56" t="s">
        <v>144</v>
      </c>
      <c r="U32" s="56" t="s">
        <v>142</v>
      </c>
      <c r="V32" s="56" t="s">
        <v>144</v>
      </c>
      <c r="W32" s="56" t="s">
        <v>142</v>
      </c>
      <c r="X32" s="56" t="s">
        <v>143</v>
      </c>
      <c r="Y32" s="56" t="s">
        <v>143</v>
      </c>
      <c r="Z32" s="56" t="s">
        <v>144</v>
      </c>
      <c r="AA32" s="56" t="s">
        <v>145</v>
      </c>
      <c r="AB32" s="56" t="s">
        <v>144</v>
      </c>
      <c r="AC32" s="56" t="s">
        <v>143</v>
      </c>
      <c r="AD32" s="56" t="s">
        <v>142</v>
      </c>
      <c r="AE32" s="56" t="s">
        <v>144</v>
      </c>
      <c r="AF32" s="56" t="s">
        <v>143</v>
      </c>
      <c r="AG32" s="56" t="s">
        <v>146</v>
      </c>
      <c r="AH32" s="56" t="s">
        <v>144</v>
      </c>
      <c r="AI32" s="56" t="s">
        <v>146</v>
      </c>
      <c r="AK32" s="57" t="s">
        <v>124</v>
      </c>
      <c r="AL32" s="57"/>
      <c r="AM32" s="57"/>
      <c r="AN32" s="57"/>
      <c r="AP32" s="29">
        <f>COUNTIF($E$32:$AI$32,'Списки'!$C$4)</f>
        <v>11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2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2</v>
      </c>
    </row>
    <row r="35" spans="2:42" x14ac:dyDescent="0.25">
      <c r="AK35" s="59" t="str">
        <f>IFERROR(ROUND(AVERAGE($E$30:$AI$30),1)&amp;" ч","—")</f>
        <v>7.3 ч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3.7 из 5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😐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76%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41%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82%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июл","")</f>
        <v>Ср 1 июл</v>
      </c>
      <c r="C51" s="63" t="str">
        <f>IF(INDEX($E$27:$AI$27,1)="","",INDEX($E$27:$AI$27,1)&amp;"/"&amp;$AP$4&amp;" ✓")</f>
        <v>6/8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июл","")</f>
        <v>Чт 2 июл</v>
      </c>
      <c r="C52" s="63" t="str">
        <f>IF(INDEX($E$27:$AI$27,2)="","",INDEX($E$27:$AI$27,2)&amp;"/"&amp;$AP$4&amp;" ✓")</f>
        <v>7/8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июл","")</f>
        <v>Пт 3 июл</v>
      </c>
      <c r="C53" s="63" t="str">
        <f>IF(INDEX($E$27:$AI$27,3)="","",INDEX($E$27:$AI$27,3)&amp;"/"&amp;$AP$4&amp;" ✓")</f>
        <v>7/8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июл","")</f>
        <v>Сб 4 июл</v>
      </c>
      <c r="C54" s="63" t="str">
        <f>IF(INDEX($E$27:$AI$27,4)="","",INDEX($E$27:$AI$27,4)&amp;"/"&amp;$AP$4&amp;" ✓")</f>
        <v>5/8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июл","")</f>
        <v>Вс 5 июл</v>
      </c>
      <c r="C55" s="63" t="str">
        <f>IF(INDEX($E$27:$AI$27,5)="","",INDEX($E$27:$AI$27,5)&amp;"/"&amp;$AP$4&amp;" ✓")</f>
        <v>6/8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июл","")</f>
        <v>Пн 6 июл</v>
      </c>
      <c r="C56" s="63" t="str">
        <f>IF(INDEX($E$27:$AI$27,6)="","",INDEX($E$27:$AI$27,6)&amp;"/"&amp;$AP$4&amp;" ✓")</f>
        <v>6/8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июл","")</f>
        <v>Вт 7 июл</v>
      </c>
      <c r="C57" s="63" t="str">
        <f>IF(INDEX($E$27:$AI$27,7)="","",INDEX($E$27:$AI$27,7)&amp;"/"&amp;$AP$4&amp;" ✓")</f>
        <v>1/8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июл","")</f>
        <v>Ср 8 июл</v>
      </c>
      <c r="C58" s="63" t="str">
        <f>IF(INDEX($E$27:$AI$27,8)="","",INDEX($E$27:$AI$27,8)&amp;"/"&amp;$AP$4&amp;" ✓")</f>
        <v>5/8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июл","")</f>
        <v>Чт 9 июл</v>
      </c>
      <c r="C59" s="63" t="str">
        <f>IF(INDEX($E$27:$AI$27,9)="","",INDEX($E$27:$AI$27,9)&amp;"/"&amp;$AP$4&amp;" ✓")</f>
        <v>7/8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июл","")</f>
        <v>Пт 10 июл</v>
      </c>
      <c r="C60" s="63" t="str">
        <f>IF(INDEX($E$27:$AI$27,10)="","",INDEX($E$27:$AI$27,10)&amp;"/"&amp;$AP$4&amp;" ✓")</f>
        <v>5/8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июл","")</f>
        <v>Сб 11 июл</v>
      </c>
      <c r="C61" s="63" t="str">
        <f>IF(INDEX($E$27:$AI$27,11)="","",INDEX($E$27:$AI$27,11)&amp;"/"&amp;$AP$4&amp;" ✓")</f>
        <v>8/8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июл","")</f>
        <v>Вс 12 июл</v>
      </c>
      <c r="C62" s="63" t="str">
        <f>IF(INDEX($E$27:$AI$27,12)="","",INDEX($E$27:$AI$27,12)&amp;"/"&amp;$AP$4&amp;" ✓")</f>
        <v>4/8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июл","")</f>
        <v>Пн 13 июл</v>
      </c>
      <c r="C63" s="63" t="str">
        <f>IF(INDEX($E$27:$AI$27,13)="","",INDEX($E$27:$AI$27,13)&amp;"/"&amp;$AP$4&amp;" ✓")</f>
        <v>8/8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июл","")</f>
        <v>Вт 14 июл</v>
      </c>
      <c r="C64" s="63" t="str">
        <f>IF(INDEX($E$27:$AI$27,14)="","",INDEX($E$27:$AI$27,14)&amp;"/"&amp;$AP$4&amp;" ✓")</f>
        <v>4/8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июл","")</f>
        <v>Ср 15 июл</v>
      </c>
      <c r="C65" s="63" t="str">
        <f>IF(INDEX($E$27:$AI$27,15)="","",INDEX($E$27:$AI$27,15)&amp;"/"&amp;$AP$4&amp;" ✓")</f>
        <v>7/8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июл","")</f>
        <v>Чт 16 июл</v>
      </c>
      <c r="C66" s="63" t="str">
        <f>IF(INDEX($E$27:$AI$27,16)="","",INDEX($E$27:$AI$27,16)&amp;"/"&amp;$AP$4&amp;" ✓")</f>
        <v>5/8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июл","")</f>
        <v>Пт 17 июл</v>
      </c>
      <c r="C67" s="63" t="str">
        <f>IF(INDEX($E$27:$AI$27,17)="","",INDEX($E$27:$AI$27,17)&amp;"/"&amp;$AP$4&amp;" ✓")</f>
        <v>6/8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июл","")</f>
        <v>Сб 18 июл</v>
      </c>
      <c r="C68" s="63" t="str">
        <f>IF(INDEX($E$27:$AI$27,18)="","",INDEX($E$27:$AI$27,18)&amp;"/"&amp;$AP$4&amp;" ✓")</f>
        <v>5/8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июл","")</f>
        <v>Вс 19 июл</v>
      </c>
      <c r="C69" s="63" t="str">
        <f>IF(INDEX($E$27:$AI$27,19)="","",INDEX($E$27:$AI$27,19)&amp;"/"&amp;$AP$4&amp;" ✓")</f>
        <v>6/8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июл","")</f>
        <v>Пн 20 июл</v>
      </c>
      <c r="C70" s="63" t="str">
        <f>IF(INDEX($E$27:$AI$27,20)="","",INDEX($E$27:$AI$27,20)&amp;"/"&amp;$AP$4&amp;" ✓")</f>
        <v>7/8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июл","")</f>
        <v>Вт 21 июл</v>
      </c>
      <c r="C71" s="63" t="str">
        <f>IF(INDEX($E$27:$AI$27,21)="","",INDEX($E$27:$AI$27,21)&amp;"/"&amp;$AP$4&amp;" ✓")</f>
        <v>7/8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июл","")</f>
        <v>Ср 22 июл</v>
      </c>
      <c r="C72" s="63" t="str">
        <f>IF(INDEX($E$27:$AI$27,22)="","",INDEX($E$27:$AI$27,22)&amp;"/"&amp;$AP$4&amp;" ✓")</f>
        <v>4/8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июл","")</f>
        <v>Чт 23 июл</v>
      </c>
      <c r="C73" s="63" t="str">
        <f>IF(INDEX($E$27:$AI$27,23)="","",INDEX($E$27:$AI$27,23)&amp;"/"&amp;$AP$4&amp;" ✓")</f>
        <v>2/8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июл","")</f>
        <v>Пт 24 июл</v>
      </c>
      <c r="C74" s="63" t="str">
        <f>IF(INDEX($E$27:$AI$27,24)="","",INDEX($E$27:$AI$27,24)&amp;"/"&amp;$AP$4&amp;" ✓")</f>
        <v>5/8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июл","")</f>
        <v>Сб 25 июл</v>
      </c>
      <c r="C75" s="63" t="str">
        <f>IF(INDEX($E$27:$AI$27,25)="","",INDEX($E$27:$AI$27,25)&amp;"/"&amp;$AP$4&amp;" ✓")</f>
        <v>7/8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июл","")</f>
        <v>Вс 26 июл</v>
      </c>
      <c r="C76" s="63" t="str">
        <f>IF(INDEX($E$27:$AI$27,26)="","",INDEX($E$27:$AI$27,26)&amp;"/"&amp;$AP$4&amp;" ✓")</f>
        <v>6/8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июл","")</f>
        <v>Пн 27 июл</v>
      </c>
      <c r="C77" s="63" t="str">
        <f>IF(INDEX($E$27:$AI$27,27)="","",INDEX($E$27:$AI$27,27)&amp;"/"&amp;$AP$4&amp;" ✓")</f>
        <v>5/8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июл","")</f>
        <v>Вт 28 июл</v>
      </c>
      <c r="C78" s="63" t="str">
        <f>IF(INDEX($E$27:$AI$27,28)="","",INDEX($E$27:$AI$27,28)&amp;"/"&amp;$AP$4&amp;" ✓")</f>
        <v>7/8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июл","")</f>
        <v>Ср 29 июл</v>
      </c>
      <c r="C79" s="63" t="str">
        <f>IF(INDEX($E$27:$AI$27,29)="","",INDEX($E$27:$AI$27,29)&amp;"/"&amp;$AP$4&amp;" ✓")</f>
        <v>3/8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июл","")</f>
        <v>Чт 30 июл</v>
      </c>
      <c r="C80" s="63" t="str">
        <f>IF(INDEX($E$27:$AI$27,30)="","",INDEX($E$27:$AI$27,30)&amp;"/"&amp;$AP$4&amp;" ✓")</f>
        <v>5/8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июл","")</f>
        <v>Пт 31 июл</v>
      </c>
      <c r="C81" s="63" t="str">
        <f>IF(INDEX($E$27:$AI$27,31)="","",INDEX($E$27:$AI$27,31)&amp;"/"&amp;$AP$4&amp;" ✓")</f>
        <v>3/8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{DA7ABA51-AAAA-BBBB-0009-000000000001}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9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B923C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DATE('Старт'!$D$6,8,1)</f>
        <v>46235.0</v>
      </c>
    </row>
    <row r="2" spans="2:73" ht="30" customHeight="1" x14ac:dyDescent="0.25">
      <c r="B2" s="30" t="str">
        <f>"АВГУСТ "&amp;'Старт'!$D$6</f>
        <v>АВГУСТ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147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31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218</v>
      </c>
    </row>
    <row r="6" spans="2:73" ht="28" customHeight="1" x14ac:dyDescent="0.25">
      <c r="B6" s="15">
        <f>$AP$7</f>
        <v>0.749596774193548</v>
      </c>
      <c r="C6" s="15"/>
      <c r="D6" s="15"/>
      <c r="E6" s="16">
        <f>$AP$9</f>
        <v>3</v>
      </c>
      <c r="F6" s="16"/>
      <c r="G6" s="16"/>
      <c r="H6" s="16"/>
      <c r="I6" s="16"/>
      <c r="J6" s="16"/>
      <c r="K6" s="16"/>
      <c r="L6" s="17">
        <f>IFERROR(MAX($AN$12:$AN$26),0)</f>
        <v>15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авг")</f>
        <v>8 авг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авг")</f>
        <v>29 авг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Тренировка</v>
      </c>
      <c r="AH6" s="34"/>
      <c r="AI6" s="34"/>
      <c r="AJ6" s="34"/>
      <c r="AK6" s="34"/>
      <c r="AL6" s="34"/>
      <c r="AM6" s="34"/>
      <c r="AN6" s="34"/>
      <c r="AP6" s="29">
        <f>SUM($AK$12:$AK$26)</f>
        <v>160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160 из 218 отметок · день 31 из 31</v>
      </c>
      <c r="C7" s="18"/>
      <c r="D7" s="18"/>
      <c r="E7" s="18" t="str">
        <f>IF($AP$3=0,"—","из "&amp;$AP$3&amp;" прошедших · все привычки ✓")</f>
        <v>из 31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План на завтра</v>
      </c>
      <c r="M7" s="18"/>
      <c r="N7" s="18"/>
      <c r="O7" s="18"/>
      <c r="P7" s="18"/>
      <c r="Q7" s="18"/>
      <c r="R7" s="18"/>
      <c r="S7" s="18" t="str">
        <f>IF($AP$3*$AP$4*$AP$6=0,"",ROUND(MAX($E$28:$AI$28)*100,0)&amp;"% привычек выполнено")</f>
        <v>100% привычек выполнено</v>
      </c>
      <c r="T7" s="18"/>
      <c r="U7" s="18"/>
      <c r="V7" s="18"/>
      <c r="W7" s="18"/>
      <c r="X7" s="18"/>
      <c r="Y7" s="18"/>
      <c r="Z7" s="18" t="str">
        <f>IF($AP$3*$AP$4*$AP$6=0,"",ROUND(MIN($E$28:$AI$28)*100,0)&amp;"% привычек выполнено")</f>
        <v>13% привычек выполнено</v>
      </c>
      <c r="AA7" s="18"/>
      <c r="AB7" s="18"/>
      <c r="AC7" s="18"/>
      <c r="AD7" s="18"/>
      <c r="AE7" s="18"/>
      <c r="AF7" s="18"/>
      <c r="AG7" s="18" t="str">
        <f>IF($AP$3*$AP$4*$AP$6=0,"","Подтянуть: "&amp;INDEX($C$12:$C$26,MATCH(MIN($AL$12:$AL$26),$AL$12:$AL$26,0)))</f>
        <v>Подтянуть: Без сахара</v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0.749596774193548</v>
      </c>
    </row>
    <row r="8" spans="2:73" ht="8" customHeight="1" x14ac:dyDescent="0.25">
      <c r="AP8" s="29">
        <f>1-$AP$7</f>
        <v>0.250403225806452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32/56 · 57%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41/56 · 73%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32/56 · 57%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 · 41/56 · 73%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 · 14/24 · 58%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3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Сб</v>
      </c>
      <c r="F10" s="42" t="str">
        <f>IF(2&lt;=$AP$2,CHOOSE(WEEKDAY($AP$1+1,2),"Пн","Вт","Ср","Чт","Пт","Сб","Вс"),"")</f>
        <v>Вс</v>
      </c>
      <c r="G10" s="42" t="str">
        <f>IF(3&lt;=$AP$2,CHOOSE(WEEKDAY($AP$1+2,2),"Пн","Вт","Ср","Чт","Пт","Сб","Вс"),"")</f>
        <v>Пн</v>
      </c>
      <c r="H10" s="42" t="str">
        <f>IF(4&lt;=$AP$2,CHOOSE(WEEKDAY($AP$1+3,2),"Пн","Вт","Ср","Чт","Пт","Сб","Вс"),"")</f>
        <v>Вт</v>
      </c>
      <c r="I10" s="42" t="str">
        <f>IF(5&lt;=$AP$2,CHOOSE(WEEKDAY($AP$1+4,2),"Пн","Вт","Ср","Чт","Пт","Сб","Вс"),"")</f>
        <v>Ср</v>
      </c>
      <c r="J10" s="42" t="str">
        <f>IF(6&lt;=$AP$2,CHOOSE(WEEKDAY($AP$1+5,2),"Пн","Вт","Ср","Чт","Пт","Сб","Вс"),"")</f>
        <v>Чт</v>
      </c>
      <c r="K10" s="42" t="str">
        <f>IF(7&lt;=$AP$2,CHOOSE(WEEKDAY($AP$1+6,2),"Пн","Вт","Ср","Чт","Пт","Сб","Вс"),"")</f>
        <v>Пт</v>
      </c>
      <c r="L10" s="42" t="str">
        <f>IF(8&lt;=$AP$2,CHOOSE(WEEKDAY($AP$1+7,2),"Пн","Вт","Ср","Чт","Пт","Сб","Вс"),"")</f>
        <v>Сб</v>
      </c>
      <c r="M10" s="42" t="str">
        <f>IF(9&lt;=$AP$2,CHOOSE(WEEKDAY($AP$1+8,2),"Пн","Вт","Ср","Чт","Пт","Сб","Вс"),"")</f>
        <v>Вс</v>
      </c>
      <c r="N10" s="42" t="str">
        <f>IF(10&lt;=$AP$2,CHOOSE(WEEKDAY($AP$1+9,2),"Пн","Вт","Ср","Чт","Пт","Сб","Вс"),"")</f>
        <v>Пн</v>
      </c>
      <c r="O10" s="42" t="str">
        <f>IF(11&lt;=$AP$2,CHOOSE(WEEKDAY($AP$1+10,2),"Пн","Вт","Ср","Чт","Пт","Сб","Вс"),"")</f>
        <v>Вт</v>
      </c>
      <c r="P10" s="42" t="str">
        <f>IF(12&lt;=$AP$2,CHOOSE(WEEKDAY($AP$1+11,2),"Пн","Вт","Ср","Чт","Пт","Сб","Вс"),"")</f>
        <v>Ср</v>
      </c>
      <c r="Q10" s="42" t="str">
        <f>IF(13&lt;=$AP$2,CHOOSE(WEEKDAY($AP$1+12,2),"Пн","Вт","Ср","Чт","Пт","Сб","Вс"),"")</f>
        <v>Чт</v>
      </c>
      <c r="R10" s="42" t="str">
        <f>IF(14&lt;=$AP$2,CHOOSE(WEEKDAY($AP$1+13,2),"Пн","Вт","Ср","Чт","Пт","Сб","Вс"),"")</f>
        <v>Пт</v>
      </c>
      <c r="S10" s="42" t="str">
        <f>IF(15&lt;=$AP$2,CHOOSE(WEEKDAY($AP$1+14,2),"Пн","Вт","Ср","Чт","Пт","Сб","Вс"),"")</f>
        <v>Сб</v>
      </c>
      <c r="T10" s="42" t="str">
        <f>IF(16&lt;=$AP$2,CHOOSE(WEEKDAY($AP$1+15,2),"Пн","Вт","Ср","Чт","Пт","Сб","Вс"),"")</f>
        <v>Вс</v>
      </c>
      <c r="U10" s="42" t="str">
        <f>IF(17&lt;=$AP$2,CHOOSE(WEEKDAY($AP$1+16,2),"Пн","Вт","Ср","Чт","Пт","Сб","Вс"),"")</f>
        <v>Пн</v>
      </c>
      <c r="V10" s="42" t="str">
        <f>IF(18&lt;=$AP$2,CHOOSE(WEEKDAY($AP$1+17,2),"Пн","Вт","Ср","Чт","Пт","Сб","Вс"),"")</f>
        <v>Вт</v>
      </c>
      <c r="W10" s="42" t="str">
        <f>IF(19&lt;=$AP$2,CHOOSE(WEEKDAY($AP$1+18,2),"Пн","Вт","Ср","Чт","Пт","Сб","Вс"),"")</f>
        <v>Ср</v>
      </c>
      <c r="X10" s="42" t="str">
        <f>IF(20&lt;=$AP$2,CHOOSE(WEEKDAY($AP$1+19,2),"Пн","Вт","Ср","Чт","Пт","Сб","Вс"),"")</f>
        <v>Чт</v>
      </c>
      <c r="Y10" s="42" t="str">
        <f>IF(21&lt;=$AP$2,CHOOSE(WEEKDAY($AP$1+20,2),"Пн","Вт","Ср","Чт","Пт","Сб","Вс"),"")</f>
        <v>Пт</v>
      </c>
      <c r="Z10" s="42" t="str">
        <f>IF(22&lt;=$AP$2,CHOOSE(WEEKDAY($AP$1+21,2),"Пн","Вт","Ср","Чт","Пт","Сб","Вс"),"")</f>
        <v>Сб</v>
      </c>
      <c r="AA10" s="42" t="str">
        <f>IF(23&lt;=$AP$2,CHOOSE(WEEKDAY($AP$1+22,2),"Пн","Вт","Ср","Чт","Пт","Сб","Вс"),"")</f>
        <v>Вс</v>
      </c>
      <c r="AB10" s="42" t="str">
        <f>IF(24&lt;=$AP$2,CHOOSE(WEEKDAY($AP$1+23,2),"Пн","Вт","Ср","Чт","Пт","Сб","Вс"),"")</f>
        <v>Пн</v>
      </c>
      <c r="AC10" s="42" t="str">
        <f>IF(25&lt;=$AP$2,CHOOSE(WEEKDAY($AP$1+24,2),"Пн","Вт","Ср","Чт","Пт","Сб","Вс"),"")</f>
        <v>Вт</v>
      </c>
      <c r="AD10" s="42" t="str">
        <f>IF(26&lt;=$AP$2,CHOOSE(WEEKDAY($AP$1+25,2),"Пн","Вт","Ср","Чт","Пт","Сб","Вс"),"")</f>
        <v>Ср</v>
      </c>
      <c r="AE10" s="42" t="str">
        <f>IF(27&lt;=$AP$2,CHOOSE(WEEKDAY($AP$1+26,2),"Пн","Вт","Ср","Чт","Пт","Сб","Вс"),"")</f>
        <v>Чт</v>
      </c>
      <c r="AF10" s="42" t="str">
        <f>IF(28&lt;=$AP$2,CHOOSE(WEEKDAY($AP$1+27,2),"Пн","Вт","Ср","Чт","Пт","Сб","Вс"),"")</f>
        <v>Пт</v>
      </c>
      <c r="AG10" s="42" t="str">
        <f>IF(29&lt;=$AP$2,CHOOSE(WEEKDAY($AP$1+28,2),"Пн","Вт","Ср","Чт","Пт","Сб","Вс"),"")</f>
        <v>Сб</v>
      </c>
      <c r="AH10" s="42" t="str">
        <f>IF(30&lt;=$AP$2,CHOOSE(WEEKDAY($AP$1+29,2),"Пн","Вт","Ср","Чт","Пт","Сб","Вс"),"")</f>
        <v>Вс</v>
      </c>
      <c r="AI10" s="42" t="str">
        <f>IF(31&lt;=$AP$2,CHOOSE(WEEKDAY($AP$1+30,2),"Пн","Вт","Ср","Чт","Пт","Сб","Вс"),"")</f>
        <v>Пн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1</v>
      </c>
      <c r="F12" s="46" t="b">
        <v>0</v>
      </c>
      <c r="G12" s="46" t="b">
        <v>1</v>
      </c>
      <c r="H12" s="46" t="b">
        <v>0</v>
      </c>
      <c r="I12" s="46" t="b">
        <v>1</v>
      </c>
      <c r="J12" s="46" t="b">
        <v>1</v>
      </c>
      <c r="K12" s="46" t="b">
        <v>1</v>
      </c>
      <c r="L12" s="46" t="b">
        <v>1</v>
      </c>
      <c r="M12" s="46" t="b">
        <v>1</v>
      </c>
      <c r="N12" s="46" t="b">
        <v>1</v>
      </c>
      <c r="O12" s="46" t="b">
        <v>1</v>
      </c>
      <c r="P12" s="46" t="b">
        <v>1</v>
      </c>
      <c r="Q12" s="46" t="b">
        <v>0</v>
      </c>
      <c r="R12" s="46" t="b">
        <v>1</v>
      </c>
      <c r="S12" s="46" t="b">
        <v>1</v>
      </c>
      <c r="T12" s="46" t="b">
        <v>0</v>
      </c>
      <c r="U12" s="46" t="b">
        <v>0</v>
      </c>
      <c r="V12" s="46" t="b">
        <v>1</v>
      </c>
      <c r="W12" s="46" t="b">
        <v>1</v>
      </c>
      <c r="X12" s="46" t="b">
        <v>1</v>
      </c>
      <c r="Y12" s="46" t="b">
        <v>1</v>
      </c>
      <c r="Z12" s="46" t="b">
        <v>0</v>
      </c>
      <c r="AA12" s="46" t="b">
        <v>0</v>
      </c>
      <c r="AB12" s="46" t="b">
        <v>1</v>
      </c>
      <c r="AC12" s="46" t="b">
        <v>1</v>
      </c>
      <c r="AD12" s="46" t="b">
        <v>1</v>
      </c>
      <c r="AE12" s="46" t="b">
        <v>1</v>
      </c>
      <c r="AF12" s="46" t="b">
        <v>0</v>
      </c>
      <c r="AG12" s="46" t="b">
        <v>0</v>
      </c>
      <c r="AH12" s="46" t="b">
        <v>1</v>
      </c>
      <c r="AI12" s="46" t="b">
        <v>1</v>
      </c>
      <c r="AK12" s="47">
        <f>IF($C12="","",SUMPRODUCT((((E12:AI12=TRUE)+(E12:AI12=1))&gt;0)*($E$11:$AI$11&lt;&gt;"")))</f>
        <v>22</v>
      </c>
      <c r="AL12" s="48">
        <f>IF($C12="","",IF($AP$3=0,0,IFERROR(MIN(1,AK12/$AP$12),0)))</f>
        <v>0.709677419354839</v>
      </c>
      <c r="AM12" s="49">
        <f>IF($C12="","",IF($AP$3=0,0,MAX(INDEX($AQ$12:$BU$12,$AP$3),INDEX($AQ$12:$BU$12,MAX($AP$3-1,1)))))</f>
        <v>2</v>
      </c>
      <c r="AN12" s="45">
        <f>IF($C12="","",MAX($AQ$12:$BU$12))</f>
        <v>8</v>
      </c>
      <c r="AP12" s="29">
        <f>IF($C12="",0,IFERROR(IF($D12="",$AP$2,$D12)*$AP$3/$AP$2,$AP$3))</f>
        <v>31</v>
      </c>
      <c r="AQ12" s="29">
        <f>IF(AND(1&lt;=$AP$3,OR(E12=TRUE,E12=1)),0+1,0)</f>
        <v>1</v>
      </c>
      <c r="AR12" s="29">
        <f>IF(AND(2&lt;=$AP$3,OR(F12=TRUE,F12=1)),AQ12+1,0)</f>
        <v>0</v>
      </c>
      <c r="AS12" s="29">
        <f>IF(AND(3&lt;=$AP$3,OR(G12=TRUE,G12=1)),AR12+1,0)</f>
        <v>1</v>
      </c>
      <c r="AT12" s="29">
        <f>IF(AND(4&lt;=$AP$3,OR(H12=TRUE,H12=1)),AS12+1,0)</f>
        <v>0</v>
      </c>
      <c r="AU12" s="29">
        <f>IF(AND(5&lt;=$AP$3,OR(I12=TRUE,I12=1)),AT12+1,0)</f>
        <v>1</v>
      </c>
      <c r="AV12" s="29">
        <f>IF(AND(6&lt;=$AP$3,OR(J12=TRUE,J12=1)),AU12+1,0)</f>
        <v>2</v>
      </c>
      <c r="AW12" s="29">
        <f>IF(AND(7&lt;=$AP$3,OR(K12=TRUE,K12=1)),AV12+1,0)</f>
        <v>3</v>
      </c>
      <c r="AX12" s="29">
        <f>IF(AND(8&lt;=$AP$3,OR(L12=TRUE,L12=1)),AW12+1,0)</f>
        <v>4</v>
      </c>
      <c r="AY12" s="29">
        <f>IF(AND(9&lt;=$AP$3,OR(M12=TRUE,M12=1)),AX12+1,0)</f>
        <v>5</v>
      </c>
      <c r="AZ12" s="29">
        <f>IF(AND(10&lt;=$AP$3,OR(N12=TRUE,N12=1)),AY12+1,0)</f>
        <v>6</v>
      </c>
      <c r="BA12" s="29">
        <f>IF(AND(11&lt;=$AP$3,OR(O12=TRUE,O12=1)),AZ12+1,0)</f>
        <v>7</v>
      </c>
      <c r="BB12" s="29">
        <f>IF(AND(12&lt;=$AP$3,OR(P12=TRUE,P12=1)),BA12+1,0)</f>
        <v>8</v>
      </c>
      <c r="BC12" s="29">
        <f>IF(AND(13&lt;=$AP$3,OR(Q12=TRUE,Q12=1)),BB12+1,0)</f>
        <v>0</v>
      </c>
      <c r="BD12" s="29">
        <f>IF(AND(14&lt;=$AP$3,OR(R12=TRUE,R12=1)),BC12+1,0)</f>
        <v>1</v>
      </c>
      <c r="BE12" s="29">
        <f>IF(AND(15&lt;=$AP$3,OR(S12=TRUE,S12=1)),BD12+1,0)</f>
        <v>2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1</v>
      </c>
      <c r="BI12" s="29">
        <f>IF(AND(19&lt;=$AP$3,OR(W12=TRUE,W12=1)),BH12+1,0)</f>
        <v>2</v>
      </c>
      <c r="BJ12" s="29">
        <f>IF(AND(20&lt;=$AP$3,OR(X12=TRUE,X12=1)),BI12+1,0)</f>
        <v>3</v>
      </c>
      <c r="BK12" s="29">
        <f>IF(AND(21&lt;=$AP$3,OR(Y12=TRUE,Y12=1)),BJ12+1,0)</f>
        <v>4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1</v>
      </c>
      <c r="BO12" s="29">
        <f>IF(AND(25&lt;=$AP$3,OR(AC12=TRUE,AC12=1)),BN12+1,0)</f>
        <v>2</v>
      </c>
      <c r="BP12" s="29">
        <f>IF(AND(26&lt;=$AP$3,OR(AD12=TRUE,AD12=1)),BO12+1,0)</f>
        <v>3</v>
      </c>
      <c r="BQ12" s="29">
        <f>IF(AND(27&lt;=$AP$3,OR(AE12=TRUE,AE12=1)),BP12+1,0)</f>
        <v>4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1</v>
      </c>
      <c r="BU12" s="29">
        <f>IF(AND(31&lt;=$AP$3,OR(AI12=TRUE,AI12=1)),BT12+1,0)</f>
        <v>2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1</v>
      </c>
      <c r="G13" s="46" t="b">
        <v>0</v>
      </c>
      <c r="H13" s="46" t="b">
        <v>1</v>
      </c>
      <c r="I13" s="46" t="b">
        <v>0</v>
      </c>
      <c r="J13" s="46" t="b">
        <v>0</v>
      </c>
      <c r="K13" s="46" t="b">
        <v>0</v>
      </c>
      <c r="L13" s="46" t="b">
        <v>1</v>
      </c>
      <c r="M13" s="46" t="b">
        <v>1</v>
      </c>
      <c r="N13" s="46" t="b">
        <v>0</v>
      </c>
      <c r="O13" s="46" t="b">
        <v>0</v>
      </c>
      <c r="P13" s="46" t="b">
        <v>1</v>
      </c>
      <c r="Q13" s="46" t="b">
        <v>1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1</v>
      </c>
      <c r="X13" s="46" t="b">
        <v>0</v>
      </c>
      <c r="Y13" s="46" t="b">
        <v>1</v>
      </c>
      <c r="Z13" s="46" t="b">
        <v>0</v>
      </c>
      <c r="AA13" s="46" t="b">
        <v>1</v>
      </c>
      <c r="AB13" s="46" t="b">
        <v>1</v>
      </c>
      <c r="AC13" s="46" t="b">
        <v>0</v>
      </c>
      <c r="AD13" s="46" t="b">
        <v>1</v>
      </c>
      <c r="AE13" s="46" t="b">
        <v>1</v>
      </c>
      <c r="AF13" s="46" t="b">
        <v>1</v>
      </c>
      <c r="AG13" s="46" t="b">
        <v>0</v>
      </c>
      <c r="AH13" s="46" t="b">
        <v>1</v>
      </c>
      <c r="AI13" s="46" t="b">
        <v>1</v>
      </c>
      <c r="AK13" s="47">
        <f>IF($C13="","",SUMPRODUCT((((E13:AI13=TRUE)+(E13:AI13=1))&gt;0)*($E$11:$AI$11&lt;&gt;"")))</f>
        <v>15</v>
      </c>
      <c r="AL13" s="48">
        <f>IF($C13="","",IF($AP$3=0,0,IFERROR(MIN(1,AK13/$AP$13),0)))</f>
        <v>1</v>
      </c>
      <c r="AM13" s="49">
        <f>IF($C13="","",IF($AP$3=0,0,MAX(INDEX($AQ$13:$BU$13,$AP$3),INDEX($AQ$13:$BU$13,MAX($AP$3-1,1)))))</f>
        <v>2</v>
      </c>
      <c r="AN13" s="45">
        <f>IF($C13="","",MAX($AQ$13:$BU$13))</f>
        <v>3</v>
      </c>
      <c r="AP13" s="29">
        <f>IF($C13="",0,IFERROR(IF($D13="",$AP$2,$D13)*$AP$3/$AP$2,$AP$3))</f>
        <v>12</v>
      </c>
      <c r="AQ13" s="29">
        <f>IF(AND(1&lt;=$AP$3,OR(E13=TRUE,E13=1)),0+1,0)</f>
        <v>0</v>
      </c>
      <c r="AR13" s="29">
        <f>IF(AND(2&lt;=$AP$3,OR(F13=TRUE,F13=1)),AQ13+1,0)</f>
        <v>1</v>
      </c>
      <c r="AS13" s="29">
        <f>IF(AND(3&lt;=$AP$3,OR(G13=TRUE,G13=1)),AR13+1,0)</f>
        <v>0</v>
      </c>
      <c r="AT13" s="29">
        <f>IF(AND(4&lt;=$AP$3,OR(H13=TRUE,H13=1)),AS13+1,0)</f>
        <v>1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1</v>
      </c>
      <c r="AY13" s="29">
        <f>IF(AND(9&lt;=$AP$3,OR(M13=TRUE,M13=1)),AX13+1,0)</f>
        <v>2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1</v>
      </c>
      <c r="BC13" s="29">
        <f>IF(AND(13&lt;=$AP$3,OR(Q13=TRUE,Q13=1)),BB13+1,0)</f>
        <v>2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1</v>
      </c>
      <c r="BJ13" s="29">
        <f>IF(AND(20&lt;=$AP$3,OR(X13=TRUE,X13=1)),BI13+1,0)</f>
        <v>0</v>
      </c>
      <c r="BK13" s="29">
        <f>IF(AND(21&lt;=$AP$3,OR(Y13=TRUE,Y13=1)),BJ13+1,0)</f>
        <v>1</v>
      </c>
      <c r="BL13" s="29">
        <f>IF(AND(22&lt;=$AP$3,OR(Z13=TRUE,Z13=1)),BK13+1,0)</f>
        <v>0</v>
      </c>
      <c r="BM13" s="29">
        <f>IF(AND(23&lt;=$AP$3,OR(AA13=TRUE,AA13=1)),BL13+1,0)</f>
        <v>1</v>
      </c>
      <c r="BN13" s="29">
        <f>IF(AND(24&lt;=$AP$3,OR(AB13=TRUE,AB13=1)),BM13+1,0)</f>
        <v>2</v>
      </c>
      <c r="BO13" s="29">
        <f>IF(AND(25&lt;=$AP$3,OR(AC13=TRUE,AC13=1)),BN13+1,0)</f>
        <v>0</v>
      </c>
      <c r="BP13" s="29">
        <f>IF(AND(26&lt;=$AP$3,OR(AD13=TRUE,AD13=1)),BO13+1,0)</f>
        <v>1</v>
      </c>
      <c r="BQ13" s="29">
        <f>IF(AND(27&lt;=$AP$3,OR(AE13=TRUE,AE13=1)),BP13+1,0)</f>
        <v>2</v>
      </c>
      <c r="BR13" s="29">
        <f>IF(AND(28&lt;=$AP$3,OR(AF13=TRUE,AF13=1)),BQ13+1,0)</f>
        <v>3</v>
      </c>
      <c r="BS13" s="29">
        <f>IF(AND(29&lt;=$AP$3,OR(AG13=TRUE,AG13=1)),BR13+1,0)</f>
        <v>0</v>
      </c>
      <c r="BT13" s="29">
        <f>IF(AND(30&lt;=$AP$3,OR(AH13=TRUE,AH13=1)),BS13+1,0)</f>
        <v>1</v>
      </c>
      <c r="BU13" s="29">
        <f>IF(AND(31&lt;=$AP$3,OR(AI13=TRUE,AI13=1)),BT13+1,0)</f>
        <v>2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1</v>
      </c>
      <c r="F14" s="46" t="b">
        <v>1</v>
      </c>
      <c r="G14" s="46" t="b">
        <v>1</v>
      </c>
      <c r="H14" s="46" t="b">
        <v>0</v>
      </c>
      <c r="I14" s="46" t="b">
        <v>1</v>
      </c>
      <c r="J14" s="46" t="b">
        <v>1</v>
      </c>
      <c r="K14" s="46" t="b">
        <v>0</v>
      </c>
      <c r="L14" s="46" t="b">
        <v>1</v>
      </c>
      <c r="M14" s="46" t="b">
        <v>1</v>
      </c>
      <c r="N14" s="46" t="b">
        <v>1</v>
      </c>
      <c r="O14" s="46" t="b">
        <v>0</v>
      </c>
      <c r="P14" s="46" t="b">
        <v>1</v>
      </c>
      <c r="Q14" s="46" t="b">
        <v>1</v>
      </c>
      <c r="R14" s="46" t="b">
        <v>1</v>
      </c>
      <c r="S14" s="46" t="b">
        <v>0</v>
      </c>
      <c r="T14" s="46" t="b">
        <v>1</v>
      </c>
      <c r="U14" s="46" t="b">
        <v>0</v>
      </c>
      <c r="V14" s="46" t="b">
        <v>1</v>
      </c>
      <c r="W14" s="46" t="b">
        <v>1</v>
      </c>
      <c r="X14" s="46" t="b">
        <v>1</v>
      </c>
      <c r="Y14" s="46" t="b">
        <v>0</v>
      </c>
      <c r="Z14" s="46" t="b">
        <v>1</v>
      </c>
      <c r="AA14" s="46" t="b">
        <v>1</v>
      </c>
      <c r="AB14" s="46" t="b">
        <v>1</v>
      </c>
      <c r="AC14" s="46" t="b">
        <v>1</v>
      </c>
      <c r="AD14" s="46" t="b">
        <v>1</v>
      </c>
      <c r="AE14" s="46" t="b">
        <v>1</v>
      </c>
      <c r="AF14" s="46" t="b">
        <v>0</v>
      </c>
      <c r="AG14" s="46" t="b">
        <v>0</v>
      </c>
      <c r="AH14" s="46" t="b">
        <v>1</v>
      </c>
      <c r="AI14" s="46" t="b">
        <v>1</v>
      </c>
      <c r="AK14" s="47">
        <f>IF($C14="","",SUMPRODUCT((((E14:AI14=TRUE)+(E14:AI14=1))&gt;0)*($E$11:$AI$11&lt;&gt;"")))</f>
        <v>23</v>
      </c>
      <c r="AL14" s="48">
        <f>IF($C14="","",IF($AP$3=0,0,IFERROR(MIN(1,AK14/$AP$14),0)))</f>
        <v>0.741935483870968</v>
      </c>
      <c r="AM14" s="49">
        <f>IF($C14="","",IF($AP$3=0,0,MAX(INDEX($AQ$14:$BU$14,$AP$3),INDEX($AQ$14:$BU$14,MAX($AP$3-1,1)))))</f>
        <v>2</v>
      </c>
      <c r="AN14" s="45">
        <f>IF($C14="","",MAX($AQ$14:$BU$14))</f>
        <v>6</v>
      </c>
      <c r="AP14" s="29">
        <f>IF($C14="",0,IFERROR(IF($D14="",$AP$2,$D14)*$AP$3/$AP$2,$AP$3))</f>
        <v>31</v>
      </c>
      <c r="AQ14" s="29">
        <f>IF(AND(1&lt;=$AP$3,OR(E14=TRUE,E14=1)),0+1,0)</f>
        <v>1</v>
      </c>
      <c r="AR14" s="29">
        <f>IF(AND(2&lt;=$AP$3,OR(F14=TRUE,F14=1)),AQ14+1,0)</f>
        <v>2</v>
      </c>
      <c r="AS14" s="29">
        <f>IF(AND(3&lt;=$AP$3,OR(G14=TRUE,G14=1)),AR14+1,0)</f>
        <v>3</v>
      </c>
      <c r="AT14" s="29">
        <f>IF(AND(4&lt;=$AP$3,OR(H14=TRUE,H14=1)),AS14+1,0)</f>
        <v>0</v>
      </c>
      <c r="AU14" s="29">
        <f>IF(AND(5&lt;=$AP$3,OR(I14=TRUE,I14=1)),AT14+1,0)</f>
        <v>1</v>
      </c>
      <c r="AV14" s="29">
        <f>IF(AND(6&lt;=$AP$3,OR(J14=TRUE,J14=1)),AU14+1,0)</f>
        <v>2</v>
      </c>
      <c r="AW14" s="29">
        <f>IF(AND(7&lt;=$AP$3,OR(K14=TRUE,K14=1)),AV14+1,0)</f>
        <v>0</v>
      </c>
      <c r="AX14" s="29">
        <f>IF(AND(8&lt;=$AP$3,OR(L14=TRUE,L14=1)),AW14+1,0)</f>
        <v>1</v>
      </c>
      <c r="AY14" s="29">
        <f>IF(AND(9&lt;=$AP$3,OR(M14=TRUE,M14=1)),AX14+1,0)</f>
        <v>2</v>
      </c>
      <c r="AZ14" s="29">
        <f>IF(AND(10&lt;=$AP$3,OR(N14=TRUE,N14=1)),AY14+1,0)</f>
        <v>3</v>
      </c>
      <c r="BA14" s="29">
        <f>IF(AND(11&lt;=$AP$3,OR(O14=TRUE,O14=1)),AZ14+1,0)</f>
        <v>0</v>
      </c>
      <c r="BB14" s="29">
        <f>IF(AND(12&lt;=$AP$3,OR(P14=TRUE,P14=1)),BA14+1,0)</f>
        <v>1</v>
      </c>
      <c r="BC14" s="29">
        <f>IF(AND(13&lt;=$AP$3,OR(Q14=TRUE,Q14=1)),BB14+1,0)</f>
        <v>2</v>
      </c>
      <c r="BD14" s="29">
        <f>IF(AND(14&lt;=$AP$3,OR(R14=TRUE,R14=1)),BC14+1,0)</f>
        <v>3</v>
      </c>
      <c r="BE14" s="29">
        <f>IF(AND(15&lt;=$AP$3,OR(S14=TRUE,S14=1)),BD14+1,0)</f>
        <v>0</v>
      </c>
      <c r="BF14" s="29">
        <f>IF(AND(16&lt;=$AP$3,OR(T14=TRUE,T14=1)),BE14+1,0)</f>
        <v>1</v>
      </c>
      <c r="BG14" s="29">
        <f>IF(AND(17&lt;=$AP$3,OR(U14=TRUE,U14=1)),BF14+1,0)</f>
        <v>0</v>
      </c>
      <c r="BH14" s="29">
        <f>IF(AND(18&lt;=$AP$3,OR(V14=TRUE,V14=1)),BG14+1,0)</f>
        <v>1</v>
      </c>
      <c r="BI14" s="29">
        <f>IF(AND(19&lt;=$AP$3,OR(W14=TRUE,W14=1)),BH14+1,0)</f>
        <v>2</v>
      </c>
      <c r="BJ14" s="29">
        <f>IF(AND(20&lt;=$AP$3,OR(X14=TRUE,X14=1)),BI14+1,0)</f>
        <v>3</v>
      </c>
      <c r="BK14" s="29">
        <f>IF(AND(21&lt;=$AP$3,OR(Y14=TRUE,Y14=1)),BJ14+1,0)</f>
        <v>0</v>
      </c>
      <c r="BL14" s="29">
        <f>IF(AND(22&lt;=$AP$3,OR(Z14=TRUE,Z14=1)),BK14+1,0)</f>
        <v>1</v>
      </c>
      <c r="BM14" s="29">
        <f>IF(AND(23&lt;=$AP$3,OR(AA14=TRUE,AA14=1)),BL14+1,0)</f>
        <v>2</v>
      </c>
      <c r="BN14" s="29">
        <f>IF(AND(24&lt;=$AP$3,OR(AB14=TRUE,AB14=1)),BM14+1,0)</f>
        <v>3</v>
      </c>
      <c r="BO14" s="29">
        <f>IF(AND(25&lt;=$AP$3,OR(AC14=TRUE,AC14=1)),BN14+1,0)</f>
        <v>4</v>
      </c>
      <c r="BP14" s="29">
        <f>IF(AND(26&lt;=$AP$3,OR(AD14=TRUE,AD14=1)),BO14+1,0)</f>
        <v>5</v>
      </c>
      <c r="BQ14" s="29">
        <f>IF(AND(27&lt;=$AP$3,OR(AE14=TRUE,AE14=1)),BP14+1,0)</f>
        <v>6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1</v>
      </c>
      <c r="BU14" s="29">
        <f>IF(AND(31&lt;=$AP$3,OR(AI14=TRUE,AI14=1)),BT14+1,0)</f>
        <v>2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1</v>
      </c>
      <c r="G15" s="46" t="b">
        <v>1</v>
      </c>
      <c r="H15" s="46" t="b">
        <v>0</v>
      </c>
      <c r="I15" s="46" t="b">
        <v>1</v>
      </c>
      <c r="J15" s="46" t="b">
        <v>1</v>
      </c>
      <c r="K15" s="46" t="b">
        <v>0</v>
      </c>
      <c r="L15" s="46" t="b">
        <v>1</v>
      </c>
      <c r="M15" s="46" t="b">
        <v>1</v>
      </c>
      <c r="N15" s="46" t="b">
        <v>1</v>
      </c>
      <c r="O15" s="46" t="b">
        <v>1</v>
      </c>
      <c r="P15" s="46" t="b">
        <v>1</v>
      </c>
      <c r="Q15" s="46" t="b">
        <v>1</v>
      </c>
      <c r="R15" s="46" t="b">
        <v>0</v>
      </c>
      <c r="S15" s="46" t="b">
        <v>1</v>
      </c>
      <c r="T15" s="46" t="b">
        <v>1</v>
      </c>
      <c r="U15" s="46" t="b">
        <v>0</v>
      </c>
      <c r="V15" s="46" t="b">
        <v>1</v>
      </c>
      <c r="W15" s="46" t="b">
        <v>1</v>
      </c>
      <c r="X15" s="46" t="b">
        <v>1</v>
      </c>
      <c r="Y15" s="46" t="b">
        <v>0</v>
      </c>
      <c r="Z15" s="46" t="b">
        <v>1</v>
      </c>
      <c r="AA15" s="46" t="b">
        <v>0</v>
      </c>
      <c r="AB15" s="46" t="b">
        <v>1</v>
      </c>
      <c r="AC15" s="46" t="b">
        <v>1</v>
      </c>
      <c r="AD15" s="46" t="b">
        <v>1</v>
      </c>
      <c r="AE15" s="46" t="b">
        <v>1</v>
      </c>
      <c r="AF15" s="46" t="b">
        <v>1</v>
      </c>
      <c r="AG15" s="46" t="b">
        <v>0</v>
      </c>
      <c r="AH15" s="46" t="b">
        <v>0</v>
      </c>
      <c r="AI15" s="46" t="b">
        <v>1</v>
      </c>
      <c r="AK15" s="47">
        <f>IF($C15="","",SUMPRODUCT((((E15:AI15=TRUE)+(E15:AI15=1))&gt;0)*($E$11:$AI$11&lt;&gt;"")))</f>
        <v>22</v>
      </c>
      <c r="AL15" s="48">
        <f>IF($C15="","",IF($AP$3=0,0,IFERROR(MIN(1,AK15/$AP$15),0)))</f>
        <v>0.709677419354839</v>
      </c>
      <c r="AM15" s="49">
        <f>IF($C15="","",IF($AP$3=0,0,MAX(INDEX($AQ$15:$BU$15,$AP$3),INDEX($AQ$15:$BU$15,MAX($AP$3-1,1)))))</f>
        <v>1</v>
      </c>
      <c r="AN15" s="45">
        <f>IF($C15="","",MAX($AQ$15:$BU$15))</f>
        <v>6</v>
      </c>
      <c r="AP15" s="29">
        <f>IF($C15="",0,IFERROR(IF($D15="",$AP$2,$D15)*$AP$3/$AP$2,$AP$3))</f>
        <v>31</v>
      </c>
      <c r="AQ15" s="29">
        <f>IF(AND(1&lt;=$AP$3,OR(E15=TRUE,E15=1)),0+1,0)</f>
        <v>0</v>
      </c>
      <c r="AR15" s="29">
        <f>IF(AND(2&lt;=$AP$3,OR(F15=TRUE,F15=1)),AQ15+1,0)</f>
        <v>1</v>
      </c>
      <c r="AS15" s="29">
        <f>IF(AND(3&lt;=$AP$3,OR(G15=TRUE,G15=1)),AR15+1,0)</f>
        <v>2</v>
      </c>
      <c r="AT15" s="29">
        <f>IF(AND(4&lt;=$AP$3,OR(H15=TRUE,H15=1)),AS15+1,0)</f>
        <v>0</v>
      </c>
      <c r="AU15" s="29">
        <f>IF(AND(5&lt;=$AP$3,OR(I15=TRUE,I15=1)),AT15+1,0)</f>
        <v>1</v>
      </c>
      <c r="AV15" s="29">
        <f>IF(AND(6&lt;=$AP$3,OR(J15=TRUE,J15=1)),AU15+1,0)</f>
        <v>2</v>
      </c>
      <c r="AW15" s="29">
        <f>IF(AND(7&lt;=$AP$3,OR(K15=TRUE,K15=1)),AV15+1,0)</f>
        <v>0</v>
      </c>
      <c r="AX15" s="29">
        <f>IF(AND(8&lt;=$AP$3,OR(L15=TRUE,L15=1)),AW15+1,0)</f>
        <v>1</v>
      </c>
      <c r="AY15" s="29">
        <f>IF(AND(9&lt;=$AP$3,OR(M15=TRUE,M15=1)),AX15+1,0)</f>
        <v>2</v>
      </c>
      <c r="AZ15" s="29">
        <f>IF(AND(10&lt;=$AP$3,OR(N15=TRUE,N15=1)),AY15+1,0)</f>
        <v>3</v>
      </c>
      <c r="BA15" s="29">
        <f>IF(AND(11&lt;=$AP$3,OR(O15=TRUE,O15=1)),AZ15+1,0)</f>
        <v>4</v>
      </c>
      <c r="BB15" s="29">
        <f>IF(AND(12&lt;=$AP$3,OR(P15=TRUE,P15=1)),BA15+1,0)</f>
        <v>5</v>
      </c>
      <c r="BC15" s="29">
        <f>IF(AND(13&lt;=$AP$3,OR(Q15=TRUE,Q15=1)),BB15+1,0)</f>
        <v>6</v>
      </c>
      <c r="BD15" s="29">
        <f>IF(AND(14&lt;=$AP$3,OR(R15=TRUE,R15=1)),BC15+1,0)</f>
        <v>0</v>
      </c>
      <c r="BE15" s="29">
        <f>IF(AND(15&lt;=$AP$3,OR(S15=TRUE,S15=1)),BD15+1,0)</f>
        <v>1</v>
      </c>
      <c r="BF15" s="29">
        <f>IF(AND(16&lt;=$AP$3,OR(T15=TRUE,T15=1)),BE15+1,0)</f>
        <v>2</v>
      </c>
      <c r="BG15" s="29">
        <f>IF(AND(17&lt;=$AP$3,OR(U15=TRUE,U15=1)),BF15+1,0)</f>
        <v>0</v>
      </c>
      <c r="BH15" s="29">
        <f>IF(AND(18&lt;=$AP$3,OR(V15=TRUE,V15=1)),BG15+1,0)</f>
        <v>1</v>
      </c>
      <c r="BI15" s="29">
        <f>IF(AND(19&lt;=$AP$3,OR(W15=TRUE,W15=1)),BH15+1,0)</f>
        <v>2</v>
      </c>
      <c r="BJ15" s="29">
        <f>IF(AND(20&lt;=$AP$3,OR(X15=TRUE,X15=1)),BI15+1,0)</f>
        <v>3</v>
      </c>
      <c r="BK15" s="29">
        <f>IF(AND(21&lt;=$AP$3,OR(Y15=TRUE,Y15=1)),BJ15+1,0)</f>
        <v>0</v>
      </c>
      <c r="BL15" s="29">
        <f>IF(AND(22&lt;=$AP$3,OR(Z15=TRUE,Z15=1)),BK15+1,0)</f>
        <v>1</v>
      </c>
      <c r="BM15" s="29">
        <f>IF(AND(23&lt;=$AP$3,OR(AA15=TRUE,AA15=1)),BL15+1,0)</f>
        <v>0</v>
      </c>
      <c r="BN15" s="29">
        <f>IF(AND(24&lt;=$AP$3,OR(AB15=TRUE,AB15=1)),BM15+1,0)</f>
        <v>1</v>
      </c>
      <c r="BO15" s="29">
        <f>IF(AND(25&lt;=$AP$3,OR(AC15=TRUE,AC15=1)),BN15+1,0)</f>
        <v>2</v>
      </c>
      <c r="BP15" s="29">
        <f>IF(AND(26&lt;=$AP$3,OR(AD15=TRUE,AD15=1)),BO15+1,0)</f>
        <v>3</v>
      </c>
      <c r="BQ15" s="29">
        <f>IF(AND(27&lt;=$AP$3,OR(AE15=TRUE,AE15=1)),BP15+1,0)</f>
        <v>4</v>
      </c>
      <c r="BR15" s="29">
        <f>IF(AND(28&lt;=$AP$3,OR(AF15=TRUE,AF15=1)),BQ15+1,0)</f>
        <v>5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1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1</v>
      </c>
      <c r="F16" s="46" t="b">
        <v>1</v>
      </c>
      <c r="G16" s="46" t="b">
        <v>0</v>
      </c>
      <c r="H16" s="46" t="b">
        <v>0</v>
      </c>
      <c r="I16" s="46" t="b">
        <v>1</v>
      </c>
      <c r="J16" s="46" t="b">
        <v>1</v>
      </c>
      <c r="K16" s="46" t="b">
        <v>1</v>
      </c>
      <c r="L16" s="46" t="b">
        <v>1</v>
      </c>
      <c r="M16" s="46" t="b">
        <v>1</v>
      </c>
      <c r="N16" s="46" t="b">
        <v>0</v>
      </c>
      <c r="O16" s="46" t="b">
        <v>1</v>
      </c>
      <c r="P16" s="46" t="b">
        <v>1</v>
      </c>
      <c r="Q16" s="46" t="b">
        <v>1</v>
      </c>
      <c r="R16" s="46" t="b">
        <v>1</v>
      </c>
      <c r="S16" s="46" t="b">
        <v>1</v>
      </c>
      <c r="T16" s="46" t="b">
        <v>0</v>
      </c>
      <c r="U16" s="46" t="b">
        <v>0</v>
      </c>
      <c r="V16" s="46" t="b">
        <v>0</v>
      </c>
      <c r="W16" s="46" t="b">
        <v>1</v>
      </c>
      <c r="X16" s="46" t="b">
        <v>1</v>
      </c>
      <c r="Y16" s="46" t="b">
        <v>0</v>
      </c>
      <c r="Z16" s="46" t="b">
        <v>0</v>
      </c>
      <c r="AA16" s="46" t="b">
        <v>0</v>
      </c>
      <c r="AB16" s="46" t="b">
        <v>1</v>
      </c>
      <c r="AC16" s="46" t="b">
        <v>1</v>
      </c>
      <c r="AD16" s="46" t="b">
        <v>1</v>
      </c>
      <c r="AE16" s="46" t="b">
        <v>1</v>
      </c>
      <c r="AF16" s="46" t="b">
        <v>1</v>
      </c>
      <c r="AG16" s="46" t="b">
        <v>0</v>
      </c>
      <c r="AH16" s="46" t="b">
        <v>1</v>
      </c>
      <c r="AI16" s="46" t="b">
        <v>1</v>
      </c>
      <c r="AK16" s="47">
        <f>IF($C16="","",SUMPRODUCT((((E16:AI16=TRUE)+(E16:AI16=1))&gt;0)*($E$11:$AI$11&lt;&gt;"")))</f>
        <v>21</v>
      </c>
      <c r="AL16" s="48">
        <f>IF($C16="","",IF($AP$3=0,0,IFERROR(MIN(1,AK16/$AP$16),0)))</f>
        <v>0.67741935483871</v>
      </c>
      <c r="AM16" s="49">
        <f>IF($C16="","",IF($AP$3=0,0,MAX(INDEX($AQ$16:$BU$16,$AP$3),INDEX($AQ$16:$BU$16,MAX($AP$3-1,1)))))</f>
        <v>2</v>
      </c>
      <c r="AN16" s="45">
        <f>IF($C16="","",MAX($AQ$16:$BU$16))</f>
        <v>5</v>
      </c>
      <c r="AP16" s="29">
        <f>IF($C16="",0,IFERROR(IF($D16="",$AP$2,$D16)*$AP$3/$AP$2,$AP$3))</f>
        <v>31</v>
      </c>
      <c r="AQ16" s="29">
        <f>IF(AND(1&lt;=$AP$3,OR(E16=TRUE,E16=1)),0+1,0)</f>
        <v>1</v>
      </c>
      <c r="AR16" s="29">
        <f>IF(AND(2&lt;=$AP$3,OR(F16=TRUE,F16=1)),AQ16+1,0)</f>
        <v>2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1</v>
      </c>
      <c r="AV16" s="29">
        <f>IF(AND(6&lt;=$AP$3,OR(J16=TRUE,J16=1)),AU16+1,0)</f>
        <v>2</v>
      </c>
      <c r="AW16" s="29">
        <f>IF(AND(7&lt;=$AP$3,OR(K16=TRUE,K16=1)),AV16+1,0)</f>
        <v>3</v>
      </c>
      <c r="AX16" s="29">
        <f>IF(AND(8&lt;=$AP$3,OR(L16=TRUE,L16=1)),AW16+1,0)</f>
        <v>4</v>
      </c>
      <c r="AY16" s="29">
        <f>IF(AND(9&lt;=$AP$3,OR(M16=TRUE,M16=1)),AX16+1,0)</f>
        <v>5</v>
      </c>
      <c r="AZ16" s="29">
        <f>IF(AND(10&lt;=$AP$3,OR(N16=TRUE,N16=1)),AY16+1,0)</f>
        <v>0</v>
      </c>
      <c r="BA16" s="29">
        <f>IF(AND(11&lt;=$AP$3,OR(O16=TRUE,O16=1)),AZ16+1,0)</f>
        <v>1</v>
      </c>
      <c r="BB16" s="29">
        <f>IF(AND(12&lt;=$AP$3,OR(P16=TRUE,P16=1)),BA16+1,0)</f>
        <v>2</v>
      </c>
      <c r="BC16" s="29">
        <f>IF(AND(13&lt;=$AP$3,OR(Q16=TRUE,Q16=1)),BB16+1,0)</f>
        <v>3</v>
      </c>
      <c r="BD16" s="29">
        <f>IF(AND(14&lt;=$AP$3,OR(R16=TRUE,R16=1)),BC16+1,0)</f>
        <v>4</v>
      </c>
      <c r="BE16" s="29">
        <f>IF(AND(15&lt;=$AP$3,OR(S16=TRUE,S16=1)),BD16+1,0)</f>
        <v>5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1</v>
      </c>
      <c r="BJ16" s="29">
        <f>IF(AND(20&lt;=$AP$3,OR(X16=TRUE,X16=1)),BI16+1,0)</f>
        <v>2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1</v>
      </c>
      <c r="BO16" s="29">
        <f>IF(AND(25&lt;=$AP$3,OR(AC16=TRUE,AC16=1)),BN16+1,0)</f>
        <v>2</v>
      </c>
      <c r="BP16" s="29">
        <f>IF(AND(26&lt;=$AP$3,OR(AD16=TRUE,AD16=1)),BO16+1,0)</f>
        <v>3</v>
      </c>
      <c r="BQ16" s="29">
        <f>IF(AND(27&lt;=$AP$3,OR(AE16=TRUE,AE16=1)),BP16+1,0)</f>
        <v>4</v>
      </c>
      <c r="BR16" s="29">
        <f>IF(AND(28&lt;=$AP$3,OR(AF16=TRUE,AF16=1)),BQ16+1,0)</f>
        <v>5</v>
      </c>
      <c r="BS16" s="29">
        <f>IF(AND(29&lt;=$AP$3,OR(AG16=TRUE,AG16=1)),BR16+1,0)</f>
        <v>0</v>
      </c>
      <c r="BT16" s="29">
        <f>IF(AND(30&lt;=$AP$3,OR(AH16=TRUE,AH16=1)),BS16+1,0)</f>
        <v>1</v>
      </c>
      <c r="BU16" s="29">
        <f>IF(AND(31&lt;=$AP$3,OR(AI16=TRUE,AI16=1)),BT16+1,0)</f>
        <v>2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1</v>
      </c>
      <c r="F17" s="46" t="b">
        <v>1</v>
      </c>
      <c r="G17" s="46" t="b">
        <v>0</v>
      </c>
      <c r="H17" s="46" t="b">
        <v>0</v>
      </c>
      <c r="I17" s="46" t="b">
        <v>1</v>
      </c>
      <c r="J17" s="46" t="b">
        <v>1</v>
      </c>
      <c r="K17" s="46" t="b">
        <v>1</v>
      </c>
      <c r="L17" s="46" t="b">
        <v>1</v>
      </c>
      <c r="M17" s="46" t="b">
        <v>0</v>
      </c>
      <c r="N17" s="46" t="b">
        <v>0</v>
      </c>
      <c r="O17" s="46" t="b">
        <v>0</v>
      </c>
      <c r="P17" s="46" t="b">
        <v>1</v>
      </c>
      <c r="Q17" s="46" t="b">
        <v>0</v>
      </c>
      <c r="R17" s="46" t="b">
        <v>1</v>
      </c>
      <c r="S17" s="46" t="b">
        <v>0</v>
      </c>
      <c r="T17" s="46" t="b">
        <v>0</v>
      </c>
      <c r="U17" s="46" t="b">
        <v>1</v>
      </c>
      <c r="V17" s="46" t="b">
        <v>1</v>
      </c>
      <c r="W17" s="46" t="b">
        <v>0</v>
      </c>
      <c r="X17" s="46" t="b">
        <v>0</v>
      </c>
      <c r="Y17" s="46" t="b">
        <v>1</v>
      </c>
      <c r="Z17" s="46" t="b">
        <v>0</v>
      </c>
      <c r="AA17" s="46" t="b">
        <v>0</v>
      </c>
      <c r="AB17" s="46" t="b">
        <v>1</v>
      </c>
      <c r="AC17" s="46" t="b">
        <v>1</v>
      </c>
      <c r="AD17" s="46" t="b">
        <v>1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14</v>
      </c>
      <c r="AL17" s="48">
        <f>IF($C17="","",IF($AP$3=0,0,IFERROR(MIN(1,AK17/$AP$17),0)))</f>
        <v>0.451612903225806</v>
      </c>
      <c r="AM17" s="49">
        <f>IF($C17="","",IF($AP$3=0,0,MAX(INDEX($AQ$17:$BU$17,$AP$3),INDEX($AQ$17:$BU$17,MAX($AP$3-1,1)))))</f>
        <v>0</v>
      </c>
      <c r="AN17" s="45">
        <f>IF($C17="","",MAX($AQ$17:$BU$17))</f>
        <v>4</v>
      </c>
      <c r="AP17" s="29">
        <f>IF($C17="",0,IFERROR(IF($D17="",$AP$2,$D17)*$AP$3/$AP$2,$AP$3))</f>
        <v>31</v>
      </c>
      <c r="AQ17" s="29">
        <f>IF(AND(1&lt;=$AP$3,OR(E17=TRUE,E17=1)),0+1,0)</f>
        <v>1</v>
      </c>
      <c r="AR17" s="29">
        <f>IF(AND(2&lt;=$AP$3,OR(F17=TRUE,F17=1)),AQ17+1,0)</f>
        <v>2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1</v>
      </c>
      <c r="AV17" s="29">
        <f>IF(AND(6&lt;=$AP$3,OR(J17=TRUE,J17=1)),AU17+1,0)</f>
        <v>2</v>
      </c>
      <c r="AW17" s="29">
        <f>IF(AND(7&lt;=$AP$3,OR(K17=TRUE,K17=1)),AV17+1,0)</f>
        <v>3</v>
      </c>
      <c r="AX17" s="29">
        <f>IF(AND(8&lt;=$AP$3,OR(L17=TRUE,L17=1)),AW17+1,0)</f>
        <v>4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1</v>
      </c>
      <c r="BC17" s="29">
        <f>IF(AND(13&lt;=$AP$3,OR(Q17=TRUE,Q17=1)),BB17+1,0)</f>
        <v>0</v>
      </c>
      <c r="BD17" s="29">
        <f>IF(AND(14&lt;=$AP$3,OR(R17=TRUE,R17=1)),BC17+1,0)</f>
        <v>1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1</v>
      </c>
      <c r="BH17" s="29">
        <f>IF(AND(18&lt;=$AP$3,OR(V17=TRUE,V17=1)),BG17+1,0)</f>
        <v>2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1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1</v>
      </c>
      <c r="BO17" s="29">
        <f>IF(AND(25&lt;=$AP$3,OR(AC17=TRUE,AC17=1)),BN17+1,0)</f>
        <v>2</v>
      </c>
      <c r="BP17" s="29">
        <f>IF(AND(26&lt;=$AP$3,OR(AD17=TRUE,AD17=1)),BO17+1,0)</f>
        <v>3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1</v>
      </c>
      <c r="G18" s="46" t="b">
        <v>0</v>
      </c>
      <c r="H18" s="46" t="b">
        <v>0</v>
      </c>
      <c r="I18" s="46" t="b">
        <v>1</v>
      </c>
      <c r="J18" s="46" t="b">
        <v>1</v>
      </c>
      <c r="K18" s="46" t="b">
        <v>0</v>
      </c>
      <c r="L18" s="46" t="b">
        <v>1</v>
      </c>
      <c r="M18" s="46" t="b">
        <v>1</v>
      </c>
      <c r="N18" s="46" t="b">
        <v>1</v>
      </c>
      <c r="O18" s="46" t="b">
        <v>1</v>
      </c>
      <c r="P18" s="46" t="b">
        <v>1</v>
      </c>
      <c r="Q18" s="46" t="b">
        <v>1</v>
      </c>
      <c r="R18" s="46" t="b">
        <v>0</v>
      </c>
      <c r="S18" s="46" t="b">
        <v>1</v>
      </c>
      <c r="T18" s="46" t="b">
        <v>0</v>
      </c>
      <c r="U18" s="46" t="b">
        <v>1</v>
      </c>
      <c r="V18" s="46" t="b">
        <v>1</v>
      </c>
      <c r="W18" s="46" t="b">
        <v>1</v>
      </c>
      <c r="X18" s="46" t="b">
        <v>1</v>
      </c>
      <c r="Y18" s="46" t="b">
        <v>1</v>
      </c>
      <c r="Z18" s="46" t="b">
        <v>1</v>
      </c>
      <c r="AA18" s="46" t="b">
        <v>1</v>
      </c>
      <c r="AB18" s="46" t="b">
        <v>1</v>
      </c>
      <c r="AC18" s="46" t="b">
        <v>1</v>
      </c>
      <c r="AD18" s="46" t="b">
        <v>1</v>
      </c>
      <c r="AE18" s="46" t="b">
        <v>1</v>
      </c>
      <c r="AF18" s="46" t="b">
        <v>1</v>
      </c>
      <c r="AG18" s="46" t="b">
        <v>1</v>
      </c>
      <c r="AH18" s="46" t="b">
        <v>1</v>
      </c>
      <c r="AI18" s="46" t="b">
        <v>1</v>
      </c>
      <c r="AK18" s="47">
        <f>IF($C18="","",SUMPRODUCT((((E18:AI18=TRUE)+(E18:AI18=1))&gt;0)*($E$11:$AI$11&lt;&gt;"")))</f>
        <v>25</v>
      </c>
      <c r="AL18" s="48">
        <f>IF($C18="","",IF($AP$3=0,0,IFERROR(MIN(1,AK18/$AP$18),0)))</f>
        <v>0.806451612903226</v>
      </c>
      <c r="AM18" s="49">
        <f>IF($C18="","",IF($AP$3=0,0,MAX(INDEX($AQ$18:$BU$18,$AP$3),INDEX($AQ$18:$BU$18,MAX($AP$3-1,1)))))</f>
        <v>15</v>
      </c>
      <c r="AN18" s="45">
        <f>IF($C18="","",MAX($AQ$18:$BU$18))</f>
        <v>15</v>
      </c>
      <c r="AP18" s="29">
        <f>IF($C18="",0,IFERROR(IF($D18="",$AP$2,$D18)*$AP$3/$AP$2,$AP$3))</f>
        <v>31</v>
      </c>
      <c r="AQ18" s="29">
        <f>IF(AND(1&lt;=$AP$3,OR(E18=TRUE,E18=1)),0+1,0)</f>
        <v>0</v>
      </c>
      <c r="AR18" s="29">
        <f>IF(AND(2&lt;=$AP$3,OR(F18=TRUE,F18=1)),AQ18+1,0)</f>
        <v>1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1</v>
      </c>
      <c r="AV18" s="29">
        <f>IF(AND(6&lt;=$AP$3,OR(J18=TRUE,J18=1)),AU18+1,0)</f>
        <v>2</v>
      </c>
      <c r="AW18" s="29">
        <f>IF(AND(7&lt;=$AP$3,OR(K18=TRUE,K18=1)),AV18+1,0)</f>
        <v>0</v>
      </c>
      <c r="AX18" s="29">
        <f>IF(AND(8&lt;=$AP$3,OR(L18=TRUE,L18=1)),AW18+1,0)</f>
        <v>1</v>
      </c>
      <c r="AY18" s="29">
        <f>IF(AND(9&lt;=$AP$3,OR(M18=TRUE,M18=1)),AX18+1,0)</f>
        <v>2</v>
      </c>
      <c r="AZ18" s="29">
        <f>IF(AND(10&lt;=$AP$3,OR(N18=TRUE,N18=1)),AY18+1,0)</f>
        <v>3</v>
      </c>
      <c r="BA18" s="29">
        <f>IF(AND(11&lt;=$AP$3,OR(O18=TRUE,O18=1)),AZ18+1,0)</f>
        <v>4</v>
      </c>
      <c r="BB18" s="29">
        <f>IF(AND(12&lt;=$AP$3,OR(P18=TRUE,P18=1)),BA18+1,0)</f>
        <v>5</v>
      </c>
      <c r="BC18" s="29">
        <f>IF(AND(13&lt;=$AP$3,OR(Q18=TRUE,Q18=1)),BB18+1,0)</f>
        <v>6</v>
      </c>
      <c r="BD18" s="29">
        <f>IF(AND(14&lt;=$AP$3,OR(R18=TRUE,R18=1)),BC18+1,0)</f>
        <v>0</v>
      </c>
      <c r="BE18" s="29">
        <f>IF(AND(15&lt;=$AP$3,OR(S18=TRUE,S18=1)),BD18+1,0)</f>
        <v>1</v>
      </c>
      <c r="BF18" s="29">
        <f>IF(AND(16&lt;=$AP$3,OR(T18=TRUE,T18=1)),BE18+1,0)</f>
        <v>0</v>
      </c>
      <c r="BG18" s="29">
        <f>IF(AND(17&lt;=$AP$3,OR(U18=TRUE,U18=1)),BF18+1,0)</f>
        <v>1</v>
      </c>
      <c r="BH18" s="29">
        <f>IF(AND(18&lt;=$AP$3,OR(V18=TRUE,V18=1)),BG18+1,0)</f>
        <v>2</v>
      </c>
      <c r="BI18" s="29">
        <f>IF(AND(19&lt;=$AP$3,OR(W18=TRUE,W18=1)),BH18+1,0)</f>
        <v>3</v>
      </c>
      <c r="BJ18" s="29">
        <f>IF(AND(20&lt;=$AP$3,OR(X18=TRUE,X18=1)),BI18+1,0)</f>
        <v>4</v>
      </c>
      <c r="BK18" s="29">
        <f>IF(AND(21&lt;=$AP$3,OR(Y18=TRUE,Y18=1)),BJ18+1,0)</f>
        <v>5</v>
      </c>
      <c r="BL18" s="29">
        <f>IF(AND(22&lt;=$AP$3,OR(Z18=TRUE,Z18=1)),BK18+1,0)</f>
        <v>6</v>
      </c>
      <c r="BM18" s="29">
        <f>IF(AND(23&lt;=$AP$3,OR(AA18=TRUE,AA18=1)),BL18+1,0)</f>
        <v>7</v>
      </c>
      <c r="BN18" s="29">
        <f>IF(AND(24&lt;=$AP$3,OR(AB18=TRUE,AB18=1)),BM18+1,0)</f>
        <v>8</v>
      </c>
      <c r="BO18" s="29">
        <f>IF(AND(25&lt;=$AP$3,OR(AC18=TRUE,AC18=1)),BN18+1,0)</f>
        <v>9</v>
      </c>
      <c r="BP18" s="29">
        <f>IF(AND(26&lt;=$AP$3,OR(AD18=TRUE,AD18=1)),BO18+1,0)</f>
        <v>10</v>
      </c>
      <c r="BQ18" s="29">
        <f>IF(AND(27&lt;=$AP$3,OR(AE18=TRUE,AE18=1)),BP18+1,0)</f>
        <v>11</v>
      </c>
      <c r="BR18" s="29">
        <f>IF(AND(28&lt;=$AP$3,OR(AF18=TRUE,AF18=1)),BQ18+1,0)</f>
        <v>12</v>
      </c>
      <c r="BS18" s="29">
        <f>IF(AND(29&lt;=$AP$3,OR(AG18=TRUE,AG18=1)),BR18+1,0)</f>
        <v>13</v>
      </c>
      <c r="BT18" s="29">
        <f>IF(AND(30&lt;=$AP$3,OR(AH18=TRUE,AH18=1)),BS18+1,0)</f>
        <v>14</v>
      </c>
      <c r="BU18" s="29">
        <f>IF(AND(31&lt;=$AP$3,OR(AI18=TRUE,AI18=1)),BT18+1,0)</f>
        <v>15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1</v>
      </c>
      <c r="G19" s="46" t="b">
        <v>1</v>
      </c>
      <c r="H19" s="46" t="b">
        <v>1</v>
      </c>
      <c r="I19" s="46" t="b">
        <v>0</v>
      </c>
      <c r="J19" s="46" t="b">
        <v>0</v>
      </c>
      <c r="K19" s="46" t="b">
        <v>0</v>
      </c>
      <c r="L19" s="46" t="b">
        <v>1</v>
      </c>
      <c r="M19" s="46" t="b">
        <v>0</v>
      </c>
      <c r="N19" s="46" t="b">
        <v>1</v>
      </c>
      <c r="O19" s="46" t="b">
        <v>0</v>
      </c>
      <c r="P19" s="46" t="b">
        <v>0</v>
      </c>
      <c r="Q19" s="46" t="b">
        <v>1</v>
      </c>
      <c r="R19" s="46" t="b">
        <v>1</v>
      </c>
      <c r="S19" s="46" t="b">
        <v>0</v>
      </c>
      <c r="T19" s="46" t="b">
        <v>0</v>
      </c>
      <c r="U19" s="46" t="b">
        <v>1</v>
      </c>
      <c r="V19" s="46" t="b">
        <v>1</v>
      </c>
      <c r="W19" s="46" t="b">
        <v>1</v>
      </c>
      <c r="X19" s="46" t="b">
        <v>1</v>
      </c>
      <c r="Y19" s="46" t="b">
        <v>0</v>
      </c>
      <c r="Z19" s="46" t="b">
        <v>0</v>
      </c>
      <c r="AA19" s="46" t="b">
        <v>1</v>
      </c>
      <c r="AB19" s="46" t="b">
        <v>1</v>
      </c>
      <c r="AC19" s="46" t="b">
        <v>1</v>
      </c>
      <c r="AD19" s="46" t="b">
        <v>1</v>
      </c>
      <c r="AE19" s="46" t="b">
        <v>0</v>
      </c>
      <c r="AF19" s="46" t="b">
        <v>1</v>
      </c>
      <c r="AG19" s="46" t="b">
        <v>0</v>
      </c>
      <c r="AH19" s="46" t="b">
        <v>1</v>
      </c>
      <c r="AI19" s="46" t="b">
        <v>1</v>
      </c>
      <c r="AK19" s="47">
        <f>IF($C19="","",SUMPRODUCT((((E19:AI19=TRUE)+(E19:AI19=1))&gt;0)*($E$11:$AI$11&lt;&gt;"")))</f>
        <v>18</v>
      </c>
      <c r="AL19" s="48">
        <f>IF($C19="","",IF($AP$3=0,0,IFERROR(MIN(1,AK19/$AP$19),0)))</f>
        <v>0.9</v>
      </c>
      <c r="AM19" s="49">
        <f>IF($C19="","",IF($AP$3=0,0,MAX(INDEX($AQ$19:$BU$19,$AP$3),INDEX($AQ$19:$BU$19,MAX($AP$3-1,1)))))</f>
        <v>2</v>
      </c>
      <c r="AN19" s="45">
        <f>IF($C19="","",MAX($AQ$19:$BU$19))</f>
        <v>4</v>
      </c>
      <c r="AP19" s="29">
        <f>IF($C19="",0,IFERROR(IF($D19="",$AP$2,$D19)*$AP$3/$AP$2,$AP$3))</f>
        <v>20</v>
      </c>
      <c r="AQ19" s="29">
        <f>IF(AND(1&lt;=$AP$3,OR(E19=TRUE,E19=1)),0+1,0)</f>
        <v>0</v>
      </c>
      <c r="AR19" s="29">
        <f>IF(AND(2&lt;=$AP$3,OR(F19=TRUE,F19=1)),AQ19+1,0)</f>
        <v>1</v>
      </c>
      <c r="AS19" s="29">
        <f>IF(AND(3&lt;=$AP$3,OR(G19=TRUE,G19=1)),AR19+1,0)</f>
        <v>2</v>
      </c>
      <c r="AT19" s="29">
        <f>IF(AND(4&lt;=$AP$3,OR(H19=TRUE,H19=1)),AS19+1,0)</f>
        <v>3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1</v>
      </c>
      <c r="AY19" s="29">
        <f>IF(AND(9&lt;=$AP$3,OR(M19=TRUE,M19=1)),AX19+1,0)</f>
        <v>0</v>
      </c>
      <c r="AZ19" s="29">
        <f>IF(AND(10&lt;=$AP$3,OR(N19=TRUE,N19=1)),AY19+1,0)</f>
        <v>1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1</v>
      </c>
      <c r="BD19" s="29">
        <f>IF(AND(14&lt;=$AP$3,OR(R19=TRUE,R19=1)),BC19+1,0)</f>
        <v>2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1</v>
      </c>
      <c r="BH19" s="29">
        <f>IF(AND(18&lt;=$AP$3,OR(V19=TRUE,V19=1)),BG19+1,0)</f>
        <v>2</v>
      </c>
      <c r="BI19" s="29">
        <f>IF(AND(19&lt;=$AP$3,OR(W19=TRUE,W19=1)),BH19+1,0)</f>
        <v>3</v>
      </c>
      <c r="BJ19" s="29">
        <f>IF(AND(20&lt;=$AP$3,OR(X19=TRUE,X19=1)),BI19+1,0)</f>
        <v>4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1</v>
      </c>
      <c r="BN19" s="29">
        <f>IF(AND(24&lt;=$AP$3,OR(AB19=TRUE,AB19=1)),BM19+1,0)</f>
        <v>2</v>
      </c>
      <c r="BO19" s="29">
        <f>IF(AND(25&lt;=$AP$3,OR(AC19=TRUE,AC19=1)),BN19+1,0)</f>
        <v>3</v>
      </c>
      <c r="BP19" s="29">
        <f>IF(AND(26&lt;=$AP$3,OR(AD19=TRUE,AD19=1)),BO19+1,0)</f>
        <v>4</v>
      </c>
      <c r="BQ19" s="29">
        <f>IF(AND(27&lt;=$AP$3,OR(AE19=TRUE,AE19=1)),BP19+1,0)</f>
        <v>0</v>
      </c>
      <c r="BR19" s="29">
        <f>IF(AND(28&lt;=$AP$3,OR(AF19=TRUE,AF19=1)),BQ19+1,0)</f>
        <v>1</v>
      </c>
      <c r="BS19" s="29">
        <f>IF(AND(29&lt;=$AP$3,OR(AG19=TRUE,AG19=1)),BR19+1,0)</f>
        <v>0</v>
      </c>
      <c r="BT19" s="29">
        <f>IF(AND(30&lt;=$AP$3,OR(AH19=TRUE,AH19=1)),BS19+1,0)</f>
        <v>1</v>
      </c>
      <c r="BU19" s="29">
        <f>IF(AND(31&lt;=$AP$3,OR(AI19=TRUE,AI19=1)),BT19+1,0)</f>
        <v>2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4</v>
      </c>
      <c r="F27" s="51">
        <f>IF(OR(F$11="",F$11&gt;$AP$3),"",SUMPRODUCT((((F$12:F$26=TRUE)+(F$12:F$26=1))&gt;0)*($C$12:$C$26&lt;&gt;"")))</f>
        <v>7</v>
      </c>
      <c r="G27" s="51">
        <f>IF(OR(G$11="",G$11&gt;$AP$3),"",SUMPRODUCT((((G$12:G$26=TRUE)+(G$12:G$26=1))&gt;0)*($C$12:$C$26&lt;&gt;"")))</f>
        <v>4</v>
      </c>
      <c r="H27" s="51">
        <f>IF(OR(H$11="",H$11&gt;$AP$3),"",SUMPRODUCT((((H$12:H$26=TRUE)+(H$12:H$26=1))&gt;0)*($C$12:$C$26&lt;&gt;"")))</f>
        <v>2</v>
      </c>
      <c r="I27" s="51">
        <f>IF(OR(I$11="",I$11&gt;$AP$3),"",SUMPRODUCT((((I$12:I$26=TRUE)+(I$12:I$26=1))&gt;0)*($C$12:$C$26&lt;&gt;"")))</f>
        <v>6</v>
      </c>
      <c r="J27" s="51">
        <f>IF(OR(J$11="",J$11&gt;$AP$3),"",SUMPRODUCT((((J$12:J$26=TRUE)+(J$12:J$26=1))&gt;0)*($C$12:$C$26&lt;&gt;"")))</f>
        <v>6</v>
      </c>
      <c r="K27" s="51">
        <f>IF(OR(K$11="",K$11&gt;$AP$3),"",SUMPRODUCT((((K$12:K$26=TRUE)+(K$12:K$26=1))&gt;0)*($C$12:$C$26&lt;&gt;"")))</f>
        <v>3</v>
      </c>
      <c r="L27" s="51">
        <f>IF(OR(L$11="",L$11&gt;$AP$3),"",SUMPRODUCT((((L$12:L$26=TRUE)+(L$12:L$26=1))&gt;0)*($C$12:$C$26&lt;&gt;"")))</f>
        <v>8</v>
      </c>
      <c r="M27" s="51">
        <f>IF(OR(M$11="",M$11&gt;$AP$3),"",SUMPRODUCT((((M$12:M$26=TRUE)+(M$12:M$26=1))&gt;0)*($C$12:$C$26&lt;&gt;"")))</f>
        <v>6</v>
      </c>
      <c r="N27" s="51">
        <f>IF(OR(N$11="",N$11&gt;$AP$3),"",SUMPRODUCT((((N$12:N$26=TRUE)+(N$12:N$26=1))&gt;0)*($C$12:$C$26&lt;&gt;"")))</f>
        <v>5</v>
      </c>
      <c r="O27" s="51">
        <f>IF(OR(O$11="",O$11&gt;$AP$3),"",SUMPRODUCT((((O$12:O$26=TRUE)+(O$12:O$26=1))&gt;0)*($C$12:$C$26&lt;&gt;"")))</f>
        <v>4</v>
      </c>
      <c r="P27" s="51">
        <f>IF(OR(P$11="",P$11&gt;$AP$3),"",SUMPRODUCT((((P$12:P$26=TRUE)+(P$12:P$26=1))&gt;0)*($C$12:$C$26&lt;&gt;"")))</f>
        <v>7</v>
      </c>
      <c r="Q27" s="51">
        <f>IF(OR(Q$11="",Q$11&gt;$AP$3),"",SUMPRODUCT((((Q$12:Q$26=TRUE)+(Q$12:Q$26=1))&gt;0)*($C$12:$C$26&lt;&gt;"")))</f>
        <v>6</v>
      </c>
      <c r="R27" s="51">
        <f>IF(OR(R$11="",R$11&gt;$AP$3),"",SUMPRODUCT((((R$12:R$26=TRUE)+(R$12:R$26=1))&gt;0)*($C$12:$C$26&lt;&gt;"")))</f>
        <v>5</v>
      </c>
      <c r="S27" s="51">
        <f>IF(OR(S$11="",S$11&gt;$AP$3),"",SUMPRODUCT((((S$12:S$26=TRUE)+(S$12:S$26=1))&gt;0)*($C$12:$C$26&lt;&gt;"")))</f>
        <v>4</v>
      </c>
      <c r="T27" s="51">
        <f>IF(OR(T$11="",T$11&gt;$AP$3),"",SUMPRODUCT((((T$12:T$26=TRUE)+(T$12:T$26=1))&gt;0)*($C$12:$C$26&lt;&gt;"")))</f>
        <v>2</v>
      </c>
      <c r="U27" s="51">
        <f>IF(OR(U$11="",U$11&gt;$AP$3),"",SUMPRODUCT((((U$12:U$26=TRUE)+(U$12:U$26=1))&gt;0)*($C$12:$C$26&lt;&gt;"")))</f>
        <v>3</v>
      </c>
      <c r="V27" s="51">
        <f>IF(OR(V$11="",V$11&gt;$AP$3),"",SUMPRODUCT((((V$12:V$26=TRUE)+(V$12:V$26=1))&gt;0)*($C$12:$C$26&lt;&gt;"")))</f>
        <v>6</v>
      </c>
      <c r="W27" s="51">
        <f>IF(OR(W$11="",W$11&gt;$AP$3),"",SUMPRODUCT((((W$12:W$26=TRUE)+(W$12:W$26=1))&gt;0)*($C$12:$C$26&lt;&gt;"")))</f>
        <v>7</v>
      </c>
      <c r="X27" s="51">
        <f>IF(OR(X$11="",X$11&gt;$AP$3),"",SUMPRODUCT((((X$12:X$26=TRUE)+(X$12:X$26=1))&gt;0)*($C$12:$C$26&lt;&gt;"")))</f>
        <v>6</v>
      </c>
      <c r="Y27" s="51">
        <f>IF(OR(Y$11="",Y$11&gt;$AP$3),"",SUMPRODUCT((((Y$12:Y$26=TRUE)+(Y$12:Y$26=1))&gt;0)*($C$12:$C$26&lt;&gt;"")))</f>
        <v>4</v>
      </c>
      <c r="Z27" s="51">
        <f>IF(OR(Z$11="",Z$11&gt;$AP$3),"",SUMPRODUCT((((Z$12:Z$26=TRUE)+(Z$12:Z$26=1))&gt;0)*($C$12:$C$26&lt;&gt;"")))</f>
        <v>3</v>
      </c>
      <c r="AA27" s="51">
        <f>IF(OR(AA$11="",AA$11&gt;$AP$3),"",SUMPRODUCT((((AA$12:AA$26=TRUE)+(AA$12:AA$26=1))&gt;0)*($C$12:$C$26&lt;&gt;"")))</f>
        <v>4</v>
      </c>
      <c r="AB27" s="51">
        <f>IF(OR(AB$11="",AB$11&gt;$AP$3),"",SUMPRODUCT((((AB$12:AB$26=TRUE)+(AB$12:AB$26=1))&gt;0)*($C$12:$C$26&lt;&gt;"")))</f>
        <v>8</v>
      </c>
      <c r="AC27" s="51">
        <f>IF(OR(AC$11="",AC$11&gt;$AP$3),"",SUMPRODUCT((((AC$12:AC$26=TRUE)+(AC$12:AC$26=1))&gt;0)*($C$12:$C$26&lt;&gt;"")))</f>
        <v>7</v>
      </c>
      <c r="AD27" s="51">
        <f>IF(OR(AD$11="",AD$11&gt;$AP$3),"",SUMPRODUCT((((AD$12:AD$26=TRUE)+(AD$12:AD$26=1))&gt;0)*($C$12:$C$26&lt;&gt;"")))</f>
        <v>8</v>
      </c>
      <c r="AE27" s="51">
        <f>IF(OR(AE$11="",AE$11&gt;$AP$3),"",SUMPRODUCT((((AE$12:AE$26=TRUE)+(AE$12:AE$26=1))&gt;0)*($C$12:$C$26&lt;&gt;"")))</f>
        <v>6</v>
      </c>
      <c r="AF27" s="51">
        <f>IF(OR(AF$11="",AF$11&gt;$AP$3),"",SUMPRODUCT((((AF$12:AF$26=TRUE)+(AF$12:AF$26=1))&gt;0)*($C$12:$C$26&lt;&gt;"")))</f>
        <v>5</v>
      </c>
      <c r="AG27" s="51">
        <f>IF(OR(AG$11="",AG$11&gt;$AP$3),"",SUMPRODUCT((((AG$12:AG$26=TRUE)+(AG$12:AG$26=1))&gt;0)*($C$12:$C$26&lt;&gt;"")))</f>
        <v>1</v>
      </c>
      <c r="AH27" s="51">
        <f>IF(OR(AH$11="",AH$11&gt;$AP$3),"",SUMPRODUCT((((AH$12:AH$26=TRUE)+(AH$12:AH$26=1))&gt;0)*($C$12:$C$26&lt;&gt;"")))</f>
        <v>6</v>
      </c>
      <c r="AI27" s="51">
        <f>IF(OR(AI$11="",AI$11&gt;$AP$3),"",SUMPRODUCT((((AI$12:AI$26=TRUE)+(AI$12:AI$26=1))&gt;0)*($C$12:$C$26&lt;&gt;"")))</f>
        <v>7</v>
      </c>
      <c r="AK27" s="52">
        <f>$AP$6</f>
        <v>160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0.5</v>
      </c>
      <c r="F28" s="54">
        <f>IF(OR(F27="",$AP$4=0),"",F27/$AP$4)</f>
        <v>0.875</v>
      </c>
      <c r="G28" s="54">
        <f>IF(OR(G27="",$AP$4=0),"",G27/$AP$4)</f>
        <v>0.5</v>
      </c>
      <c r="H28" s="54">
        <f>IF(OR(H27="",$AP$4=0),"",H27/$AP$4)</f>
        <v>0.25</v>
      </c>
      <c r="I28" s="54">
        <f>IF(OR(I27="",$AP$4=0),"",I27/$AP$4)</f>
        <v>0.75</v>
      </c>
      <c r="J28" s="54">
        <f>IF(OR(J27="",$AP$4=0),"",J27/$AP$4)</f>
        <v>0.75</v>
      </c>
      <c r="K28" s="54">
        <f>IF(OR(K27="",$AP$4=0),"",K27/$AP$4)</f>
        <v>0.375</v>
      </c>
      <c r="L28" s="54">
        <f>IF(OR(L27="",$AP$4=0),"",L27/$AP$4)</f>
        <v>1</v>
      </c>
      <c r="M28" s="54">
        <f>IF(OR(M27="",$AP$4=0),"",M27/$AP$4)</f>
        <v>0.75</v>
      </c>
      <c r="N28" s="54">
        <f>IF(OR(N27="",$AP$4=0),"",N27/$AP$4)</f>
        <v>0.625</v>
      </c>
      <c r="O28" s="54">
        <f>IF(OR(O27="",$AP$4=0),"",O27/$AP$4)</f>
        <v>0.5</v>
      </c>
      <c r="P28" s="54">
        <f>IF(OR(P27="",$AP$4=0),"",P27/$AP$4)</f>
        <v>0.875</v>
      </c>
      <c r="Q28" s="54">
        <f>IF(OR(Q27="",$AP$4=0),"",Q27/$AP$4)</f>
        <v>0.75</v>
      </c>
      <c r="R28" s="54">
        <f>IF(OR(R27="",$AP$4=0),"",R27/$AP$4)</f>
        <v>0.625</v>
      </c>
      <c r="S28" s="54">
        <f>IF(OR(S27="",$AP$4=0),"",S27/$AP$4)</f>
        <v>0.5</v>
      </c>
      <c r="T28" s="54">
        <f>IF(OR(T27="",$AP$4=0),"",T27/$AP$4)</f>
        <v>0.25</v>
      </c>
      <c r="U28" s="54">
        <f>IF(OR(U27="",$AP$4=0),"",U27/$AP$4)</f>
        <v>0.375</v>
      </c>
      <c r="V28" s="54">
        <f>IF(OR(V27="",$AP$4=0),"",V27/$AP$4)</f>
        <v>0.75</v>
      </c>
      <c r="W28" s="54">
        <f>IF(OR(W27="",$AP$4=0),"",W27/$AP$4)</f>
        <v>0.875</v>
      </c>
      <c r="X28" s="54">
        <f>IF(OR(X27="",$AP$4=0),"",X27/$AP$4)</f>
        <v>0.75</v>
      </c>
      <c r="Y28" s="54">
        <f>IF(OR(Y27="",$AP$4=0),"",Y27/$AP$4)</f>
        <v>0.5</v>
      </c>
      <c r="Z28" s="54">
        <f>IF(OR(Z27="",$AP$4=0),"",Z27/$AP$4)</f>
        <v>0.375</v>
      </c>
      <c r="AA28" s="54">
        <f>IF(OR(AA27="",$AP$4=0),"",AA27/$AP$4)</f>
        <v>0.5</v>
      </c>
      <c r="AB28" s="54">
        <f>IF(OR(AB27="",$AP$4=0),"",AB27/$AP$4)</f>
        <v>1</v>
      </c>
      <c r="AC28" s="54">
        <f>IF(OR(AC27="",$AP$4=0),"",AC27/$AP$4)</f>
        <v>0.875</v>
      </c>
      <c r="AD28" s="54">
        <f>IF(OR(AD27="",$AP$4=0),"",AD27/$AP$4)</f>
        <v>1</v>
      </c>
      <c r="AE28" s="54">
        <f>IF(OR(AE27="",$AP$4=0),"",AE27/$AP$4)</f>
        <v>0.75</v>
      </c>
      <c r="AF28" s="54">
        <f>IF(OR(AF27="",$AP$4=0),"",AF27/$AP$4)</f>
        <v>0.625</v>
      </c>
      <c r="AG28" s="54">
        <f>IF(OR(AG27="",$AP$4=0),"",AG27/$AP$4)</f>
        <v>0.125</v>
      </c>
      <c r="AH28" s="54">
        <f>IF(OR(AH27="",$AP$4=0),"",AH27/$AP$4)</f>
        <v>0.75</v>
      </c>
      <c r="AI28" s="54">
        <f>IF(OR(AI27="",$AP$4=0),"",AI27/$AP$4)</f>
        <v>0.875</v>
      </c>
      <c r="AK28" s="55">
        <f>$AP$7</f>
        <v>0.749596774193548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>
        <v>7</v>
      </c>
      <c r="F30" s="56">
        <v>7.5</v>
      </c>
      <c r="G30" s="56">
        <v>7.5</v>
      </c>
      <c r="H30" s="56">
        <v>5.5</v>
      </c>
      <c r="I30" s="56">
        <v>8.5</v>
      </c>
      <c r="J30" s="56">
        <v>7</v>
      </c>
      <c r="K30" s="56">
        <v>6.5</v>
      </c>
      <c r="L30" s="56">
        <v>7</v>
      </c>
      <c r="M30" s="56">
        <v>7</v>
      </c>
      <c r="N30" s="56">
        <v>7</v>
      </c>
      <c r="O30" s="56">
        <v>6.5</v>
      </c>
      <c r="P30" s="56">
        <v>7</v>
      </c>
      <c r="Q30" s="56">
        <v>5.5</v>
      </c>
      <c r="R30" s="56">
        <v>5.5</v>
      </c>
      <c r="S30" s="56">
        <v>6.5</v>
      </c>
      <c r="T30" s="56">
        <v>5.5</v>
      </c>
      <c r="U30" s="56">
        <v>5.5</v>
      </c>
      <c r="V30" s="56">
        <v>6</v>
      </c>
      <c r="W30" s="56">
        <v>8.5</v>
      </c>
      <c r="X30" s="56">
        <v>7</v>
      </c>
      <c r="Y30" s="56">
        <v>6</v>
      </c>
      <c r="Z30" s="56">
        <v>6</v>
      </c>
      <c r="AA30" s="56">
        <v>6</v>
      </c>
      <c r="AB30" s="56">
        <v>7</v>
      </c>
      <c r="AC30" s="56">
        <v>7.5</v>
      </c>
      <c r="AD30" s="56">
        <v>7.5</v>
      </c>
      <c r="AE30" s="56">
        <v>7</v>
      </c>
      <c r="AF30" s="56">
        <v>5.5</v>
      </c>
      <c r="AG30" s="56">
        <v>5.5</v>
      </c>
      <c r="AH30" s="56">
        <v>6.5</v>
      </c>
      <c r="AI30" s="56">
        <v>7</v>
      </c>
      <c r="AK30" s="57" t="s">
        <v>122</v>
      </c>
      <c r="AL30" s="57"/>
      <c r="AM30" s="57"/>
      <c r="AN30" s="57"/>
      <c r="AP30" s="29">
        <f>COUNTIF($E$32:$AI$32,'Списки'!$C$2)</f>
        <v>8</v>
      </c>
    </row>
    <row r="31" spans="2:73" ht="18" customHeight="1" x14ac:dyDescent="0.25">
      <c r="B31" s="50" t="s">
        <v>120</v>
      </c>
      <c r="C31" s="50"/>
      <c r="D31" s="50"/>
      <c r="E31" s="56">
        <v>2</v>
      </c>
      <c r="F31" s="56">
        <v>5</v>
      </c>
      <c r="G31" s="56">
        <v>3</v>
      </c>
      <c r="H31" s="56">
        <v>2</v>
      </c>
      <c r="I31" s="56">
        <v>4</v>
      </c>
      <c r="J31" s="56">
        <v>4</v>
      </c>
      <c r="K31" s="56">
        <v>3</v>
      </c>
      <c r="L31" s="56">
        <v>5</v>
      </c>
      <c r="M31" s="56">
        <v>5</v>
      </c>
      <c r="N31" s="56">
        <v>3</v>
      </c>
      <c r="O31" s="56">
        <v>4</v>
      </c>
      <c r="P31" s="56">
        <v>4</v>
      </c>
      <c r="Q31" s="56">
        <v>4</v>
      </c>
      <c r="R31" s="56">
        <v>4</v>
      </c>
      <c r="S31" s="56">
        <v>3</v>
      </c>
      <c r="T31" s="56">
        <v>2</v>
      </c>
      <c r="U31" s="56">
        <v>2</v>
      </c>
      <c r="V31" s="56">
        <v>3</v>
      </c>
      <c r="W31" s="56">
        <v>5</v>
      </c>
      <c r="X31" s="56">
        <v>4</v>
      </c>
      <c r="Y31" s="56">
        <v>4</v>
      </c>
      <c r="Z31" s="56">
        <v>2</v>
      </c>
      <c r="AA31" s="56">
        <v>4</v>
      </c>
      <c r="AB31" s="56">
        <v>4</v>
      </c>
      <c r="AC31" s="56">
        <v>4</v>
      </c>
      <c r="AD31" s="56">
        <v>4</v>
      </c>
      <c r="AE31" s="56">
        <v>4</v>
      </c>
      <c r="AF31" s="56">
        <v>4</v>
      </c>
      <c r="AG31" s="56">
        <v>1</v>
      </c>
      <c r="AH31" s="56">
        <v>4</v>
      </c>
      <c r="AI31" s="56">
        <v>5</v>
      </c>
      <c r="AK31" s="57" t="s">
        <v>123</v>
      </c>
      <c r="AL31" s="57"/>
      <c r="AM31" s="57"/>
      <c r="AN31" s="57"/>
      <c r="AP31" s="29">
        <f>COUNTIF($E$32:$AI$32,'Списки'!$C$3)</f>
        <v>8</v>
      </c>
    </row>
    <row r="32" spans="2:73" ht="18" customHeight="1" x14ac:dyDescent="0.25">
      <c r="B32" s="50" t="s">
        <v>121</v>
      </c>
      <c r="C32" s="50"/>
      <c r="D32" s="50"/>
      <c r="E32" s="56" t="s">
        <v>144</v>
      </c>
      <c r="F32" s="56" t="s">
        <v>143</v>
      </c>
      <c r="G32" s="56" t="s">
        <v>144</v>
      </c>
      <c r="H32" s="56" t="s">
        <v>145</v>
      </c>
      <c r="I32" s="56" t="s">
        <v>142</v>
      </c>
      <c r="J32" s="56" t="s">
        <v>142</v>
      </c>
      <c r="K32" s="56" t="s">
        <v>146</v>
      </c>
      <c r="L32" s="56" t="s">
        <v>143</v>
      </c>
      <c r="M32" s="56" t="s">
        <v>142</v>
      </c>
      <c r="N32" s="56" t="s">
        <v>144</v>
      </c>
      <c r="O32" s="56" t="s">
        <v>144</v>
      </c>
      <c r="P32" s="56" t="s">
        <v>143</v>
      </c>
      <c r="Q32" s="56" t="s">
        <v>142</v>
      </c>
      <c r="R32" s="56" t="s">
        <v>144</v>
      </c>
      <c r="S32" s="56" t="s">
        <v>144</v>
      </c>
      <c r="T32" s="56" t="s">
        <v>145</v>
      </c>
      <c r="U32" s="56" t="s">
        <v>146</v>
      </c>
      <c r="V32" s="56" t="s">
        <v>142</v>
      </c>
      <c r="W32" s="56" t="s">
        <v>143</v>
      </c>
      <c r="X32" s="56" t="s">
        <v>142</v>
      </c>
      <c r="Y32" s="56" t="s">
        <v>144</v>
      </c>
      <c r="Z32" s="56" t="s">
        <v>146</v>
      </c>
      <c r="AA32" s="56" t="s">
        <v>144</v>
      </c>
      <c r="AB32" s="56" t="s">
        <v>143</v>
      </c>
      <c r="AC32" s="56" t="s">
        <v>143</v>
      </c>
      <c r="AD32" s="56" t="s">
        <v>143</v>
      </c>
      <c r="AE32" s="56" t="s">
        <v>142</v>
      </c>
      <c r="AF32" s="56" t="s">
        <v>144</v>
      </c>
      <c r="AG32" s="56" t="s">
        <v>145</v>
      </c>
      <c r="AH32" s="56" t="s">
        <v>142</v>
      </c>
      <c r="AI32" s="56" t="s">
        <v>143</v>
      </c>
      <c r="AK32" s="57" t="s">
        <v>124</v>
      </c>
      <c r="AL32" s="57"/>
      <c r="AM32" s="57"/>
      <c r="AN32" s="57"/>
      <c r="AP32" s="29">
        <f>COUNTIF($E$32:$AI$32,'Списки'!$C$4)</f>
        <v>9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3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3</v>
      </c>
    </row>
    <row r="35" spans="2:42" x14ac:dyDescent="0.25">
      <c r="AK35" s="59" t="str">
        <f>IFERROR(ROUND(AVERAGE($E$30:$AI$30),1)&amp;" ч","—")</f>
        <v>6.6 ч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3.6 из 5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😐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80%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48%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77%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авг","")</f>
        <v>Сб 1 авг</v>
      </c>
      <c r="C51" s="63" t="str">
        <f>IF(INDEX($E$27:$AI$27,1)="","",INDEX($E$27:$AI$27,1)&amp;"/"&amp;$AP$4&amp;" ✓")</f>
        <v>4/8 ✓</v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авг","")</f>
        <v>Вс 2 авг</v>
      </c>
      <c r="C52" s="63" t="str">
        <f>IF(INDEX($E$27:$AI$27,2)="","",INDEX($E$27:$AI$27,2)&amp;"/"&amp;$AP$4&amp;" ✓")</f>
        <v>7/8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авг","")</f>
        <v>Пн 3 авг</v>
      </c>
      <c r="C53" s="63" t="str">
        <f>IF(INDEX($E$27:$AI$27,3)="","",INDEX($E$27:$AI$27,3)&amp;"/"&amp;$AP$4&amp;" ✓")</f>
        <v>4/8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авг","")</f>
        <v>Вт 4 авг</v>
      </c>
      <c r="C54" s="63" t="str">
        <f>IF(INDEX($E$27:$AI$27,4)="","",INDEX($E$27:$AI$27,4)&amp;"/"&amp;$AP$4&amp;" ✓")</f>
        <v>2/8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авг","")</f>
        <v>Ср 5 авг</v>
      </c>
      <c r="C55" s="63" t="str">
        <f>IF(INDEX($E$27:$AI$27,5)="","",INDEX($E$27:$AI$27,5)&amp;"/"&amp;$AP$4&amp;" ✓")</f>
        <v>6/8 ✓</v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авг","")</f>
        <v>Чт 6 авг</v>
      </c>
      <c r="C56" s="63" t="str">
        <f>IF(INDEX($E$27:$AI$27,6)="","",INDEX($E$27:$AI$27,6)&amp;"/"&amp;$AP$4&amp;" ✓")</f>
        <v>6/8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авг","")</f>
        <v>Пт 7 авг</v>
      </c>
      <c r="C57" s="63" t="str">
        <f>IF(INDEX($E$27:$AI$27,7)="","",INDEX($E$27:$AI$27,7)&amp;"/"&amp;$AP$4&amp;" ✓")</f>
        <v>3/8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авг","")</f>
        <v>Сб 8 авг</v>
      </c>
      <c r="C58" s="63" t="str">
        <f>IF(INDEX($E$27:$AI$27,8)="","",INDEX($E$27:$AI$27,8)&amp;"/"&amp;$AP$4&amp;" ✓")</f>
        <v>8/8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авг","")</f>
        <v>Вс 9 авг</v>
      </c>
      <c r="C59" s="63" t="str">
        <f>IF(INDEX($E$27:$AI$27,9)="","",INDEX($E$27:$AI$27,9)&amp;"/"&amp;$AP$4&amp;" ✓")</f>
        <v>6/8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авг","")</f>
        <v>Пн 10 авг</v>
      </c>
      <c r="C60" s="63" t="str">
        <f>IF(INDEX($E$27:$AI$27,10)="","",INDEX($E$27:$AI$27,10)&amp;"/"&amp;$AP$4&amp;" ✓")</f>
        <v>5/8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авг","")</f>
        <v>Вт 11 авг</v>
      </c>
      <c r="C61" s="63" t="str">
        <f>IF(INDEX($E$27:$AI$27,11)="","",INDEX($E$27:$AI$27,11)&amp;"/"&amp;$AP$4&amp;" ✓")</f>
        <v>4/8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авг","")</f>
        <v>Ср 12 авг</v>
      </c>
      <c r="C62" s="63" t="str">
        <f>IF(INDEX($E$27:$AI$27,12)="","",INDEX($E$27:$AI$27,12)&amp;"/"&amp;$AP$4&amp;" ✓")</f>
        <v>7/8 ✓</v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авг","")</f>
        <v>Чт 13 авг</v>
      </c>
      <c r="C63" s="63" t="str">
        <f>IF(INDEX($E$27:$AI$27,13)="","",INDEX($E$27:$AI$27,13)&amp;"/"&amp;$AP$4&amp;" ✓")</f>
        <v>6/8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авг","")</f>
        <v>Пт 14 авг</v>
      </c>
      <c r="C64" s="63" t="str">
        <f>IF(INDEX($E$27:$AI$27,14)="","",INDEX($E$27:$AI$27,14)&amp;"/"&amp;$AP$4&amp;" ✓")</f>
        <v>5/8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авг","")</f>
        <v>Сб 15 авг</v>
      </c>
      <c r="C65" s="63" t="str">
        <f>IF(INDEX($E$27:$AI$27,15)="","",INDEX($E$27:$AI$27,15)&amp;"/"&amp;$AP$4&amp;" ✓")</f>
        <v>4/8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авг","")</f>
        <v>Вс 16 авг</v>
      </c>
      <c r="C66" s="63" t="str">
        <f>IF(INDEX($E$27:$AI$27,16)="","",INDEX($E$27:$AI$27,16)&amp;"/"&amp;$AP$4&amp;" ✓")</f>
        <v>2/8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авг","")</f>
        <v>Пн 17 авг</v>
      </c>
      <c r="C67" s="63" t="str">
        <f>IF(INDEX($E$27:$AI$27,17)="","",INDEX($E$27:$AI$27,17)&amp;"/"&amp;$AP$4&amp;" ✓")</f>
        <v>3/8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авг","")</f>
        <v>Вт 18 авг</v>
      </c>
      <c r="C68" s="63" t="str">
        <f>IF(INDEX($E$27:$AI$27,18)="","",INDEX($E$27:$AI$27,18)&amp;"/"&amp;$AP$4&amp;" ✓")</f>
        <v>6/8 ✓</v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авг","")</f>
        <v>Ср 19 авг</v>
      </c>
      <c r="C69" s="63" t="str">
        <f>IF(INDEX($E$27:$AI$27,19)="","",INDEX($E$27:$AI$27,19)&amp;"/"&amp;$AP$4&amp;" ✓")</f>
        <v>7/8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авг","")</f>
        <v>Чт 20 авг</v>
      </c>
      <c r="C70" s="63" t="str">
        <f>IF(INDEX($E$27:$AI$27,20)="","",INDEX($E$27:$AI$27,20)&amp;"/"&amp;$AP$4&amp;" ✓")</f>
        <v>6/8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авг","")</f>
        <v>Пт 21 авг</v>
      </c>
      <c r="C71" s="63" t="str">
        <f>IF(INDEX($E$27:$AI$27,21)="","",INDEX($E$27:$AI$27,21)&amp;"/"&amp;$AP$4&amp;" ✓")</f>
        <v>4/8 ✓</v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авг","")</f>
        <v>Сб 22 авг</v>
      </c>
      <c r="C72" s="63" t="str">
        <f>IF(INDEX($E$27:$AI$27,22)="","",INDEX($E$27:$AI$27,22)&amp;"/"&amp;$AP$4&amp;" ✓")</f>
        <v>3/8 ✓</v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авг","")</f>
        <v>Вс 23 авг</v>
      </c>
      <c r="C73" s="63" t="str">
        <f>IF(INDEX($E$27:$AI$27,23)="","",INDEX($E$27:$AI$27,23)&amp;"/"&amp;$AP$4&amp;" ✓")</f>
        <v>4/8 ✓</v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авг","")</f>
        <v>Пн 24 авг</v>
      </c>
      <c r="C74" s="63" t="str">
        <f>IF(INDEX($E$27:$AI$27,24)="","",INDEX($E$27:$AI$27,24)&amp;"/"&amp;$AP$4&amp;" ✓")</f>
        <v>8/8 ✓</v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авг","")</f>
        <v>Вт 25 авг</v>
      </c>
      <c r="C75" s="63" t="str">
        <f>IF(INDEX($E$27:$AI$27,25)="","",INDEX($E$27:$AI$27,25)&amp;"/"&amp;$AP$4&amp;" ✓")</f>
        <v>7/8 ✓</v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авг","")</f>
        <v>Ср 26 авг</v>
      </c>
      <c r="C76" s="63" t="str">
        <f>IF(INDEX($E$27:$AI$27,26)="","",INDEX($E$27:$AI$27,26)&amp;"/"&amp;$AP$4&amp;" ✓")</f>
        <v>8/8 ✓</v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авг","")</f>
        <v>Чт 27 авг</v>
      </c>
      <c r="C77" s="63" t="str">
        <f>IF(INDEX($E$27:$AI$27,27)="","",INDEX($E$27:$AI$27,27)&amp;"/"&amp;$AP$4&amp;" ✓")</f>
        <v>6/8 ✓</v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авг","")</f>
        <v>Пт 28 авг</v>
      </c>
      <c r="C78" s="63" t="str">
        <f>IF(INDEX($E$27:$AI$27,28)="","",INDEX($E$27:$AI$27,28)&amp;"/"&amp;$AP$4&amp;" ✓")</f>
        <v>5/8 ✓</v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авг","")</f>
        <v>Сб 29 авг</v>
      </c>
      <c r="C79" s="63" t="str">
        <f>IF(INDEX($E$27:$AI$27,29)="","",INDEX($E$27:$AI$27,29)&amp;"/"&amp;$AP$4&amp;" ✓")</f>
        <v>1/8 ✓</v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авг","")</f>
        <v>Вс 30 авг</v>
      </c>
      <c r="C80" s="63" t="str">
        <f>IF(INDEX($E$27:$AI$27,30)="","",INDEX($E$27:$AI$27,30)&amp;"/"&amp;$AP$4&amp;" ✓")</f>
        <v>6/8 ✓</v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авг","")</f>
        <v>Пн 31 авг</v>
      </c>
      <c r="C81" s="63" t="str">
        <f>IF(INDEX($E$27:$AI$27,31)="","",INDEX($E$27:$AI$27,31)&amp;"/"&amp;$AP$4&amp;" ✓")</f>
        <v>7/8 ✓</v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{DA7ABA51-AAAA-BBBB-000A-000000000001}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A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tabSelected="1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DATE('Старт'!$D$6,9,1)</f>
        <v>46266.0</v>
      </c>
    </row>
    <row r="2" spans="2:73" ht="30" customHeight="1" x14ac:dyDescent="0.25">
      <c r="B2" s="30" t="str">
        <f>"СЕНТЯБРЬ "&amp;'Старт'!$D$6</f>
        <v>СЕНТЯБРЬ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148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20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141</v>
      </c>
    </row>
    <row r="6" spans="2:73" ht="28" customHeight="1" x14ac:dyDescent="0.25">
      <c r="B6" s="15">
        <f>$AP$7</f>
        <v>0.825</v>
      </c>
      <c r="C6" s="15"/>
      <c r="D6" s="15"/>
      <c r="E6" s="16">
        <f>$AP$9</f>
        <v>2</v>
      </c>
      <c r="F6" s="16"/>
      <c r="G6" s="16"/>
      <c r="H6" s="16"/>
      <c r="I6" s="16"/>
      <c r="J6" s="16"/>
      <c r="K6" s="16"/>
      <c r="L6" s="17">
        <f>IFERROR(MAX($AN$12:$AN$26),0)</f>
        <v>17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сен")</f>
        <v>6 сен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сен")</f>
        <v>3 сен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Тренировка</v>
      </c>
      <c r="AH6" s="34"/>
      <c r="AI6" s="34"/>
      <c r="AJ6" s="34"/>
      <c r="AK6" s="34"/>
      <c r="AL6" s="34"/>
      <c r="AM6" s="34"/>
      <c r="AN6" s="34"/>
      <c r="AP6" s="29">
        <f>SUM($AK$12:$AK$26)</f>
        <v>118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118 из 141 отметок · день 20 из 30</v>
      </c>
      <c r="C7" s="18"/>
      <c r="D7" s="18"/>
      <c r="E7" s="18" t="str">
        <f>IF($AP$3=0,"—","из "&amp;$AP$3&amp;" прошедших · все привычки ✓")</f>
        <v>из 20 прошедших · все привычки ✓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Подъём до 7:00</v>
      </c>
      <c r="M7" s="18"/>
      <c r="N7" s="18"/>
      <c r="O7" s="18"/>
      <c r="P7" s="18"/>
      <c r="Q7" s="18"/>
      <c r="R7" s="18"/>
      <c r="S7" s="18" t="str">
        <f>IF($AP$3*$AP$4*$AP$6=0,"",ROUND(MAX($E$28:$AI$28)*100,0)&amp;"% привычек выполнено")</f>
        <v>100% привычек выполнено</v>
      </c>
      <c r="T7" s="18"/>
      <c r="U7" s="18"/>
      <c r="V7" s="18"/>
      <c r="W7" s="18"/>
      <c r="X7" s="18"/>
      <c r="Y7" s="18"/>
      <c r="Z7" s="18" t="str">
        <f>IF($AP$3*$AP$4*$AP$6=0,"",ROUND(MIN($E$28:$AI$28)*100,0)&amp;"% привычек выполнено")</f>
        <v>25% привычек выполнено</v>
      </c>
      <c r="AA7" s="18"/>
      <c r="AB7" s="18"/>
      <c r="AC7" s="18"/>
      <c r="AD7" s="18"/>
      <c r="AE7" s="18"/>
      <c r="AF7" s="18"/>
      <c r="AG7" s="18" t="str">
        <f>IF($AP$3*$AP$4*$AP$6=0,"","Подтянуть: "&amp;INDEX($C$12:$C$26,MATCH(MIN($AL$12:$AL$26),$AL$12:$AL$26,0)))</f>
        <v>Подтянуть: Медитация 10 минут</v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0.825</v>
      </c>
    </row>
    <row r="8" spans="2:73" ht="8" customHeight="1" x14ac:dyDescent="0.25">
      <c r="AP8" s="29">
        <f>1-$AP$7</f>
        <v>0.175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 · 39/56 · 70%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 · 45/56 · 80%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 · 34/48 · 71%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2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Вт</v>
      </c>
      <c r="F10" s="42" t="str">
        <f>IF(2&lt;=$AP$2,CHOOSE(WEEKDAY($AP$1+1,2),"Пн","Вт","Ср","Чт","Пт","Сб","Вс"),"")</f>
        <v>Ср</v>
      </c>
      <c r="G10" s="42" t="str">
        <f>IF(3&lt;=$AP$2,CHOOSE(WEEKDAY($AP$1+2,2),"Пн","Вт","Ср","Чт","Пт","Сб","Вс"),"")</f>
        <v>Чт</v>
      </c>
      <c r="H10" s="42" t="str">
        <f>IF(4&lt;=$AP$2,CHOOSE(WEEKDAY($AP$1+3,2),"Пн","Вт","Ср","Чт","Пт","Сб","Вс"),"")</f>
        <v>Пт</v>
      </c>
      <c r="I10" s="42" t="str">
        <f>IF(5&lt;=$AP$2,CHOOSE(WEEKDAY($AP$1+4,2),"Пн","Вт","Ср","Чт","Пт","Сб","Вс"),"")</f>
        <v>Сб</v>
      </c>
      <c r="J10" s="42" t="str">
        <f>IF(6&lt;=$AP$2,CHOOSE(WEEKDAY($AP$1+5,2),"Пн","Вт","Ср","Чт","Пт","Сб","Вс"),"")</f>
        <v>Вс</v>
      </c>
      <c r="K10" s="42" t="str">
        <f>IF(7&lt;=$AP$2,CHOOSE(WEEKDAY($AP$1+6,2),"Пн","Вт","Ср","Чт","Пт","Сб","Вс"),"")</f>
        <v>Пн</v>
      </c>
      <c r="L10" s="42" t="str">
        <f>IF(8&lt;=$AP$2,CHOOSE(WEEKDAY($AP$1+7,2),"Пн","Вт","Ср","Чт","Пт","Сб","Вс"),"")</f>
        <v>Вт</v>
      </c>
      <c r="M10" s="42" t="str">
        <f>IF(9&lt;=$AP$2,CHOOSE(WEEKDAY($AP$1+8,2),"Пн","Вт","Ср","Чт","Пт","Сб","Вс"),"")</f>
        <v>Ср</v>
      </c>
      <c r="N10" s="42" t="str">
        <f>IF(10&lt;=$AP$2,CHOOSE(WEEKDAY($AP$1+9,2),"Пн","Вт","Ср","Чт","Пт","Сб","Вс"),"")</f>
        <v>Чт</v>
      </c>
      <c r="O10" s="42" t="str">
        <f>IF(11&lt;=$AP$2,CHOOSE(WEEKDAY($AP$1+10,2),"Пн","Вт","Ср","Чт","Пт","Сб","Вс"),"")</f>
        <v>Пт</v>
      </c>
      <c r="P10" s="42" t="str">
        <f>IF(12&lt;=$AP$2,CHOOSE(WEEKDAY($AP$1+11,2),"Пн","Вт","Ср","Чт","Пт","Сб","Вс"),"")</f>
        <v>Сб</v>
      </c>
      <c r="Q10" s="42" t="str">
        <f>IF(13&lt;=$AP$2,CHOOSE(WEEKDAY($AP$1+12,2),"Пн","Вт","Ср","Чт","Пт","Сб","Вс"),"")</f>
        <v>Вс</v>
      </c>
      <c r="R10" s="42" t="str">
        <f>IF(14&lt;=$AP$2,CHOOSE(WEEKDAY($AP$1+13,2),"Пн","Вт","Ср","Чт","Пт","Сб","Вс"),"")</f>
        <v>Пн</v>
      </c>
      <c r="S10" s="42" t="str">
        <f>IF(15&lt;=$AP$2,CHOOSE(WEEKDAY($AP$1+14,2),"Пн","Вт","Ср","Чт","Пт","Сб","Вс"),"")</f>
        <v>Вт</v>
      </c>
      <c r="T10" s="42" t="str">
        <f>IF(16&lt;=$AP$2,CHOOSE(WEEKDAY($AP$1+15,2),"Пн","Вт","Ср","Чт","Пт","Сб","Вс"),"")</f>
        <v>Ср</v>
      </c>
      <c r="U10" s="42" t="str">
        <f>IF(17&lt;=$AP$2,CHOOSE(WEEKDAY($AP$1+16,2),"Пн","Вт","Ср","Чт","Пт","Сб","Вс"),"")</f>
        <v>Чт</v>
      </c>
      <c r="V10" s="42" t="str">
        <f>IF(18&lt;=$AP$2,CHOOSE(WEEKDAY($AP$1+17,2),"Пн","Вт","Ср","Чт","Пт","Сб","Вс"),"")</f>
        <v>Пт</v>
      </c>
      <c r="W10" s="42" t="str">
        <f>IF(19&lt;=$AP$2,CHOOSE(WEEKDAY($AP$1+18,2),"Пн","Вт","Ср","Чт","Пт","Сб","Вс"),"")</f>
        <v>Сб</v>
      </c>
      <c r="X10" s="42" t="str">
        <f>IF(20&lt;=$AP$2,CHOOSE(WEEKDAY($AP$1+19,2),"Пн","Вт","Ср","Чт","Пт","Сб","Вс"),"")</f>
        <v>Вс</v>
      </c>
      <c r="Y10" s="42" t="str">
        <f>IF(21&lt;=$AP$2,CHOOSE(WEEKDAY($AP$1+20,2),"Пн","Вт","Ср","Чт","Пт","Сб","Вс"),"")</f>
        <v>Пн</v>
      </c>
      <c r="Z10" s="42" t="str">
        <f>IF(22&lt;=$AP$2,CHOOSE(WEEKDAY($AP$1+21,2),"Пн","Вт","Ср","Чт","Пт","Сб","Вс"),"")</f>
        <v>Вт</v>
      </c>
      <c r="AA10" s="42" t="str">
        <f>IF(23&lt;=$AP$2,CHOOSE(WEEKDAY($AP$1+22,2),"Пн","Вт","Ср","Чт","Пт","Сб","Вс"),"")</f>
        <v>Ср</v>
      </c>
      <c r="AB10" s="42" t="str">
        <f>IF(24&lt;=$AP$2,CHOOSE(WEEKDAY($AP$1+23,2),"Пн","Вт","Ср","Чт","Пт","Сб","Вс"),"")</f>
        <v>Чт</v>
      </c>
      <c r="AC10" s="42" t="str">
        <f>IF(25&lt;=$AP$2,CHOOSE(WEEKDAY($AP$1+24,2),"Пн","Вт","Ср","Чт","Пт","Сб","Вс"),"")</f>
        <v>Пт</v>
      </c>
      <c r="AD10" s="42" t="str">
        <f>IF(26&lt;=$AP$2,CHOOSE(WEEKDAY($AP$1+25,2),"Пн","Вт","Ср","Чт","Пт","Сб","Вс"),"")</f>
        <v>Сб</v>
      </c>
      <c r="AE10" s="42" t="str">
        <f>IF(27&lt;=$AP$2,CHOOSE(WEEKDAY($AP$1+26,2),"Пн","Вт","Ср","Чт","Пт","Сб","Вс"),"")</f>
        <v>Вс</v>
      </c>
      <c r="AF10" s="42" t="str">
        <f>IF(28&lt;=$AP$2,CHOOSE(WEEKDAY($AP$1+27,2),"Пн","Вт","Ср","Чт","Пт","Сб","Вс"),"")</f>
        <v>Пн</v>
      </c>
      <c r="AG10" s="42" t="str">
        <f>IF(29&lt;=$AP$2,CHOOSE(WEEKDAY($AP$1+28,2),"Пн","Вт","Ср","Чт","Пт","Сб","Вс"),"")</f>
        <v>Вт</v>
      </c>
      <c r="AH10" s="42" t="str">
        <f>IF(30&lt;=$AP$2,CHOOSE(WEEKDAY($AP$1+29,2),"Пн","Вт","Ср","Чт","Пт","Сб","Вс"),"")</f>
        <v>Ср</v>
      </c>
      <c r="AI10" s="42">
        <f>IF(31&lt;=$AP$2,CHOOSE(WEEKDAY($AP$1+30,2),"Пн","Вт","Ср","Чт","Пт","Сб","Вс"),"")</f>
        <v/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1</v>
      </c>
      <c r="F12" s="46" t="b">
        <v>1</v>
      </c>
      <c r="G12" s="46" t="b">
        <v>0</v>
      </c>
      <c r="H12" s="46" t="b">
        <v>1</v>
      </c>
      <c r="I12" s="46" t="b">
        <v>1</v>
      </c>
      <c r="J12" s="46" t="b">
        <v>1</v>
      </c>
      <c r="K12" s="46" t="b">
        <v>1</v>
      </c>
      <c r="L12" s="46" t="b">
        <v>1</v>
      </c>
      <c r="M12" s="46" t="b">
        <v>1</v>
      </c>
      <c r="N12" s="46" t="b">
        <v>1</v>
      </c>
      <c r="O12" s="46" t="b">
        <v>1</v>
      </c>
      <c r="P12" s="46" t="b">
        <v>1</v>
      </c>
      <c r="Q12" s="46" t="b">
        <v>1</v>
      </c>
      <c r="R12" s="46" t="b">
        <v>1</v>
      </c>
      <c r="S12" s="46" t="b">
        <v>1</v>
      </c>
      <c r="T12" s="46" t="b">
        <v>1</v>
      </c>
      <c r="U12" s="46" t="b">
        <v>1</v>
      </c>
      <c r="V12" s="46" t="b">
        <v>1</v>
      </c>
      <c r="W12" s="46" t="b">
        <v>1</v>
      </c>
      <c r="X12" s="46" t="b">
        <v>1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19</v>
      </c>
      <c r="AL12" s="48">
        <f>IF($C12="","",IF($AP$3=0,0,IFERROR(MIN(1,AK12/$AP$12),0)))</f>
        <v>0.95</v>
      </c>
      <c r="AM12" s="49">
        <f>IF($C12="","",IF($AP$3=0,0,MAX(INDEX($AQ$12:$BU$12,$AP$3),INDEX($AQ$12:$BU$12,MAX($AP$3-1,1)))))</f>
        <v>17</v>
      </c>
      <c r="AN12" s="45">
        <f>IF($C12="","",MAX($AQ$12:$BU$12))</f>
        <v>17</v>
      </c>
      <c r="AP12" s="29">
        <f>IF($C12="",0,IFERROR(IF($D12="",$AP$2,$D12)*$AP$3/$AP$2,$AP$3))</f>
        <v>20</v>
      </c>
      <c r="AQ12" s="29">
        <f>IF(AND(1&lt;=$AP$3,OR(E12=TRUE,E12=1)),0+1,0)</f>
        <v>1</v>
      </c>
      <c r="AR12" s="29">
        <f>IF(AND(2&lt;=$AP$3,OR(F12=TRUE,F12=1)),AQ12+1,0)</f>
        <v>2</v>
      </c>
      <c r="AS12" s="29">
        <f>IF(AND(3&lt;=$AP$3,OR(G12=TRUE,G12=1)),AR12+1,0)</f>
        <v>0</v>
      </c>
      <c r="AT12" s="29">
        <f>IF(AND(4&lt;=$AP$3,OR(H12=TRUE,H12=1)),AS12+1,0)</f>
        <v>1</v>
      </c>
      <c r="AU12" s="29">
        <f>IF(AND(5&lt;=$AP$3,OR(I12=TRUE,I12=1)),AT12+1,0)</f>
        <v>2</v>
      </c>
      <c r="AV12" s="29">
        <f>IF(AND(6&lt;=$AP$3,OR(J12=TRUE,J12=1)),AU12+1,0)</f>
        <v>3</v>
      </c>
      <c r="AW12" s="29">
        <f>IF(AND(7&lt;=$AP$3,OR(K12=TRUE,K12=1)),AV12+1,0)</f>
        <v>4</v>
      </c>
      <c r="AX12" s="29">
        <f>IF(AND(8&lt;=$AP$3,OR(L12=TRUE,L12=1)),AW12+1,0)</f>
        <v>5</v>
      </c>
      <c r="AY12" s="29">
        <f>IF(AND(9&lt;=$AP$3,OR(M12=TRUE,M12=1)),AX12+1,0)</f>
        <v>6</v>
      </c>
      <c r="AZ12" s="29">
        <f>IF(AND(10&lt;=$AP$3,OR(N12=TRUE,N12=1)),AY12+1,0)</f>
        <v>7</v>
      </c>
      <c r="BA12" s="29">
        <f>IF(AND(11&lt;=$AP$3,OR(O12=TRUE,O12=1)),AZ12+1,0)</f>
        <v>8</v>
      </c>
      <c r="BB12" s="29">
        <f>IF(AND(12&lt;=$AP$3,OR(P12=TRUE,P12=1)),BA12+1,0)</f>
        <v>9</v>
      </c>
      <c r="BC12" s="29">
        <f>IF(AND(13&lt;=$AP$3,OR(Q12=TRUE,Q12=1)),BB12+1,0)</f>
        <v>10</v>
      </c>
      <c r="BD12" s="29">
        <f>IF(AND(14&lt;=$AP$3,OR(R12=TRUE,R12=1)),BC12+1,0)</f>
        <v>11</v>
      </c>
      <c r="BE12" s="29">
        <f>IF(AND(15&lt;=$AP$3,OR(S12=TRUE,S12=1)),BD12+1,0)</f>
        <v>12</v>
      </c>
      <c r="BF12" s="29">
        <f>IF(AND(16&lt;=$AP$3,OR(T12=TRUE,T12=1)),BE12+1,0)</f>
        <v>13</v>
      </c>
      <c r="BG12" s="29">
        <f>IF(AND(17&lt;=$AP$3,OR(U12=TRUE,U12=1)),BF12+1,0)</f>
        <v>14</v>
      </c>
      <c r="BH12" s="29">
        <f>IF(AND(18&lt;=$AP$3,OR(V12=TRUE,V12=1)),BG12+1,0)</f>
        <v>15</v>
      </c>
      <c r="BI12" s="29">
        <f>IF(AND(19&lt;=$AP$3,OR(W12=TRUE,W12=1)),BH12+1,0)</f>
        <v>16</v>
      </c>
      <c r="BJ12" s="29">
        <f>IF(AND(20&lt;=$AP$3,OR(X12=TRUE,X12=1)),BI12+1,0)</f>
        <v>17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1</v>
      </c>
      <c r="I13" s="46" t="b">
        <v>1</v>
      </c>
      <c r="J13" s="46" t="b">
        <v>1</v>
      </c>
      <c r="K13" s="46" t="b">
        <v>1</v>
      </c>
      <c r="L13" s="46" t="b">
        <v>1</v>
      </c>
      <c r="M13" s="46" t="b">
        <v>0</v>
      </c>
      <c r="N13" s="46" t="b">
        <v>0</v>
      </c>
      <c r="O13" s="46" t="b">
        <v>1</v>
      </c>
      <c r="P13" s="46" t="b">
        <v>1</v>
      </c>
      <c r="Q13" s="46" t="b">
        <v>1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1</v>
      </c>
      <c r="X13" s="46" t="b">
        <v>1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10</v>
      </c>
      <c r="AL13" s="48">
        <f>IF($C13="","",IF($AP$3=0,0,IFERROR(MIN(1,AK13/$AP$13),0)))</f>
        <v>1</v>
      </c>
      <c r="AM13" s="49">
        <f>IF($C13="","",IF($AP$3=0,0,MAX(INDEX($AQ$13:$BU$13,$AP$3),INDEX($AQ$13:$BU$13,MAX($AP$3-1,1)))))</f>
        <v>2</v>
      </c>
      <c r="AN13" s="45">
        <f>IF($C13="","",MAX($AQ$13:$BU$13))</f>
        <v>5</v>
      </c>
      <c r="AP13" s="29">
        <f>IF($C13="",0,IFERROR(IF($D13="",$AP$2,$D13)*$AP$3/$AP$2,$AP$3))</f>
        <v>8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1</v>
      </c>
      <c r="AU13" s="29">
        <f>IF(AND(5&lt;=$AP$3,OR(I13=TRUE,I13=1)),AT13+1,0)</f>
        <v>2</v>
      </c>
      <c r="AV13" s="29">
        <f>IF(AND(6&lt;=$AP$3,OR(J13=TRUE,J13=1)),AU13+1,0)</f>
        <v>3</v>
      </c>
      <c r="AW13" s="29">
        <f>IF(AND(7&lt;=$AP$3,OR(K13=TRUE,K13=1)),AV13+1,0)</f>
        <v>4</v>
      </c>
      <c r="AX13" s="29">
        <f>IF(AND(8&lt;=$AP$3,OR(L13=TRUE,L13=1)),AW13+1,0)</f>
        <v>5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1</v>
      </c>
      <c r="BB13" s="29">
        <f>IF(AND(12&lt;=$AP$3,OR(P13=TRUE,P13=1)),BA13+1,0)</f>
        <v>2</v>
      </c>
      <c r="BC13" s="29">
        <f>IF(AND(13&lt;=$AP$3,OR(Q13=TRUE,Q13=1)),BB13+1,0)</f>
        <v>3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1</v>
      </c>
      <c r="BJ13" s="29">
        <f>IF(AND(20&lt;=$AP$3,OR(X13=TRUE,X13=1)),BI13+1,0)</f>
        <v>2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1</v>
      </c>
      <c r="G14" s="46" t="b">
        <v>1</v>
      </c>
      <c r="H14" s="46" t="b">
        <v>0</v>
      </c>
      <c r="I14" s="46" t="b">
        <v>1</v>
      </c>
      <c r="J14" s="46" t="b">
        <v>1</v>
      </c>
      <c r="K14" s="46" t="b">
        <v>0</v>
      </c>
      <c r="L14" s="46" t="b">
        <v>0</v>
      </c>
      <c r="M14" s="46" t="b">
        <v>1</v>
      </c>
      <c r="N14" s="46" t="b">
        <v>0</v>
      </c>
      <c r="O14" s="46" t="b">
        <v>1</v>
      </c>
      <c r="P14" s="46" t="b">
        <v>1</v>
      </c>
      <c r="Q14" s="46" t="b">
        <v>1</v>
      </c>
      <c r="R14" s="46" t="b">
        <v>0</v>
      </c>
      <c r="S14" s="46" t="b">
        <v>1</v>
      </c>
      <c r="T14" s="46" t="b">
        <v>1</v>
      </c>
      <c r="U14" s="46" t="b">
        <v>1</v>
      </c>
      <c r="V14" s="46" t="b">
        <v>0</v>
      </c>
      <c r="W14" s="46" t="b">
        <v>1</v>
      </c>
      <c r="X14" s="46" t="b">
        <v>1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13</v>
      </c>
      <c r="AL14" s="48">
        <f>IF($C14="","",IF($AP$3=0,0,IFERROR(MIN(1,AK14/$AP$14),0)))</f>
        <v>0.65</v>
      </c>
      <c r="AM14" s="49">
        <f>IF($C14="","",IF($AP$3=0,0,MAX(INDEX($AQ$14:$BU$14,$AP$3),INDEX($AQ$14:$BU$14,MAX($AP$3-1,1)))))</f>
        <v>2</v>
      </c>
      <c r="AN14" s="45">
        <f>IF($C14="","",MAX($AQ$14:$BU$14))</f>
        <v>3</v>
      </c>
      <c r="AP14" s="29">
        <f>IF($C14="",0,IFERROR(IF($D14="",$AP$2,$D14)*$AP$3/$AP$2,$AP$3))</f>
        <v>20</v>
      </c>
      <c r="AQ14" s="29">
        <f>IF(AND(1&lt;=$AP$3,OR(E14=TRUE,E14=1)),0+1,0)</f>
        <v>0</v>
      </c>
      <c r="AR14" s="29">
        <f>IF(AND(2&lt;=$AP$3,OR(F14=TRUE,F14=1)),AQ14+1,0)</f>
        <v>1</v>
      </c>
      <c r="AS14" s="29">
        <f>IF(AND(3&lt;=$AP$3,OR(G14=TRUE,G14=1)),AR14+1,0)</f>
        <v>2</v>
      </c>
      <c r="AT14" s="29">
        <f>IF(AND(4&lt;=$AP$3,OR(H14=TRUE,H14=1)),AS14+1,0)</f>
        <v>0</v>
      </c>
      <c r="AU14" s="29">
        <f>IF(AND(5&lt;=$AP$3,OR(I14=TRUE,I14=1)),AT14+1,0)</f>
        <v>1</v>
      </c>
      <c r="AV14" s="29">
        <f>IF(AND(6&lt;=$AP$3,OR(J14=TRUE,J14=1)),AU14+1,0)</f>
        <v>2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1</v>
      </c>
      <c r="AZ14" s="29">
        <f>IF(AND(10&lt;=$AP$3,OR(N14=TRUE,N14=1)),AY14+1,0)</f>
        <v>0</v>
      </c>
      <c r="BA14" s="29">
        <f>IF(AND(11&lt;=$AP$3,OR(O14=TRUE,O14=1)),AZ14+1,0)</f>
        <v>1</v>
      </c>
      <c r="BB14" s="29">
        <f>IF(AND(12&lt;=$AP$3,OR(P14=TRUE,P14=1)),BA14+1,0)</f>
        <v>2</v>
      </c>
      <c r="BC14" s="29">
        <f>IF(AND(13&lt;=$AP$3,OR(Q14=TRUE,Q14=1)),BB14+1,0)</f>
        <v>3</v>
      </c>
      <c r="BD14" s="29">
        <f>IF(AND(14&lt;=$AP$3,OR(R14=TRUE,R14=1)),BC14+1,0)</f>
        <v>0</v>
      </c>
      <c r="BE14" s="29">
        <f>IF(AND(15&lt;=$AP$3,OR(S14=TRUE,S14=1)),BD14+1,0)</f>
        <v>1</v>
      </c>
      <c r="BF14" s="29">
        <f>IF(AND(16&lt;=$AP$3,OR(T14=TRUE,T14=1)),BE14+1,0)</f>
        <v>2</v>
      </c>
      <c r="BG14" s="29">
        <f>IF(AND(17&lt;=$AP$3,OR(U14=TRUE,U14=1)),BF14+1,0)</f>
        <v>3</v>
      </c>
      <c r="BH14" s="29">
        <f>IF(AND(18&lt;=$AP$3,OR(V14=TRUE,V14=1)),BG14+1,0)</f>
        <v>0</v>
      </c>
      <c r="BI14" s="29">
        <f>IF(AND(19&lt;=$AP$3,OR(W14=TRUE,W14=1)),BH14+1,0)</f>
        <v>1</v>
      </c>
      <c r="BJ14" s="29">
        <f>IF(AND(20&lt;=$AP$3,OR(X14=TRUE,X14=1)),BI14+1,0)</f>
        <v>2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1</v>
      </c>
      <c r="F15" s="46" t="b">
        <v>1</v>
      </c>
      <c r="G15" s="46" t="b">
        <v>0</v>
      </c>
      <c r="H15" s="46" t="b">
        <v>1</v>
      </c>
      <c r="I15" s="46" t="b">
        <v>1</v>
      </c>
      <c r="J15" s="46" t="b">
        <v>1</v>
      </c>
      <c r="K15" s="46" t="b">
        <v>1</v>
      </c>
      <c r="L15" s="46" t="b">
        <v>1</v>
      </c>
      <c r="M15" s="46" t="b">
        <v>1</v>
      </c>
      <c r="N15" s="46" t="b">
        <v>1</v>
      </c>
      <c r="O15" s="46" t="b">
        <v>1</v>
      </c>
      <c r="P15" s="46" t="b">
        <v>1</v>
      </c>
      <c r="Q15" s="46" t="b">
        <v>1</v>
      </c>
      <c r="R15" s="46" t="b">
        <v>1</v>
      </c>
      <c r="S15" s="46" t="b">
        <v>1</v>
      </c>
      <c r="T15" s="46" t="b">
        <v>1</v>
      </c>
      <c r="U15" s="46" t="b">
        <v>1</v>
      </c>
      <c r="V15" s="46" t="b">
        <v>1</v>
      </c>
      <c r="W15" s="46" t="b">
        <v>1</v>
      </c>
      <c r="X15" s="46" t="b">
        <v>1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19</v>
      </c>
      <c r="AL15" s="48">
        <f>IF($C15="","",IF($AP$3=0,0,IFERROR(MIN(1,AK15/$AP$15),0)))</f>
        <v>0.95</v>
      </c>
      <c r="AM15" s="49">
        <f>IF($C15="","",IF($AP$3=0,0,MAX(INDEX($AQ$15:$BU$15,$AP$3),INDEX($AQ$15:$BU$15,MAX($AP$3-1,1)))))</f>
        <v>17</v>
      </c>
      <c r="AN15" s="45">
        <f>IF($C15="","",MAX($AQ$15:$BU$15))</f>
        <v>17</v>
      </c>
      <c r="AP15" s="29">
        <f>IF($C15="",0,IFERROR(IF($D15="",$AP$2,$D15)*$AP$3/$AP$2,$AP$3))</f>
        <v>20</v>
      </c>
      <c r="AQ15" s="29">
        <f>IF(AND(1&lt;=$AP$3,OR(E15=TRUE,E15=1)),0+1,0)</f>
        <v>1</v>
      </c>
      <c r="AR15" s="29">
        <f>IF(AND(2&lt;=$AP$3,OR(F15=TRUE,F15=1)),AQ15+1,0)</f>
        <v>2</v>
      </c>
      <c r="AS15" s="29">
        <f>IF(AND(3&lt;=$AP$3,OR(G15=TRUE,G15=1)),AR15+1,0)</f>
        <v>0</v>
      </c>
      <c r="AT15" s="29">
        <f>IF(AND(4&lt;=$AP$3,OR(H15=TRUE,H15=1)),AS15+1,0)</f>
        <v>1</v>
      </c>
      <c r="AU15" s="29">
        <f>IF(AND(5&lt;=$AP$3,OR(I15=TRUE,I15=1)),AT15+1,0)</f>
        <v>2</v>
      </c>
      <c r="AV15" s="29">
        <f>IF(AND(6&lt;=$AP$3,OR(J15=TRUE,J15=1)),AU15+1,0)</f>
        <v>3</v>
      </c>
      <c r="AW15" s="29">
        <f>IF(AND(7&lt;=$AP$3,OR(K15=TRUE,K15=1)),AV15+1,0)</f>
        <v>4</v>
      </c>
      <c r="AX15" s="29">
        <f>IF(AND(8&lt;=$AP$3,OR(L15=TRUE,L15=1)),AW15+1,0)</f>
        <v>5</v>
      </c>
      <c r="AY15" s="29">
        <f>IF(AND(9&lt;=$AP$3,OR(M15=TRUE,M15=1)),AX15+1,0)</f>
        <v>6</v>
      </c>
      <c r="AZ15" s="29">
        <f>IF(AND(10&lt;=$AP$3,OR(N15=TRUE,N15=1)),AY15+1,0)</f>
        <v>7</v>
      </c>
      <c r="BA15" s="29">
        <f>IF(AND(11&lt;=$AP$3,OR(O15=TRUE,O15=1)),AZ15+1,0)</f>
        <v>8</v>
      </c>
      <c r="BB15" s="29">
        <f>IF(AND(12&lt;=$AP$3,OR(P15=TRUE,P15=1)),BA15+1,0)</f>
        <v>9</v>
      </c>
      <c r="BC15" s="29">
        <f>IF(AND(13&lt;=$AP$3,OR(Q15=TRUE,Q15=1)),BB15+1,0)</f>
        <v>10</v>
      </c>
      <c r="BD15" s="29">
        <f>IF(AND(14&lt;=$AP$3,OR(R15=TRUE,R15=1)),BC15+1,0)</f>
        <v>11</v>
      </c>
      <c r="BE15" s="29">
        <f>IF(AND(15&lt;=$AP$3,OR(S15=TRUE,S15=1)),BD15+1,0)</f>
        <v>12</v>
      </c>
      <c r="BF15" s="29">
        <f>IF(AND(16&lt;=$AP$3,OR(T15=TRUE,T15=1)),BE15+1,0)</f>
        <v>13</v>
      </c>
      <c r="BG15" s="29">
        <f>IF(AND(17&lt;=$AP$3,OR(U15=TRUE,U15=1)),BF15+1,0)</f>
        <v>14</v>
      </c>
      <c r="BH15" s="29">
        <f>IF(AND(18&lt;=$AP$3,OR(V15=TRUE,V15=1)),BG15+1,0)</f>
        <v>15</v>
      </c>
      <c r="BI15" s="29">
        <f>IF(AND(19&lt;=$AP$3,OR(W15=TRUE,W15=1)),BH15+1,0)</f>
        <v>16</v>
      </c>
      <c r="BJ15" s="29">
        <f>IF(AND(20&lt;=$AP$3,OR(X15=TRUE,X15=1)),BI15+1,0)</f>
        <v>17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1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1</v>
      </c>
      <c r="K16" s="46" t="b">
        <v>0</v>
      </c>
      <c r="L16" s="46" t="b">
        <v>1</v>
      </c>
      <c r="M16" s="46" t="b">
        <v>1</v>
      </c>
      <c r="N16" s="46" t="b">
        <v>1</v>
      </c>
      <c r="O16" s="46" t="b">
        <v>0</v>
      </c>
      <c r="P16" s="46" t="b">
        <v>1</v>
      </c>
      <c r="Q16" s="46" t="b">
        <v>0</v>
      </c>
      <c r="R16" s="46" t="b">
        <v>1</v>
      </c>
      <c r="S16" s="46" t="b">
        <v>1</v>
      </c>
      <c r="T16" s="46" t="b">
        <v>1</v>
      </c>
      <c r="U16" s="46" t="b">
        <v>0</v>
      </c>
      <c r="V16" s="46" t="b">
        <v>1</v>
      </c>
      <c r="W16" s="46" t="b">
        <v>0</v>
      </c>
      <c r="X16" s="46" t="b">
        <v>1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11</v>
      </c>
      <c r="AL16" s="48">
        <f>IF($C16="","",IF($AP$3=0,0,IFERROR(MIN(1,AK16/$AP$16),0)))</f>
        <v>0.55</v>
      </c>
      <c r="AM16" s="49">
        <f>IF($C16="","",IF($AP$3=0,0,MAX(INDEX($AQ$16:$BU$16,$AP$3),INDEX($AQ$16:$BU$16,MAX($AP$3-1,1)))))</f>
        <v>1</v>
      </c>
      <c r="AN16" s="45">
        <f>IF($C16="","",MAX($AQ$16:$BU$16))</f>
        <v>3</v>
      </c>
      <c r="AP16" s="29">
        <f>IF($C16="",0,IFERROR(IF($D16="",$AP$2,$D16)*$AP$3/$AP$2,$AP$3))</f>
        <v>20</v>
      </c>
      <c r="AQ16" s="29">
        <f>IF(AND(1&lt;=$AP$3,OR(E16=TRUE,E16=1)),0+1,0)</f>
        <v>1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1</v>
      </c>
      <c r="AW16" s="29">
        <f>IF(AND(7&lt;=$AP$3,OR(K16=TRUE,K16=1)),AV16+1,0)</f>
        <v>0</v>
      </c>
      <c r="AX16" s="29">
        <f>IF(AND(8&lt;=$AP$3,OR(L16=TRUE,L16=1)),AW16+1,0)</f>
        <v>1</v>
      </c>
      <c r="AY16" s="29">
        <f>IF(AND(9&lt;=$AP$3,OR(M16=TRUE,M16=1)),AX16+1,0)</f>
        <v>2</v>
      </c>
      <c r="AZ16" s="29">
        <f>IF(AND(10&lt;=$AP$3,OR(N16=TRUE,N16=1)),AY16+1,0)</f>
        <v>3</v>
      </c>
      <c r="BA16" s="29">
        <f>IF(AND(11&lt;=$AP$3,OR(O16=TRUE,O16=1)),AZ16+1,0)</f>
        <v>0</v>
      </c>
      <c r="BB16" s="29">
        <f>IF(AND(12&lt;=$AP$3,OR(P16=TRUE,P16=1)),BA16+1,0)</f>
        <v>1</v>
      </c>
      <c r="BC16" s="29">
        <f>IF(AND(13&lt;=$AP$3,OR(Q16=TRUE,Q16=1)),BB16+1,0)</f>
        <v>0</v>
      </c>
      <c r="BD16" s="29">
        <f>IF(AND(14&lt;=$AP$3,OR(R16=TRUE,R16=1)),BC16+1,0)</f>
        <v>1</v>
      </c>
      <c r="BE16" s="29">
        <f>IF(AND(15&lt;=$AP$3,OR(S16=TRUE,S16=1)),BD16+1,0)</f>
        <v>2</v>
      </c>
      <c r="BF16" s="29">
        <f>IF(AND(16&lt;=$AP$3,OR(T16=TRUE,T16=1)),BE16+1,0)</f>
        <v>3</v>
      </c>
      <c r="BG16" s="29">
        <f>IF(AND(17&lt;=$AP$3,OR(U16=TRUE,U16=1)),BF16+1,0)</f>
        <v>0</v>
      </c>
      <c r="BH16" s="29">
        <f>IF(AND(18&lt;=$AP$3,OR(V16=TRUE,V16=1)),BG16+1,0)</f>
        <v>1</v>
      </c>
      <c r="BI16" s="29">
        <f>IF(AND(19&lt;=$AP$3,OR(W16=TRUE,W16=1)),BH16+1,0)</f>
        <v>0</v>
      </c>
      <c r="BJ16" s="29">
        <f>IF(AND(20&lt;=$AP$3,OR(X16=TRUE,X16=1)),BI16+1,0)</f>
        <v>1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1</v>
      </c>
      <c r="F17" s="46" t="b">
        <v>1</v>
      </c>
      <c r="G17" s="46" t="b">
        <v>0</v>
      </c>
      <c r="H17" s="46" t="b">
        <v>1</v>
      </c>
      <c r="I17" s="46" t="b">
        <v>1</v>
      </c>
      <c r="J17" s="46" t="b">
        <v>1</v>
      </c>
      <c r="K17" s="46" t="b">
        <v>0</v>
      </c>
      <c r="L17" s="46" t="b">
        <v>0</v>
      </c>
      <c r="M17" s="46" t="b">
        <v>1</v>
      </c>
      <c r="N17" s="46" t="b">
        <v>1</v>
      </c>
      <c r="O17" s="46" t="b">
        <v>1</v>
      </c>
      <c r="P17" s="46" t="b">
        <v>1</v>
      </c>
      <c r="Q17" s="46" t="b">
        <v>1</v>
      </c>
      <c r="R17" s="46" t="b">
        <v>0</v>
      </c>
      <c r="S17" s="46" t="b">
        <v>1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11</v>
      </c>
      <c r="AL17" s="48">
        <f>IF($C17="","",IF($AP$3=0,0,IFERROR(MIN(1,AK17/$AP$17),0)))</f>
        <v>0.55</v>
      </c>
      <c r="AM17" s="49">
        <f>IF($C17="","",IF($AP$3=0,0,MAX(INDEX($AQ$17:$BU$17,$AP$3),INDEX($AQ$17:$BU$17,MAX($AP$3-1,1)))))</f>
        <v>0</v>
      </c>
      <c r="AN17" s="45">
        <f>IF($C17="","",MAX($AQ$17:$BU$17))</f>
        <v>5</v>
      </c>
      <c r="AP17" s="29">
        <f>IF($C17="",0,IFERROR(IF($D17="",$AP$2,$D17)*$AP$3/$AP$2,$AP$3))</f>
        <v>20</v>
      </c>
      <c r="AQ17" s="29">
        <f>IF(AND(1&lt;=$AP$3,OR(E17=TRUE,E17=1)),0+1,0)</f>
        <v>1</v>
      </c>
      <c r="AR17" s="29">
        <f>IF(AND(2&lt;=$AP$3,OR(F17=TRUE,F17=1)),AQ17+1,0)</f>
        <v>2</v>
      </c>
      <c r="AS17" s="29">
        <f>IF(AND(3&lt;=$AP$3,OR(G17=TRUE,G17=1)),AR17+1,0)</f>
        <v>0</v>
      </c>
      <c r="AT17" s="29">
        <f>IF(AND(4&lt;=$AP$3,OR(H17=TRUE,H17=1)),AS17+1,0)</f>
        <v>1</v>
      </c>
      <c r="AU17" s="29">
        <f>IF(AND(5&lt;=$AP$3,OR(I17=TRUE,I17=1)),AT17+1,0)</f>
        <v>2</v>
      </c>
      <c r="AV17" s="29">
        <f>IF(AND(6&lt;=$AP$3,OR(J17=TRUE,J17=1)),AU17+1,0)</f>
        <v>3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1</v>
      </c>
      <c r="AZ17" s="29">
        <f>IF(AND(10&lt;=$AP$3,OR(N17=TRUE,N17=1)),AY17+1,0)</f>
        <v>2</v>
      </c>
      <c r="BA17" s="29">
        <f>IF(AND(11&lt;=$AP$3,OR(O17=TRUE,O17=1)),AZ17+1,0)</f>
        <v>3</v>
      </c>
      <c r="BB17" s="29">
        <f>IF(AND(12&lt;=$AP$3,OR(P17=TRUE,P17=1)),BA17+1,0)</f>
        <v>4</v>
      </c>
      <c r="BC17" s="29">
        <f>IF(AND(13&lt;=$AP$3,OR(Q17=TRUE,Q17=1)),BB17+1,0)</f>
        <v>5</v>
      </c>
      <c r="BD17" s="29">
        <f>IF(AND(14&lt;=$AP$3,OR(R17=TRUE,R17=1)),BC17+1,0)</f>
        <v>0</v>
      </c>
      <c r="BE17" s="29">
        <f>IF(AND(15&lt;=$AP$3,OR(S17=TRUE,S17=1)),BD17+1,0)</f>
        <v>1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1</v>
      </c>
      <c r="F18" s="46" t="b">
        <v>1</v>
      </c>
      <c r="G18" s="46" t="b">
        <v>0</v>
      </c>
      <c r="H18" s="46" t="b">
        <v>1</v>
      </c>
      <c r="I18" s="46" t="b">
        <v>1</v>
      </c>
      <c r="J18" s="46" t="b">
        <v>1</v>
      </c>
      <c r="K18" s="46" t="b">
        <v>1</v>
      </c>
      <c r="L18" s="46" t="b">
        <v>1</v>
      </c>
      <c r="M18" s="46" t="b">
        <v>1</v>
      </c>
      <c r="N18" s="46" t="b">
        <v>1</v>
      </c>
      <c r="O18" s="46" t="b">
        <v>1</v>
      </c>
      <c r="P18" s="46" t="b">
        <v>1</v>
      </c>
      <c r="Q18" s="46" t="b">
        <v>1</v>
      </c>
      <c r="R18" s="46" t="b">
        <v>1</v>
      </c>
      <c r="S18" s="46" t="b">
        <v>1</v>
      </c>
      <c r="T18" s="46" t="b">
        <v>1</v>
      </c>
      <c r="U18" s="46" t="b">
        <v>1</v>
      </c>
      <c r="V18" s="46" t="b">
        <v>1</v>
      </c>
      <c r="W18" s="46" t="b">
        <v>1</v>
      </c>
      <c r="X18" s="46" t="b">
        <v>1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19</v>
      </c>
      <c r="AL18" s="48">
        <f>IF($C18="","",IF($AP$3=0,0,IFERROR(MIN(1,AK18/$AP$18),0)))</f>
        <v>0.95</v>
      </c>
      <c r="AM18" s="49">
        <f>IF($C18="","",IF($AP$3=0,0,MAX(INDEX($AQ$18:$BU$18,$AP$3),INDEX($AQ$18:$BU$18,MAX($AP$3-1,1)))))</f>
        <v>17</v>
      </c>
      <c r="AN18" s="45">
        <f>IF($C18="","",MAX($AQ$18:$BU$18))</f>
        <v>17</v>
      </c>
      <c r="AP18" s="29">
        <f>IF($C18="",0,IFERROR(IF($D18="",$AP$2,$D18)*$AP$3/$AP$2,$AP$3))</f>
        <v>20</v>
      </c>
      <c r="AQ18" s="29">
        <f>IF(AND(1&lt;=$AP$3,OR(E18=TRUE,E18=1)),0+1,0)</f>
        <v>1</v>
      </c>
      <c r="AR18" s="29">
        <f>IF(AND(2&lt;=$AP$3,OR(F18=TRUE,F18=1)),AQ18+1,0)</f>
        <v>2</v>
      </c>
      <c r="AS18" s="29">
        <f>IF(AND(3&lt;=$AP$3,OR(G18=TRUE,G18=1)),AR18+1,0)</f>
        <v>0</v>
      </c>
      <c r="AT18" s="29">
        <f>IF(AND(4&lt;=$AP$3,OR(H18=TRUE,H18=1)),AS18+1,0)</f>
        <v>1</v>
      </c>
      <c r="AU18" s="29">
        <f>IF(AND(5&lt;=$AP$3,OR(I18=TRUE,I18=1)),AT18+1,0)</f>
        <v>2</v>
      </c>
      <c r="AV18" s="29">
        <f>IF(AND(6&lt;=$AP$3,OR(J18=TRUE,J18=1)),AU18+1,0)</f>
        <v>3</v>
      </c>
      <c r="AW18" s="29">
        <f>IF(AND(7&lt;=$AP$3,OR(K18=TRUE,K18=1)),AV18+1,0)</f>
        <v>4</v>
      </c>
      <c r="AX18" s="29">
        <f>IF(AND(8&lt;=$AP$3,OR(L18=TRUE,L18=1)),AW18+1,0)</f>
        <v>5</v>
      </c>
      <c r="AY18" s="29">
        <f>IF(AND(9&lt;=$AP$3,OR(M18=TRUE,M18=1)),AX18+1,0)</f>
        <v>6</v>
      </c>
      <c r="AZ18" s="29">
        <f>IF(AND(10&lt;=$AP$3,OR(N18=TRUE,N18=1)),AY18+1,0)</f>
        <v>7</v>
      </c>
      <c r="BA18" s="29">
        <f>IF(AND(11&lt;=$AP$3,OR(O18=TRUE,O18=1)),AZ18+1,0)</f>
        <v>8</v>
      </c>
      <c r="BB18" s="29">
        <f>IF(AND(12&lt;=$AP$3,OR(P18=TRUE,P18=1)),BA18+1,0)</f>
        <v>9</v>
      </c>
      <c r="BC18" s="29">
        <f>IF(AND(13&lt;=$AP$3,OR(Q18=TRUE,Q18=1)),BB18+1,0)</f>
        <v>10</v>
      </c>
      <c r="BD18" s="29">
        <f>IF(AND(14&lt;=$AP$3,OR(R18=TRUE,R18=1)),BC18+1,0)</f>
        <v>11</v>
      </c>
      <c r="BE18" s="29">
        <f>IF(AND(15&lt;=$AP$3,OR(S18=TRUE,S18=1)),BD18+1,0)</f>
        <v>12</v>
      </c>
      <c r="BF18" s="29">
        <f>IF(AND(16&lt;=$AP$3,OR(T18=TRUE,T18=1)),BE18+1,0)</f>
        <v>13</v>
      </c>
      <c r="BG18" s="29">
        <f>IF(AND(17&lt;=$AP$3,OR(U18=TRUE,U18=1)),BF18+1,0)</f>
        <v>14</v>
      </c>
      <c r="BH18" s="29">
        <f>IF(AND(18&lt;=$AP$3,OR(V18=TRUE,V18=1)),BG18+1,0)</f>
        <v>15</v>
      </c>
      <c r="BI18" s="29">
        <f>IF(AND(19&lt;=$AP$3,OR(W18=TRUE,W18=1)),BH18+1,0)</f>
        <v>16</v>
      </c>
      <c r="BJ18" s="29">
        <f>IF(AND(20&lt;=$AP$3,OR(X18=TRUE,X18=1)),BI18+1,0)</f>
        <v>17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1</v>
      </c>
      <c r="F19" s="46" t="b">
        <v>1</v>
      </c>
      <c r="G19" s="46" t="b">
        <v>1</v>
      </c>
      <c r="H19" s="46" t="b">
        <v>1</v>
      </c>
      <c r="I19" s="46" t="b">
        <v>1</v>
      </c>
      <c r="J19" s="46" t="b">
        <v>1</v>
      </c>
      <c r="K19" s="46" t="b">
        <v>0</v>
      </c>
      <c r="L19" s="46" t="b">
        <v>0</v>
      </c>
      <c r="M19" s="46" t="b">
        <v>1</v>
      </c>
      <c r="N19" s="46" t="b">
        <v>1</v>
      </c>
      <c r="O19" s="46" t="b">
        <v>1</v>
      </c>
      <c r="P19" s="46" t="b">
        <v>1</v>
      </c>
      <c r="Q19" s="46" t="b">
        <v>1</v>
      </c>
      <c r="R19" s="46" t="b">
        <v>1</v>
      </c>
      <c r="S19" s="46" t="b">
        <v>0</v>
      </c>
      <c r="T19" s="46" t="b">
        <v>1</v>
      </c>
      <c r="U19" s="46" t="b">
        <v>1</v>
      </c>
      <c r="V19" s="46" t="b">
        <v>1</v>
      </c>
      <c r="W19" s="46" t="b">
        <v>0</v>
      </c>
      <c r="X19" s="46" t="b">
        <v>1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16</v>
      </c>
      <c r="AL19" s="48">
        <f>IF($C19="","",IF($AP$3=0,0,IFERROR(MIN(1,AK19/$AP$19),0)))</f>
        <v>1</v>
      </c>
      <c r="AM19" s="49">
        <f>IF($C19="","",IF($AP$3=0,0,MAX(INDEX($AQ$19:$BU$19,$AP$3),INDEX($AQ$19:$BU$19,MAX($AP$3-1,1)))))</f>
        <v>1</v>
      </c>
      <c r="AN19" s="45">
        <f>IF($C19="","",MAX($AQ$19:$BU$19))</f>
        <v>6</v>
      </c>
      <c r="AP19" s="29">
        <f>IF($C19="",0,IFERROR(IF($D19="",$AP$2,$D19)*$AP$3/$AP$2,$AP$3))</f>
        <v>13.3333333333333</v>
      </c>
      <c r="AQ19" s="29">
        <f>IF(AND(1&lt;=$AP$3,OR(E19=TRUE,E19=1)),0+1,0)</f>
        <v>1</v>
      </c>
      <c r="AR19" s="29">
        <f>IF(AND(2&lt;=$AP$3,OR(F19=TRUE,F19=1)),AQ19+1,0)</f>
        <v>2</v>
      </c>
      <c r="AS19" s="29">
        <f>IF(AND(3&lt;=$AP$3,OR(G19=TRUE,G19=1)),AR19+1,0)</f>
        <v>3</v>
      </c>
      <c r="AT19" s="29">
        <f>IF(AND(4&lt;=$AP$3,OR(H19=TRUE,H19=1)),AS19+1,0)</f>
        <v>4</v>
      </c>
      <c r="AU19" s="29">
        <f>IF(AND(5&lt;=$AP$3,OR(I19=TRUE,I19=1)),AT19+1,0)</f>
        <v>5</v>
      </c>
      <c r="AV19" s="29">
        <f>IF(AND(6&lt;=$AP$3,OR(J19=TRUE,J19=1)),AU19+1,0)</f>
        <v>6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1</v>
      </c>
      <c r="AZ19" s="29">
        <f>IF(AND(10&lt;=$AP$3,OR(N19=TRUE,N19=1)),AY19+1,0)</f>
        <v>2</v>
      </c>
      <c r="BA19" s="29">
        <f>IF(AND(11&lt;=$AP$3,OR(O19=TRUE,O19=1)),AZ19+1,0)</f>
        <v>3</v>
      </c>
      <c r="BB19" s="29">
        <f>IF(AND(12&lt;=$AP$3,OR(P19=TRUE,P19=1)),BA19+1,0)</f>
        <v>4</v>
      </c>
      <c r="BC19" s="29">
        <f>IF(AND(13&lt;=$AP$3,OR(Q19=TRUE,Q19=1)),BB19+1,0)</f>
        <v>5</v>
      </c>
      <c r="BD19" s="29">
        <f>IF(AND(14&lt;=$AP$3,OR(R19=TRUE,R19=1)),BC19+1,0)</f>
        <v>6</v>
      </c>
      <c r="BE19" s="29">
        <f>IF(AND(15&lt;=$AP$3,OR(S19=TRUE,S19=1)),BD19+1,0)</f>
        <v>0</v>
      </c>
      <c r="BF19" s="29">
        <f>IF(AND(16&lt;=$AP$3,OR(T19=TRUE,T19=1)),BE19+1,0)</f>
        <v>1</v>
      </c>
      <c r="BG19" s="29">
        <f>IF(AND(17&lt;=$AP$3,OR(U19=TRUE,U19=1)),BF19+1,0)</f>
        <v>2</v>
      </c>
      <c r="BH19" s="29">
        <f>IF(AND(18&lt;=$AP$3,OR(V19=TRUE,V19=1)),BG19+1,0)</f>
        <v>3</v>
      </c>
      <c r="BI19" s="29">
        <f>IF(AND(19&lt;=$AP$3,OR(W19=TRUE,W19=1)),BH19+1,0)</f>
        <v>0</v>
      </c>
      <c r="BJ19" s="29">
        <f>IF(AND(20&lt;=$AP$3,OR(X19=TRUE,X19=1)),BI19+1,0)</f>
        <v>1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>6</v>
      </c>
      <c r="F27" s="51">
        <f>IF(OR(F$11="",F$11&gt;$AP$3),"",SUMPRODUCT((((F$12:F$26=TRUE)+(F$12:F$26=1))&gt;0)*($C$12:$C$26&lt;&gt;"")))</f>
        <v>6</v>
      </c>
      <c r="G27" s="51">
        <f>IF(OR(G$11="",G$11&gt;$AP$3),"",SUMPRODUCT((((G$12:G$26=TRUE)+(G$12:G$26=1))&gt;0)*($C$12:$C$26&lt;&gt;"")))</f>
        <v>2</v>
      </c>
      <c r="H27" s="51">
        <f>IF(OR(H$11="",H$11&gt;$AP$3),"",SUMPRODUCT((((H$12:H$26=TRUE)+(H$12:H$26=1))&gt;0)*($C$12:$C$26&lt;&gt;"")))</f>
        <v>6</v>
      </c>
      <c r="I27" s="51">
        <f>IF(OR(I$11="",I$11&gt;$AP$3),"",SUMPRODUCT((((I$12:I$26=TRUE)+(I$12:I$26=1))&gt;0)*($C$12:$C$26&lt;&gt;"")))</f>
        <v>7</v>
      </c>
      <c r="J27" s="51">
        <f>IF(OR(J$11="",J$11&gt;$AP$3),"",SUMPRODUCT((((J$12:J$26=TRUE)+(J$12:J$26=1))&gt;0)*($C$12:$C$26&lt;&gt;"")))</f>
        <v>8</v>
      </c>
      <c r="K27" s="51">
        <f>IF(OR(K$11="",K$11&gt;$AP$3),"",SUMPRODUCT((((K$12:K$26=TRUE)+(K$12:K$26=1))&gt;0)*($C$12:$C$26&lt;&gt;"")))</f>
        <v>4</v>
      </c>
      <c r="L27" s="51">
        <f>IF(OR(L$11="",L$11&gt;$AP$3),"",SUMPRODUCT((((L$12:L$26=TRUE)+(L$12:L$26=1))&gt;0)*($C$12:$C$26&lt;&gt;"")))</f>
        <v>5</v>
      </c>
      <c r="M27" s="51">
        <f>IF(OR(M$11="",M$11&gt;$AP$3),"",SUMPRODUCT((((M$12:M$26=TRUE)+(M$12:M$26=1))&gt;0)*($C$12:$C$26&lt;&gt;"")))</f>
        <v>7</v>
      </c>
      <c r="N27" s="51">
        <f>IF(OR(N$11="",N$11&gt;$AP$3),"",SUMPRODUCT((((N$12:N$26=TRUE)+(N$12:N$26=1))&gt;0)*($C$12:$C$26&lt;&gt;"")))</f>
        <v>6</v>
      </c>
      <c r="O27" s="51">
        <f>IF(OR(O$11="",O$11&gt;$AP$3),"",SUMPRODUCT((((O$12:O$26=TRUE)+(O$12:O$26=1))&gt;0)*($C$12:$C$26&lt;&gt;"")))</f>
        <v>7</v>
      </c>
      <c r="P27" s="51">
        <f>IF(OR(P$11="",P$11&gt;$AP$3),"",SUMPRODUCT((((P$12:P$26=TRUE)+(P$12:P$26=1))&gt;0)*($C$12:$C$26&lt;&gt;"")))</f>
        <v>8</v>
      </c>
      <c r="Q27" s="51">
        <f>IF(OR(Q$11="",Q$11&gt;$AP$3),"",SUMPRODUCT((((Q$12:Q$26=TRUE)+(Q$12:Q$26=1))&gt;0)*($C$12:$C$26&lt;&gt;"")))</f>
        <v>7</v>
      </c>
      <c r="R27" s="51">
        <f>IF(OR(R$11="",R$11&gt;$AP$3),"",SUMPRODUCT((((R$12:R$26=TRUE)+(R$12:R$26=1))&gt;0)*($C$12:$C$26&lt;&gt;"")))</f>
        <v>5</v>
      </c>
      <c r="S27" s="51">
        <f>IF(OR(S$11="",S$11&gt;$AP$3),"",SUMPRODUCT((((S$12:S$26=TRUE)+(S$12:S$26=1))&gt;0)*($C$12:$C$26&lt;&gt;"")))</f>
        <v>6</v>
      </c>
      <c r="T27" s="51">
        <f>IF(OR(T$11="",T$11&gt;$AP$3),"",SUMPRODUCT((((T$12:T$26=TRUE)+(T$12:T$26=1))&gt;0)*($C$12:$C$26&lt;&gt;"")))</f>
        <v>6</v>
      </c>
      <c r="U27" s="51">
        <f>IF(OR(U$11="",U$11&gt;$AP$3),"",SUMPRODUCT((((U$12:U$26=TRUE)+(U$12:U$26=1))&gt;0)*($C$12:$C$26&lt;&gt;"")))</f>
        <v>5</v>
      </c>
      <c r="V27" s="51">
        <f>IF(OR(V$11="",V$11&gt;$AP$3),"",SUMPRODUCT((((V$12:V$26=TRUE)+(V$12:V$26=1))&gt;0)*($C$12:$C$26&lt;&gt;"")))</f>
        <v>5</v>
      </c>
      <c r="W27" s="51">
        <f>IF(OR(W$11="",W$11&gt;$AP$3),"",SUMPRODUCT((((W$12:W$26=TRUE)+(W$12:W$26=1))&gt;0)*($C$12:$C$26&lt;&gt;"")))</f>
        <v>5</v>
      </c>
      <c r="X27" s="51">
        <f>IF(OR(X$11="",X$11&gt;$AP$3),"",SUMPRODUCT((((X$12:X$26=TRUE)+(X$12:X$26=1))&gt;0)*($C$12:$C$26&lt;&gt;"")))</f>
        <v>7</v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118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>0.75</v>
      </c>
      <c r="F28" s="54">
        <f>IF(OR(F27="",$AP$4=0),"",F27/$AP$4)</f>
        <v>0.75</v>
      </c>
      <c r="G28" s="54">
        <f>IF(OR(G27="",$AP$4=0),"",G27/$AP$4)</f>
        <v>0.25</v>
      </c>
      <c r="H28" s="54">
        <f>IF(OR(H27="",$AP$4=0),"",H27/$AP$4)</f>
        <v>0.75</v>
      </c>
      <c r="I28" s="54">
        <f>IF(OR(I27="",$AP$4=0),"",I27/$AP$4)</f>
        <v>0.875</v>
      </c>
      <c r="J28" s="54">
        <f>IF(OR(J27="",$AP$4=0),"",J27/$AP$4)</f>
        <v>1</v>
      </c>
      <c r="K28" s="54">
        <f>IF(OR(K27="",$AP$4=0),"",K27/$AP$4)</f>
        <v>0.5</v>
      </c>
      <c r="L28" s="54">
        <f>IF(OR(L27="",$AP$4=0),"",L27/$AP$4)</f>
        <v>0.625</v>
      </c>
      <c r="M28" s="54">
        <f>IF(OR(M27="",$AP$4=0),"",M27/$AP$4)</f>
        <v>0.875</v>
      </c>
      <c r="N28" s="54">
        <f>IF(OR(N27="",$AP$4=0),"",N27/$AP$4)</f>
        <v>0.75</v>
      </c>
      <c r="O28" s="54">
        <f>IF(OR(O27="",$AP$4=0),"",O27/$AP$4)</f>
        <v>0.875</v>
      </c>
      <c r="P28" s="54">
        <f>IF(OR(P27="",$AP$4=0),"",P27/$AP$4)</f>
        <v>1</v>
      </c>
      <c r="Q28" s="54">
        <f>IF(OR(Q27="",$AP$4=0),"",Q27/$AP$4)</f>
        <v>0.875</v>
      </c>
      <c r="R28" s="54">
        <f>IF(OR(R27="",$AP$4=0),"",R27/$AP$4)</f>
        <v>0.625</v>
      </c>
      <c r="S28" s="54">
        <f>IF(OR(S27="",$AP$4=0),"",S27/$AP$4)</f>
        <v>0.75</v>
      </c>
      <c r="T28" s="54">
        <f>IF(OR(T27="",$AP$4=0),"",T27/$AP$4)</f>
        <v>0.75</v>
      </c>
      <c r="U28" s="54">
        <f>IF(OR(U27="",$AP$4=0),"",U27/$AP$4)</f>
        <v>0.625</v>
      </c>
      <c r="V28" s="54">
        <f>IF(OR(V27="",$AP$4=0),"",V27/$AP$4)</f>
        <v>0.625</v>
      </c>
      <c r="W28" s="54">
        <f>IF(OR(W27="",$AP$4=0),"",W27/$AP$4)</f>
        <v>0.625</v>
      </c>
      <c r="X28" s="54">
        <f>IF(OR(X27="",$AP$4=0),"",X27/$AP$4)</f>
        <v>0.875</v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0.825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>
        <v>8.5</v>
      </c>
      <c r="F30" s="56">
        <v>7</v>
      </c>
      <c r="G30" s="56">
        <v>5.5</v>
      </c>
      <c r="H30" s="56">
        <v>7.5</v>
      </c>
      <c r="I30" s="56">
        <v>8</v>
      </c>
      <c r="J30" s="56">
        <v>7</v>
      </c>
      <c r="K30" s="56">
        <v>5.5</v>
      </c>
      <c r="L30" s="56">
        <v>6</v>
      </c>
      <c r="M30" s="56">
        <v>7</v>
      </c>
      <c r="N30" s="56">
        <v>5.5</v>
      </c>
      <c r="O30" s="56">
        <v>7.5</v>
      </c>
      <c r="P30" s="56">
        <v>8</v>
      </c>
      <c r="Q30" s="56">
        <v>5.5</v>
      </c>
      <c r="R30" s="56">
        <v>7.5</v>
      </c>
      <c r="S30" s="56">
        <v>7.5</v>
      </c>
      <c r="T30" s="56">
        <v>7</v>
      </c>
      <c r="U30" s="56">
        <v>7.5</v>
      </c>
      <c r="V30" s="56">
        <v>5.5</v>
      </c>
      <c r="W30" s="56">
        <v>7.5</v>
      </c>
      <c r="X30" s="56">
        <v>8</v>
      </c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6</v>
      </c>
    </row>
    <row r="31" spans="2:73" ht="18" customHeight="1" x14ac:dyDescent="0.25">
      <c r="B31" s="50" t="s">
        <v>120</v>
      </c>
      <c r="C31" s="50"/>
      <c r="D31" s="50"/>
      <c r="E31" s="56">
        <v>3</v>
      </c>
      <c r="F31" s="56">
        <v>4</v>
      </c>
      <c r="G31" s="56">
        <v>3</v>
      </c>
      <c r="H31" s="56">
        <v>5</v>
      </c>
      <c r="I31" s="56">
        <v>5</v>
      </c>
      <c r="J31" s="56">
        <v>5</v>
      </c>
      <c r="K31" s="56">
        <v>3</v>
      </c>
      <c r="L31" s="56">
        <v>4</v>
      </c>
      <c r="M31" s="56">
        <v>4</v>
      </c>
      <c r="N31" s="56">
        <v>4</v>
      </c>
      <c r="O31" s="56">
        <v>5</v>
      </c>
      <c r="P31" s="56">
        <v>5</v>
      </c>
      <c r="Q31" s="56">
        <v>4</v>
      </c>
      <c r="R31" s="56">
        <v>4</v>
      </c>
      <c r="S31" s="56">
        <v>4</v>
      </c>
      <c r="T31" s="56">
        <v>4</v>
      </c>
      <c r="U31" s="56">
        <v>3</v>
      </c>
      <c r="V31" s="56">
        <v>4</v>
      </c>
      <c r="W31" s="56">
        <v>3</v>
      </c>
      <c r="X31" s="56">
        <v>5</v>
      </c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7</v>
      </c>
    </row>
    <row r="32" spans="2:73" ht="18" customHeight="1" x14ac:dyDescent="0.25">
      <c r="B32" s="50" t="s">
        <v>121</v>
      </c>
      <c r="C32" s="50"/>
      <c r="D32" s="50"/>
      <c r="E32" s="56" t="s">
        <v>142</v>
      </c>
      <c r="F32" s="56" t="s">
        <v>142</v>
      </c>
      <c r="G32" s="56" t="s">
        <v>146</v>
      </c>
      <c r="H32" s="56" t="s">
        <v>142</v>
      </c>
      <c r="I32" s="56" t="s">
        <v>143</v>
      </c>
      <c r="J32" s="56" t="s">
        <v>143</v>
      </c>
      <c r="K32" s="56" t="s">
        <v>144</v>
      </c>
      <c r="L32" s="56" t="s">
        <v>144</v>
      </c>
      <c r="M32" s="56" t="s">
        <v>143</v>
      </c>
      <c r="N32" s="56" t="s">
        <v>142</v>
      </c>
      <c r="O32" s="56" t="s">
        <v>143</v>
      </c>
      <c r="P32" s="56" t="s">
        <v>143</v>
      </c>
      <c r="Q32" s="56" t="s">
        <v>142</v>
      </c>
      <c r="R32" s="56" t="s">
        <v>144</v>
      </c>
      <c r="S32" s="56" t="s">
        <v>142</v>
      </c>
      <c r="T32" s="56" t="s">
        <v>142</v>
      </c>
      <c r="U32" s="56" t="s">
        <v>144</v>
      </c>
      <c r="V32" s="56" t="s">
        <v>144</v>
      </c>
      <c r="W32" s="56" t="s">
        <v>144</v>
      </c>
      <c r="X32" s="56" t="s">
        <v>143</v>
      </c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6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1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7 ч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4.1 из 5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🙂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79%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60%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80%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сен","")</f>
        <v>Вт 1 сен</v>
      </c>
      <c r="C51" s="63" t="str">
        <f>IF(INDEX($E$27:$AI$27,1)="","",INDEX($E$27:$AI$27,1)&amp;"/"&amp;$AP$4&amp;" ✓")</f>
        <v>6/8 ✓</v>
      </c>
      <c r="D51" s="64" t="s">
        <v>149</v>
      </c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сен","")</f>
        <v>Ср 2 сен</v>
      </c>
      <c r="C52" s="63" t="str">
        <f>IF(INDEX($E$27:$AI$27,2)="","",INDEX($E$27:$AI$27,2)&amp;"/"&amp;$AP$4&amp;" ✓")</f>
        <v>6/8 ✓</v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сен","")</f>
        <v>Чт 3 сен</v>
      </c>
      <c r="C53" s="63" t="str">
        <f>IF(INDEX($E$27:$AI$27,3)="","",INDEX($E$27:$AI$27,3)&amp;"/"&amp;$AP$4&amp;" ✓")</f>
        <v>2/8 ✓</v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сен","")</f>
        <v>Пт 4 сен</v>
      </c>
      <c r="C54" s="63" t="str">
        <f>IF(INDEX($E$27:$AI$27,4)="","",INDEX($E$27:$AI$27,4)&amp;"/"&amp;$AP$4&amp;" ✓")</f>
        <v>6/8 ✓</v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сен","")</f>
        <v>Сб 5 сен</v>
      </c>
      <c r="C55" s="63" t="str">
        <f>IF(INDEX($E$27:$AI$27,5)="","",INDEX($E$27:$AI$27,5)&amp;"/"&amp;$AP$4&amp;" ✓")</f>
        <v>7/8 ✓</v>
      </c>
      <c r="D55" s="64" t="s">
        <v>150</v>
      </c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сен","")</f>
        <v>Вс 6 сен</v>
      </c>
      <c r="C56" s="63" t="str">
        <f>IF(INDEX($E$27:$AI$27,6)="","",INDEX($E$27:$AI$27,6)&amp;"/"&amp;$AP$4&amp;" ✓")</f>
        <v>8/8 ✓</v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сен","")</f>
        <v>Пн 7 сен</v>
      </c>
      <c r="C57" s="63" t="str">
        <f>IF(INDEX($E$27:$AI$27,7)="","",INDEX($E$27:$AI$27,7)&amp;"/"&amp;$AP$4&amp;" ✓")</f>
        <v>4/8 ✓</v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сен","")</f>
        <v>Вт 8 сен</v>
      </c>
      <c r="C58" s="63" t="str">
        <f>IF(INDEX($E$27:$AI$27,8)="","",INDEX($E$27:$AI$27,8)&amp;"/"&amp;$AP$4&amp;" ✓")</f>
        <v>5/8 ✓</v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сен","")</f>
        <v>Ср 9 сен</v>
      </c>
      <c r="C59" s="63" t="str">
        <f>IF(INDEX($E$27:$AI$27,9)="","",INDEX($E$27:$AI$27,9)&amp;"/"&amp;$AP$4&amp;" ✓")</f>
        <v>7/8 ✓</v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сен","")</f>
        <v>Чт 10 сен</v>
      </c>
      <c r="C60" s="63" t="str">
        <f>IF(INDEX($E$27:$AI$27,10)="","",INDEX($E$27:$AI$27,10)&amp;"/"&amp;$AP$4&amp;" ✓")</f>
        <v>6/8 ✓</v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сен","")</f>
        <v>Пт 11 сен</v>
      </c>
      <c r="C61" s="63" t="str">
        <f>IF(INDEX($E$27:$AI$27,11)="","",INDEX($E$27:$AI$27,11)&amp;"/"&amp;$AP$4&amp;" ✓")</f>
        <v>7/8 ✓</v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сен","")</f>
        <v>Сб 12 сен</v>
      </c>
      <c r="C62" s="63" t="str">
        <f>IF(INDEX($E$27:$AI$27,12)="","",INDEX($E$27:$AI$27,12)&amp;"/"&amp;$AP$4&amp;" ✓")</f>
        <v>8/8 ✓</v>
      </c>
      <c r="D62" s="64" t="s">
        <v>151</v>
      </c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сен","")</f>
        <v>Вс 13 сен</v>
      </c>
      <c r="C63" s="63" t="str">
        <f>IF(INDEX($E$27:$AI$27,13)="","",INDEX($E$27:$AI$27,13)&amp;"/"&amp;$AP$4&amp;" ✓")</f>
        <v>7/8 ✓</v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сен","")</f>
        <v>Пн 14 сен</v>
      </c>
      <c r="C64" s="63" t="str">
        <f>IF(INDEX($E$27:$AI$27,14)="","",INDEX($E$27:$AI$27,14)&amp;"/"&amp;$AP$4&amp;" ✓")</f>
        <v>5/8 ✓</v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сен","")</f>
        <v>Вт 15 сен</v>
      </c>
      <c r="C65" s="63" t="str">
        <f>IF(INDEX($E$27:$AI$27,15)="","",INDEX($E$27:$AI$27,15)&amp;"/"&amp;$AP$4&amp;" ✓")</f>
        <v>6/8 ✓</v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сен","")</f>
        <v>Ср 16 сен</v>
      </c>
      <c r="C66" s="63" t="str">
        <f>IF(INDEX($E$27:$AI$27,16)="","",INDEX($E$27:$AI$27,16)&amp;"/"&amp;$AP$4&amp;" ✓")</f>
        <v>6/8 ✓</v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сен","")</f>
        <v>Чт 17 сен</v>
      </c>
      <c r="C67" s="63" t="str">
        <f>IF(INDEX($E$27:$AI$27,17)="","",INDEX($E$27:$AI$27,17)&amp;"/"&amp;$AP$4&amp;" ✓")</f>
        <v>5/8 ✓</v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сен","")</f>
        <v>Пт 18 сен</v>
      </c>
      <c r="C68" s="63" t="str">
        <f>IF(INDEX($E$27:$AI$27,18)="","",INDEX($E$27:$AI$27,18)&amp;"/"&amp;$AP$4&amp;" ✓")</f>
        <v>5/8 ✓</v>
      </c>
      <c r="D68" s="64" t="s">
        <v>152</v>
      </c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сен","")</f>
        <v>Сб 19 сен</v>
      </c>
      <c r="C69" s="63" t="str">
        <f>IF(INDEX($E$27:$AI$27,19)="","",INDEX($E$27:$AI$27,19)&amp;"/"&amp;$AP$4&amp;" ✓")</f>
        <v>5/8 ✓</v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сен","")</f>
        <v>Вс 20 сен</v>
      </c>
      <c r="C70" s="63" t="str">
        <f>IF(INDEX($E$27:$AI$27,20)="","",INDEX($E$27:$AI$27,20)&amp;"/"&amp;$AP$4&amp;" ✓")</f>
        <v>7/8 ✓</v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сен","")</f>
        <v>Пн 21 сен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сен","")</f>
        <v>Вт 22 сен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сен","")</f>
        <v>Ср 23 сен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сен","")</f>
        <v>Чт 24 сен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сен","")</f>
        <v>Пт 25 сен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сен","")</f>
        <v>Сб 26 сен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сен","")</f>
        <v>Вс 27 сен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сен","")</f>
        <v>Пн 28 сен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сен","")</f>
        <v>Вт 29 сен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сен","")</f>
        <v>Ср 30 сен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сен","")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{DA7ABA51-AAAA-BBBB-000B-000000000001}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B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DATE('Старт'!$D$6,10,1)</f>
        <v>46296.0</v>
      </c>
    </row>
    <row r="2" spans="2:73" ht="30" customHeight="1" x14ac:dyDescent="0.25">
      <c r="B2" s="30" t="str">
        <f>"ОКТЯБРЬ "&amp;'Старт'!$D$6</f>
        <v>ОКТЯБРЬ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153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окт")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окт")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Чт</v>
      </c>
      <c r="F10" s="42" t="str">
        <f>IF(2&lt;=$AP$2,CHOOSE(WEEKDAY($AP$1+1,2),"Пн","Вт","Ср","Чт","Пт","Сб","Вс"),"")</f>
        <v>Пт</v>
      </c>
      <c r="G10" s="42" t="str">
        <f>IF(3&lt;=$AP$2,CHOOSE(WEEKDAY($AP$1+2,2),"Пн","Вт","Ср","Чт","Пт","Сб","Вс"),"")</f>
        <v>Сб</v>
      </c>
      <c r="H10" s="42" t="str">
        <f>IF(4&lt;=$AP$2,CHOOSE(WEEKDAY($AP$1+3,2),"Пн","Вт","Ср","Чт","Пт","Сб","Вс"),"")</f>
        <v>Вс</v>
      </c>
      <c r="I10" s="42" t="str">
        <f>IF(5&lt;=$AP$2,CHOOSE(WEEKDAY($AP$1+4,2),"Пн","Вт","Ср","Чт","Пт","Сб","Вс"),"")</f>
        <v>Пн</v>
      </c>
      <c r="J10" s="42" t="str">
        <f>IF(6&lt;=$AP$2,CHOOSE(WEEKDAY($AP$1+5,2),"Пн","Вт","Ср","Чт","Пт","Сб","Вс"),"")</f>
        <v>Вт</v>
      </c>
      <c r="K10" s="42" t="str">
        <f>IF(7&lt;=$AP$2,CHOOSE(WEEKDAY($AP$1+6,2),"Пн","Вт","Ср","Чт","Пт","Сб","Вс"),"")</f>
        <v>Ср</v>
      </c>
      <c r="L10" s="42" t="str">
        <f>IF(8&lt;=$AP$2,CHOOSE(WEEKDAY($AP$1+7,2),"Пн","Вт","Ср","Чт","Пт","Сб","Вс"),"")</f>
        <v>Чт</v>
      </c>
      <c r="M10" s="42" t="str">
        <f>IF(9&lt;=$AP$2,CHOOSE(WEEKDAY($AP$1+8,2),"Пн","Вт","Ср","Чт","Пт","Сб","Вс"),"")</f>
        <v>Пт</v>
      </c>
      <c r="N10" s="42" t="str">
        <f>IF(10&lt;=$AP$2,CHOOSE(WEEKDAY($AP$1+9,2),"Пн","Вт","Ср","Чт","Пт","Сб","Вс"),"")</f>
        <v>Сб</v>
      </c>
      <c r="O10" s="42" t="str">
        <f>IF(11&lt;=$AP$2,CHOOSE(WEEKDAY($AP$1+10,2),"Пн","Вт","Ср","Чт","Пт","Сб","Вс"),"")</f>
        <v>Вс</v>
      </c>
      <c r="P10" s="42" t="str">
        <f>IF(12&lt;=$AP$2,CHOOSE(WEEKDAY($AP$1+11,2),"Пн","Вт","Ср","Чт","Пт","Сб","Вс"),"")</f>
        <v>Пн</v>
      </c>
      <c r="Q10" s="42" t="str">
        <f>IF(13&lt;=$AP$2,CHOOSE(WEEKDAY($AP$1+12,2),"Пн","Вт","Ср","Чт","Пт","Сб","Вс"),"")</f>
        <v>Вт</v>
      </c>
      <c r="R10" s="42" t="str">
        <f>IF(14&lt;=$AP$2,CHOOSE(WEEKDAY($AP$1+13,2),"Пн","Вт","Ср","Чт","Пт","Сб","Вс"),"")</f>
        <v>Ср</v>
      </c>
      <c r="S10" s="42" t="str">
        <f>IF(15&lt;=$AP$2,CHOOSE(WEEKDAY($AP$1+14,2),"Пн","Вт","Ср","Чт","Пт","Сб","Вс"),"")</f>
        <v>Чт</v>
      </c>
      <c r="T10" s="42" t="str">
        <f>IF(16&lt;=$AP$2,CHOOSE(WEEKDAY($AP$1+15,2),"Пн","Вт","Ср","Чт","Пт","Сб","Вс"),"")</f>
        <v>Пт</v>
      </c>
      <c r="U10" s="42" t="str">
        <f>IF(17&lt;=$AP$2,CHOOSE(WEEKDAY($AP$1+16,2),"Пн","Вт","Ср","Чт","Пт","Сб","Вс"),"")</f>
        <v>Сб</v>
      </c>
      <c r="V10" s="42" t="str">
        <f>IF(18&lt;=$AP$2,CHOOSE(WEEKDAY($AP$1+17,2),"Пн","Вт","Ср","Чт","Пт","Сб","Вс"),"")</f>
        <v>Вс</v>
      </c>
      <c r="W10" s="42" t="str">
        <f>IF(19&lt;=$AP$2,CHOOSE(WEEKDAY($AP$1+18,2),"Пн","Вт","Ср","Чт","Пт","Сб","Вс"),"")</f>
        <v>Пн</v>
      </c>
      <c r="X10" s="42" t="str">
        <f>IF(20&lt;=$AP$2,CHOOSE(WEEKDAY($AP$1+19,2),"Пн","Вт","Ср","Чт","Пт","Сб","Вс"),"")</f>
        <v>Вт</v>
      </c>
      <c r="Y10" s="42" t="str">
        <f>IF(21&lt;=$AP$2,CHOOSE(WEEKDAY($AP$1+20,2),"Пн","Вт","Ср","Чт","Пт","Сб","Вс"),"")</f>
        <v>Ср</v>
      </c>
      <c r="Z10" s="42" t="str">
        <f>IF(22&lt;=$AP$2,CHOOSE(WEEKDAY($AP$1+21,2),"Пн","Вт","Ср","Чт","Пт","Сб","Вс"),"")</f>
        <v>Чт</v>
      </c>
      <c r="AA10" s="42" t="str">
        <f>IF(23&lt;=$AP$2,CHOOSE(WEEKDAY($AP$1+22,2),"Пн","Вт","Ср","Чт","Пт","Сб","Вс"),"")</f>
        <v>Пт</v>
      </c>
      <c r="AB10" s="42" t="str">
        <f>IF(24&lt;=$AP$2,CHOOSE(WEEKDAY($AP$1+23,2),"Пн","Вт","Ср","Чт","Пт","Сб","Вс"),"")</f>
        <v>Сб</v>
      </c>
      <c r="AC10" s="42" t="str">
        <f>IF(25&lt;=$AP$2,CHOOSE(WEEKDAY($AP$1+24,2),"Пн","Вт","Ср","Чт","Пт","Сб","Вс"),"")</f>
        <v>Вс</v>
      </c>
      <c r="AD10" s="42" t="str">
        <f>IF(26&lt;=$AP$2,CHOOSE(WEEKDAY($AP$1+25,2),"Пн","Вт","Ср","Чт","Пт","Сб","Вс"),"")</f>
        <v>Пн</v>
      </c>
      <c r="AE10" s="42" t="str">
        <f>IF(27&lt;=$AP$2,CHOOSE(WEEKDAY($AP$1+26,2),"Пн","Вт","Ср","Чт","Пт","Сб","Вс"),"")</f>
        <v>Вт</v>
      </c>
      <c r="AF10" s="42" t="str">
        <f>IF(28&lt;=$AP$2,CHOOSE(WEEKDAY($AP$1+27,2),"Пн","Вт","Ср","Чт","Пт","Сб","Вс"),"")</f>
        <v>Ср</v>
      </c>
      <c r="AG10" s="42" t="str">
        <f>IF(29&lt;=$AP$2,CHOOSE(WEEKDAY($AP$1+28,2),"Пн","Вт","Ср","Чт","Пт","Сб","Вс"),"")</f>
        <v>Чт</v>
      </c>
      <c r="AH10" s="42" t="str">
        <f>IF(30&lt;=$AP$2,CHOOSE(WEEKDAY($AP$1+29,2),"Пн","Вт","Ср","Чт","Пт","Сб","Вс"),"")</f>
        <v>Пт</v>
      </c>
      <c r="AI10" s="42" t="str">
        <f>IF(31&lt;=$AP$2,CHOOSE(WEEKDAY($AP$1+30,2),"Пн","Вт","Ср","Чт","Пт","Сб","Вс"),"")</f>
        <v>Сб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окт","")</f>
        <v>Чт 1 окт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окт","")</f>
        <v>Пт 2 окт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окт","")</f>
        <v>Сб 3 окт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окт","")</f>
        <v>Вс 4 окт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окт","")</f>
        <v>Пн 5 окт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окт","")</f>
        <v>Вт 6 окт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окт","")</f>
        <v>Ср 7 окт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окт","")</f>
        <v>Чт 8 окт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окт","")</f>
        <v>Пт 9 окт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окт","")</f>
        <v>Сб 10 окт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окт","")</f>
        <v>Вс 11 окт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окт","")</f>
        <v>Пн 12 окт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окт","")</f>
        <v>Вт 13 окт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окт","")</f>
        <v>Ср 14 окт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окт","")</f>
        <v>Чт 15 окт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окт","")</f>
        <v>Пт 16 окт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окт","")</f>
        <v>Сб 17 окт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окт","")</f>
        <v>Вс 18 окт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окт","")</f>
        <v>Пн 19 окт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окт","")</f>
        <v>Вт 20 окт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окт","")</f>
        <v>Ср 21 окт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окт","")</f>
        <v>Чт 22 окт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окт","")</f>
        <v>Пт 23 окт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окт","")</f>
        <v>Сб 24 окт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окт","")</f>
        <v>Вс 25 окт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окт","")</f>
        <v>Пн 26 окт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окт","")</f>
        <v>Вт 27 окт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окт","")</f>
        <v>Ср 28 окт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окт","")</f>
        <v>Чт 29 окт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окт","")</f>
        <v>Пт 30 окт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окт","")</f>
        <v>Сб 31 окт</v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{DA7ABA51-AAAA-BBBB-000C-000000000001}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C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DATE('Старт'!$D$6,11,1)</f>
        <v>46327.0</v>
      </c>
    </row>
    <row r="2" spans="2:73" ht="30" customHeight="1" x14ac:dyDescent="0.25">
      <c r="B2" s="30" t="str">
        <f>"НОЯБРЬ "&amp;'Старт'!$D$6</f>
        <v>НОЯБРЬ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30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154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ноя")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ноя")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Вс</v>
      </c>
      <c r="F10" s="42" t="str">
        <f>IF(2&lt;=$AP$2,CHOOSE(WEEKDAY($AP$1+1,2),"Пн","Вт","Ср","Чт","Пт","Сб","Вс"),"")</f>
        <v>Пн</v>
      </c>
      <c r="G10" s="42" t="str">
        <f>IF(3&lt;=$AP$2,CHOOSE(WEEKDAY($AP$1+2,2),"Пн","Вт","Ср","Чт","Пт","Сб","Вс"),"")</f>
        <v>Вт</v>
      </c>
      <c r="H10" s="42" t="str">
        <f>IF(4&lt;=$AP$2,CHOOSE(WEEKDAY($AP$1+3,2),"Пн","Вт","Ср","Чт","Пт","Сб","Вс"),"")</f>
        <v>Ср</v>
      </c>
      <c r="I10" s="42" t="str">
        <f>IF(5&lt;=$AP$2,CHOOSE(WEEKDAY($AP$1+4,2),"Пн","Вт","Ср","Чт","Пт","Сб","Вс"),"")</f>
        <v>Чт</v>
      </c>
      <c r="J10" s="42" t="str">
        <f>IF(6&lt;=$AP$2,CHOOSE(WEEKDAY($AP$1+5,2),"Пн","Вт","Ср","Чт","Пт","Сб","Вс"),"")</f>
        <v>Пт</v>
      </c>
      <c r="K10" s="42" t="str">
        <f>IF(7&lt;=$AP$2,CHOOSE(WEEKDAY($AP$1+6,2),"Пн","Вт","Ср","Чт","Пт","Сб","Вс"),"")</f>
        <v>Сб</v>
      </c>
      <c r="L10" s="42" t="str">
        <f>IF(8&lt;=$AP$2,CHOOSE(WEEKDAY($AP$1+7,2),"Пн","Вт","Ср","Чт","Пт","Сб","Вс"),"")</f>
        <v>Вс</v>
      </c>
      <c r="M10" s="42" t="str">
        <f>IF(9&lt;=$AP$2,CHOOSE(WEEKDAY($AP$1+8,2),"Пн","Вт","Ср","Чт","Пт","Сб","Вс"),"")</f>
        <v>Пн</v>
      </c>
      <c r="N10" s="42" t="str">
        <f>IF(10&lt;=$AP$2,CHOOSE(WEEKDAY($AP$1+9,2),"Пн","Вт","Ср","Чт","Пт","Сб","Вс"),"")</f>
        <v>Вт</v>
      </c>
      <c r="O10" s="42" t="str">
        <f>IF(11&lt;=$AP$2,CHOOSE(WEEKDAY($AP$1+10,2),"Пн","Вт","Ср","Чт","Пт","Сб","Вс"),"")</f>
        <v>Ср</v>
      </c>
      <c r="P10" s="42" t="str">
        <f>IF(12&lt;=$AP$2,CHOOSE(WEEKDAY($AP$1+11,2),"Пн","Вт","Ср","Чт","Пт","Сб","Вс"),"")</f>
        <v>Чт</v>
      </c>
      <c r="Q10" s="42" t="str">
        <f>IF(13&lt;=$AP$2,CHOOSE(WEEKDAY($AP$1+12,2),"Пн","Вт","Ср","Чт","Пт","Сб","Вс"),"")</f>
        <v>Пт</v>
      </c>
      <c r="R10" s="42" t="str">
        <f>IF(14&lt;=$AP$2,CHOOSE(WEEKDAY($AP$1+13,2),"Пн","Вт","Ср","Чт","Пт","Сб","Вс"),"")</f>
        <v>Сб</v>
      </c>
      <c r="S10" s="42" t="str">
        <f>IF(15&lt;=$AP$2,CHOOSE(WEEKDAY($AP$1+14,2),"Пн","Вт","Ср","Чт","Пт","Сб","Вс"),"")</f>
        <v>Вс</v>
      </c>
      <c r="T10" s="42" t="str">
        <f>IF(16&lt;=$AP$2,CHOOSE(WEEKDAY($AP$1+15,2),"Пн","Вт","Ср","Чт","Пт","Сб","Вс"),"")</f>
        <v>Пн</v>
      </c>
      <c r="U10" s="42" t="str">
        <f>IF(17&lt;=$AP$2,CHOOSE(WEEKDAY($AP$1+16,2),"Пн","Вт","Ср","Чт","Пт","Сб","Вс"),"")</f>
        <v>Вт</v>
      </c>
      <c r="V10" s="42" t="str">
        <f>IF(18&lt;=$AP$2,CHOOSE(WEEKDAY($AP$1+17,2),"Пн","Вт","Ср","Чт","Пт","Сб","Вс"),"")</f>
        <v>Ср</v>
      </c>
      <c r="W10" s="42" t="str">
        <f>IF(19&lt;=$AP$2,CHOOSE(WEEKDAY($AP$1+18,2),"Пн","Вт","Ср","Чт","Пт","Сб","Вс"),"")</f>
        <v>Чт</v>
      </c>
      <c r="X10" s="42" t="str">
        <f>IF(20&lt;=$AP$2,CHOOSE(WEEKDAY($AP$1+19,2),"Пн","Вт","Ср","Чт","Пт","Сб","Вс"),"")</f>
        <v>Пт</v>
      </c>
      <c r="Y10" s="42" t="str">
        <f>IF(21&lt;=$AP$2,CHOOSE(WEEKDAY($AP$1+20,2),"Пн","Вт","Ср","Чт","Пт","Сб","Вс"),"")</f>
        <v>Сб</v>
      </c>
      <c r="Z10" s="42" t="str">
        <f>IF(22&lt;=$AP$2,CHOOSE(WEEKDAY($AP$1+21,2),"Пн","Вт","Ср","Чт","Пт","Сб","Вс"),"")</f>
        <v>Вс</v>
      </c>
      <c r="AA10" s="42" t="str">
        <f>IF(23&lt;=$AP$2,CHOOSE(WEEKDAY($AP$1+22,2),"Пн","Вт","Ср","Чт","Пт","Сб","Вс"),"")</f>
        <v>Пн</v>
      </c>
      <c r="AB10" s="42" t="str">
        <f>IF(24&lt;=$AP$2,CHOOSE(WEEKDAY($AP$1+23,2),"Пн","Вт","Ср","Чт","Пт","Сб","Вс"),"")</f>
        <v>Вт</v>
      </c>
      <c r="AC10" s="42" t="str">
        <f>IF(25&lt;=$AP$2,CHOOSE(WEEKDAY($AP$1+24,2),"Пн","Вт","Ср","Чт","Пт","Сб","Вс"),"")</f>
        <v>Ср</v>
      </c>
      <c r="AD10" s="42" t="str">
        <f>IF(26&lt;=$AP$2,CHOOSE(WEEKDAY($AP$1+25,2),"Пн","Вт","Ср","Чт","Пт","Сб","Вс"),"")</f>
        <v>Чт</v>
      </c>
      <c r="AE10" s="42" t="str">
        <f>IF(27&lt;=$AP$2,CHOOSE(WEEKDAY($AP$1+26,2),"Пн","Вт","Ср","Чт","Пт","Сб","Вс"),"")</f>
        <v>Пт</v>
      </c>
      <c r="AF10" s="42" t="str">
        <f>IF(28&lt;=$AP$2,CHOOSE(WEEKDAY($AP$1+27,2),"Пн","Вт","Ср","Чт","Пт","Сб","Вс"),"")</f>
        <v>Сб</v>
      </c>
      <c r="AG10" s="42" t="str">
        <f>IF(29&lt;=$AP$2,CHOOSE(WEEKDAY($AP$1+28,2),"Пн","Вт","Ср","Чт","Пт","Сб","Вс"),"")</f>
        <v>Вс</v>
      </c>
      <c r="AH10" s="42" t="str">
        <f>IF(30&lt;=$AP$2,CHOOSE(WEEKDAY($AP$1+29,2),"Пн","Вт","Ср","Чт","Пт","Сб","Вс"),"")</f>
        <v>Пн</v>
      </c>
      <c r="AI10" s="42">
        <f>IF(31&lt;=$AP$2,CHOOSE(WEEKDAY($AP$1+30,2),"Пн","Вт","Ср","Чт","Пт","Сб","Вс"),"")</f>
        <v/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/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65"/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65"/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65"/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65"/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65"/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65"/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65"/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65"/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65"/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65"/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65"/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65"/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65"/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65"/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65"/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ноя","")</f>
        <v>Вс 1 ноя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ноя","")</f>
        <v>Пн 2 ноя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ноя","")</f>
        <v>Вт 3 ноя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ноя","")</f>
        <v>Ср 4 ноя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ноя","")</f>
        <v>Чт 5 ноя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ноя","")</f>
        <v>Пт 6 ноя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ноя","")</f>
        <v>Сб 7 ноя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ноя","")</f>
        <v>Вс 8 ноя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ноя","")</f>
        <v>Пн 9 ноя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ноя","")</f>
        <v>Вт 10 ноя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ноя","")</f>
        <v>Ср 11 ноя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ноя","")</f>
        <v>Чт 12 ноя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ноя","")</f>
        <v>Пт 13 ноя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ноя","")</f>
        <v>Сб 14 ноя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ноя","")</f>
        <v>Вс 15 ноя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ноя","")</f>
        <v>Пн 16 ноя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ноя","")</f>
        <v>Вт 17 ноя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ноя","")</f>
        <v>Ср 18 ноя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ноя","")</f>
        <v>Чт 19 ноя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ноя","")</f>
        <v>Пт 20 ноя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ноя","")</f>
        <v>Сб 21 ноя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ноя","")</f>
        <v>Вс 22 ноя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ноя","")</f>
        <v>Пн 23 ноя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ноя","")</f>
        <v>Вт 24 ноя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ноя","")</f>
        <v>Ср 25 ноя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ноя","")</f>
        <v>Чт 26 ноя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ноя","")</f>
        <v>Пт 27 ноя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ноя","")</f>
        <v>Сб 28 ноя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ноя","")</f>
        <v>Вс 29 ноя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ноя","")</f>
        <v>Пн 30 ноя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>
        <f>IF(31&lt;=$AP$2,CHOOSE(WEEKDAY($AP$1+30,2),"Пн","Вт","Ср","Чт","Пт","Сб","Вс")&amp;" 31 ноя","")</f>
        <v/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{DA7ABA51-AAAA-BBBB-000D-000000000001}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D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8BDF8"/>
    <pageSetUpPr fitToPage="1"/>
  </sheetPr>
  <dimension ref="A1:XFD81"/>
  <sheetViews>
    <sheetView showGridLines="0" zoomScale="90" zoomScaleNormal="90" workbookViewId="0">
      <pane xSplit="4" topLeftCell="E1" activePane="topRight" state="frozen"/>
      <selection pane="topRight"/>
    </sheetView>
  </sheetViews>
  <sheetFormatPr defaultRowHeight="15" x14ac:dyDescent="0.25"/>
  <cols>
    <col min="1" max="1" width="2.28515625" style="1" customWidth="1"/>
    <col min="2" max="2" width="12.7109375" style="1" customWidth="1"/>
    <col min="3" max="3" width="26.7109375" style="1" customWidth="1"/>
    <col min="4" max="4" width="7.28515625" style="1" customWidth="1"/>
    <col min="5" max="35" width="4.28515625" style="1" customWidth="1"/>
    <col min="36" max="36" width="2.28515625" style="1" customWidth="1"/>
    <col min="37" max="37" width="9.28515625" style="1" customWidth="1"/>
    <col min="38" max="38" width="10.7109375" style="1" customWidth="1"/>
    <col min="39" max="40" width="8.28515625" style="1" customWidth="1"/>
    <col min="41" max="41" width="2.28515625" style="1" customWidth="1"/>
    <col min="42" max="73" width="4.7109375" style="29" hidden="1" customWidth="1"/>
    <col min="74" max="16384" width="9.140625" style="1"/>
  </cols>
  <sheetData>
    <row r="1" spans="2:73" ht="6" customHeight="1" x14ac:dyDescent="0.25">
      <c r="AP1" s="29">
        <f>DATE('Старт'!$D$6,12,1)</f>
        <v>46357.0</v>
      </c>
    </row>
    <row r="2" spans="2:73" ht="30" customHeight="1" x14ac:dyDescent="0.25">
      <c r="B2" s="30" t="str">
        <f>"ДЕКАБРЬ "&amp;'Старт'!$D$6</f>
        <v>ДЕКАБРЬ 2026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1" t="s">
        <v>0</v>
      </c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P2" s="29">
        <f>DAY(EOMONTH($AP$1,0))</f>
        <v>31</v>
      </c>
    </row>
    <row r="3" spans="2:73" ht="16" customHeight="1" x14ac:dyDescent="0.25">
      <c r="B3" s="32" t="s">
        <v>103</v>
      </c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 t="s">
        <v>155</v>
      </c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P3" s="29">
        <f>IF(TODAY()&lt;$AP$1,0,IF(TODAY()&gt;EOMONTH($AP$1,0),$AP$2,DAY(TODAY())))</f>
        <v>0</v>
      </c>
    </row>
    <row r="4" spans="2:73" ht="8" customHeight="1" x14ac:dyDescent="0.25">
      <c r="AP4" s="29">
        <f>SUMPRODUCT(--($C$12:$C$26&lt;&gt;""))</f>
        <v>8</v>
      </c>
    </row>
    <row r="5" spans="2:73" ht="14" customHeight="1" x14ac:dyDescent="0.25">
      <c r="B5" s="14" t="s">
        <v>105</v>
      </c>
      <c r="C5" s="14"/>
      <c r="D5" s="14"/>
      <c r="E5" s="14" t="s">
        <v>63</v>
      </c>
      <c r="F5" s="14"/>
      <c r="G5" s="14"/>
      <c r="H5" s="14"/>
      <c r="I5" s="14"/>
      <c r="J5" s="14"/>
      <c r="K5" s="14"/>
      <c r="L5" s="14" t="s">
        <v>106</v>
      </c>
      <c r="M5" s="14"/>
      <c r="N5" s="14"/>
      <c r="O5" s="14"/>
      <c r="P5" s="14"/>
      <c r="Q5" s="14"/>
      <c r="R5" s="14"/>
      <c r="S5" s="14" t="s">
        <v>107</v>
      </c>
      <c r="T5" s="14"/>
      <c r="U5" s="14"/>
      <c r="V5" s="14"/>
      <c r="W5" s="14"/>
      <c r="X5" s="14"/>
      <c r="Y5" s="14"/>
      <c r="Z5" s="14" t="s">
        <v>108</v>
      </c>
      <c r="AA5" s="14"/>
      <c r="AB5" s="14"/>
      <c r="AC5" s="14"/>
      <c r="AD5" s="14"/>
      <c r="AE5" s="14"/>
      <c r="AF5" s="14"/>
      <c r="AG5" s="14" t="s">
        <v>109</v>
      </c>
      <c r="AH5" s="14"/>
      <c r="AI5" s="14"/>
      <c r="AJ5" s="14"/>
      <c r="AK5" s="14"/>
      <c r="AL5" s="14"/>
      <c r="AM5" s="14"/>
      <c r="AN5" s="14"/>
      <c r="AP5" s="29">
        <f>ROUND(SUM($AP$12:$AP$26),0)</f>
        <v>0</v>
      </c>
    </row>
    <row r="6" spans="2:73" ht="28" customHeight="1" x14ac:dyDescent="0.25">
      <c r="B6" s="15">
        <f>$AP$7</f>
        <v>0</v>
      </c>
      <c r="C6" s="15"/>
      <c r="D6" s="15"/>
      <c r="E6" s="16">
        <f>$AP$9</f>
        <v>0</v>
      </c>
      <c r="F6" s="16"/>
      <c r="G6" s="16"/>
      <c r="H6" s="16"/>
      <c r="I6" s="16"/>
      <c r="J6" s="16"/>
      <c r="K6" s="16"/>
      <c r="L6" s="17">
        <f>IFERROR(MAX($AN$12:$AN$26),0)</f>
        <v>0</v>
      </c>
      <c r="M6" s="17"/>
      <c r="N6" s="17"/>
      <c r="O6" s="17"/>
      <c r="P6" s="17"/>
      <c r="Q6" s="17"/>
      <c r="R6" s="17"/>
      <c r="S6" s="34" t="str">
        <f>IF($AP$3*$AP$4*$AP$6=0,"—",INDEX($E$11:$AI$11,MATCH(MAX($E$28:$AI$28),$E$28:$AI$28,0))&amp;" дек")</f>
        <v>—</v>
      </c>
      <c r="T6" s="34"/>
      <c r="U6" s="34"/>
      <c r="V6" s="34"/>
      <c r="W6" s="34"/>
      <c r="X6" s="34"/>
      <c r="Y6" s="34"/>
      <c r="Z6" s="34" t="str">
        <f>IF($AP$3*$AP$4*$AP$6=0,"—",INDEX($E$11:$AI$11,MATCH(MIN($E$28:$AI$28),$E$28:$AI$28,0))&amp;" дек")</f>
        <v>—</v>
      </c>
      <c r="AA6" s="34"/>
      <c r="AB6" s="34"/>
      <c r="AC6" s="34"/>
      <c r="AD6" s="34"/>
      <c r="AE6" s="34"/>
      <c r="AF6" s="34"/>
      <c r="AG6" s="34" t="str">
        <f>IF($AP$3*$AP$4*$AP$6=0,"—",INDEX($C$12:$C$26,MATCH(MAX($AL$12:$AL$26),$AL$12:$AL$26,0)))</f>
        <v>—</v>
      </c>
      <c r="AH6" s="34"/>
      <c r="AI6" s="34"/>
      <c r="AJ6" s="34"/>
      <c r="AK6" s="34"/>
      <c r="AL6" s="34"/>
      <c r="AM6" s="34"/>
      <c r="AN6" s="34"/>
      <c r="AP6" s="29">
        <f>SUM($AK$12:$AK$26)</f>
        <v>0</v>
      </c>
    </row>
    <row r="7" spans="2:73" ht="14" customHeight="1" x14ac:dyDescent="0.25">
      <c r="B7" s="18" t="str">
        <f>IF($AP$3=0,"месяц ещё не начался",$AP$6&amp;" из "&amp;$AP$5&amp;" отметок · день "&amp;$AP$3&amp;" из "&amp;$AP$2)</f>
        <v>месяц ещё не начался</v>
      </c>
      <c r="C7" s="18"/>
      <c r="D7" s="18"/>
      <c r="E7" s="18" t="str">
        <f>IF($AP$3=0,"—","из "&amp;$AP$3&amp;" прошедших · все привычки ✓")</f>
        <v>—</v>
      </c>
      <c r="F7" s="18"/>
      <c r="G7" s="18"/>
      <c r="H7" s="18"/>
      <c r="I7" s="18"/>
      <c r="J7" s="18"/>
      <c r="K7" s="18"/>
      <c r="L7" s="18" t="str">
        <f>IF(IFERROR(MAX($AN$12:$AN$26),0)=0,"серий пока нет",INDEX($C$12:$C$26,MATCH(MAX($AN$12:$AN$26),$AN$12:$AN$26,0)))</f>
        <v>серий пока нет</v>
      </c>
      <c r="M7" s="18"/>
      <c r="N7" s="18"/>
      <c r="O7" s="18"/>
      <c r="P7" s="18"/>
      <c r="Q7" s="18"/>
      <c r="R7" s="18"/>
      <c r="S7" s="18">
        <f>IF($AP$3*$AP$4*$AP$6=0,"",ROUND(MAX($E$28:$AI$28)*100,0)&amp;"% привычек выполнено")</f>
        <v/>
      </c>
      <c r="T7" s="18"/>
      <c r="U7" s="18"/>
      <c r="V7" s="18"/>
      <c r="W7" s="18"/>
      <c r="X7" s="18"/>
      <c r="Y7" s="18"/>
      <c r="Z7" s="18">
        <f>IF($AP$3*$AP$4*$AP$6=0,"",ROUND(MIN($E$28:$AI$28)*100,0)&amp;"% привычек выполнено")</f>
        <v/>
      </c>
      <c r="AA7" s="18"/>
      <c r="AB7" s="18"/>
      <c r="AC7" s="18"/>
      <c r="AD7" s="18"/>
      <c r="AE7" s="18"/>
      <c r="AF7" s="18"/>
      <c r="AG7" s="18">
        <f>IF($AP$3*$AP$4*$AP$6=0,"","Подтянуть: "&amp;INDEX($C$12:$C$26,MATCH(MIN($AL$12:$AL$26),$AL$12:$AL$26,0)))</f>
        <v/>
      </c>
      <c r="AH7" s="18"/>
      <c r="AI7" s="18"/>
      <c r="AJ7" s="18"/>
      <c r="AK7" s="18"/>
      <c r="AL7" s="18"/>
      <c r="AM7" s="18"/>
      <c r="AN7" s="18"/>
      <c r="AP7" s="35">
        <f>IFERROR(AVERAGE($AL$12:$AL$26),0)</f>
        <v>0</v>
      </c>
    </row>
    <row r="8" spans="2:73" ht="8" customHeight="1" x14ac:dyDescent="0.25">
      <c r="AP8" s="29">
        <f>1-$AP$7</f>
        <v>1</v>
      </c>
    </row>
    <row r="9" spans="2:73" ht="18" customHeight="1" x14ac:dyDescent="0.25">
      <c r="B9" s="26" t="s">
        <v>9</v>
      </c>
      <c r="C9" s="26"/>
      <c r="D9" s="26"/>
      <c r="E9" s="36" t="str">
        <f>IF(1&gt;$AP$2,"",IF(($AP$4*MAX(0,MIN($AP$3,7)-1+1))=0,"НЕДЕЛЯ 1","НЕДЕЛЯ 1 · "&amp;SUM($E$27:$K$27)&amp;"/"&amp;($AP$4*MAX(0,MIN($AP$3,7)-1+1))&amp;" · "&amp;ROUND(SUM($E$27:$K$27)/($AP$4*MAX(0,MIN($AP$3,7)-1+1))*100,0)&amp;"%"))</f>
        <v>НЕДЕЛЯ 1</v>
      </c>
      <c r="F9" s="36"/>
      <c r="G9" s="36"/>
      <c r="H9" s="36"/>
      <c r="I9" s="36"/>
      <c r="J9" s="36"/>
      <c r="K9" s="36"/>
      <c r="L9" s="37" t="str">
        <f>IF(8&gt;$AP$2,"",IF(($AP$4*MAX(0,MIN($AP$3,14)-8+1))=0,"НЕДЕЛЯ 2","НЕДЕЛЯ 2 · "&amp;SUM($L$27:$R$27)&amp;"/"&amp;($AP$4*MAX(0,MIN($AP$3,14)-8+1))&amp;" · "&amp;ROUND(SUM($L$27:$R$27)/($AP$4*MAX(0,MIN($AP$3,14)-8+1))*100,0)&amp;"%"))</f>
        <v>НЕДЕЛЯ 2</v>
      </c>
      <c r="M9" s="37"/>
      <c r="N9" s="37"/>
      <c r="O9" s="37"/>
      <c r="P9" s="37"/>
      <c r="Q9" s="37"/>
      <c r="R9" s="37"/>
      <c r="S9" s="38" t="str">
        <f>IF(15&gt;$AP$2,"",IF(($AP$4*MAX(0,MIN($AP$3,21)-15+1))=0,"НЕДЕЛЯ 3","НЕДЕЛЯ 3 · "&amp;SUM($S$27:$Y$27)&amp;"/"&amp;($AP$4*MAX(0,MIN($AP$3,21)-15+1))&amp;" · "&amp;ROUND(SUM($S$27:$Y$27)/($AP$4*MAX(0,MIN($AP$3,21)-15+1))*100,0)&amp;"%"))</f>
        <v>НЕДЕЛЯ 3</v>
      </c>
      <c r="T9" s="38"/>
      <c r="U9" s="38"/>
      <c r="V9" s="38"/>
      <c r="W9" s="38"/>
      <c r="X9" s="38"/>
      <c r="Y9" s="38"/>
      <c r="Z9" s="39" t="str">
        <f>IF(22&gt;$AP$2,"",IF(($AP$4*MAX(0,MIN($AP$3,28)-22+1))=0,"НЕДЕЛЯ 4","НЕДЕЛЯ 4 · "&amp;SUM($Z$27:$AF$27)&amp;"/"&amp;($AP$4*MAX(0,MIN($AP$3,28)-22+1))&amp;" · "&amp;ROUND(SUM($Z$27:$AF$27)/($AP$4*MAX(0,MIN($AP$3,28)-22+1))*100,0)&amp;"%"))</f>
        <v>НЕДЕЛЯ 4</v>
      </c>
      <c r="AA9" s="39"/>
      <c r="AB9" s="39"/>
      <c r="AC9" s="39"/>
      <c r="AD9" s="39"/>
      <c r="AE9" s="39"/>
      <c r="AF9" s="39"/>
      <c r="AG9" s="40" t="str">
        <f>IF(29&gt;$AP$2,"",IF(($AP$4*MAX(0,MIN($AP$3,31)-29+1))=0,"НЕДЕЛЯ 5","НЕДЕЛЯ 5 · "&amp;SUM($AG$27:$AI$27)&amp;"/"&amp;($AP$4*MAX(0,MIN($AP$3,31)-29+1))&amp;" · "&amp;ROUND(SUM($AG$27:$AI$27)/($AP$4*MAX(0,MIN($AP$3,31)-29+1))*100,0)&amp;"%"))</f>
        <v>НЕДЕЛЯ 5</v>
      </c>
      <c r="AH9" s="40"/>
      <c r="AI9" s="40"/>
      <c r="AK9" s="26" t="s">
        <v>110</v>
      </c>
      <c r="AL9" s="26"/>
      <c r="AM9" s="26"/>
      <c r="AN9" s="26"/>
      <c r="AP9" s="29">
        <f>SUMPRODUCT(--($E$28:$AI$28=1))</f>
        <v>0</v>
      </c>
    </row>
    <row r="10" spans="2:73" ht="13" customHeight="1" x14ac:dyDescent="0.25">
      <c r="B10" s="19" t="s">
        <v>11</v>
      </c>
      <c r="C10" s="19" t="s">
        <v>12</v>
      </c>
      <c r="D10" s="41" t="s">
        <v>111</v>
      </c>
      <c r="E10" s="42" t="str">
        <f>IF(1&lt;=$AP$2,CHOOSE(WEEKDAY($AP$1+0,2),"Пн","Вт","Ср","Чт","Пт","Сб","Вс"),"")</f>
        <v>Вт</v>
      </c>
      <c r="F10" s="42" t="str">
        <f>IF(2&lt;=$AP$2,CHOOSE(WEEKDAY($AP$1+1,2),"Пн","Вт","Ср","Чт","Пт","Сб","Вс"),"")</f>
        <v>Ср</v>
      </c>
      <c r="G10" s="42" t="str">
        <f>IF(3&lt;=$AP$2,CHOOSE(WEEKDAY($AP$1+2,2),"Пн","Вт","Ср","Чт","Пт","Сб","Вс"),"")</f>
        <v>Чт</v>
      </c>
      <c r="H10" s="42" t="str">
        <f>IF(4&lt;=$AP$2,CHOOSE(WEEKDAY($AP$1+3,2),"Пн","Вт","Ср","Чт","Пт","Сб","Вс"),"")</f>
        <v>Пт</v>
      </c>
      <c r="I10" s="42" t="str">
        <f>IF(5&lt;=$AP$2,CHOOSE(WEEKDAY($AP$1+4,2),"Пн","Вт","Ср","Чт","Пт","Сб","Вс"),"")</f>
        <v>Сб</v>
      </c>
      <c r="J10" s="42" t="str">
        <f>IF(6&lt;=$AP$2,CHOOSE(WEEKDAY($AP$1+5,2),"Пн","Вт","Ср","Чт","Пт","Сб","Вс"),"")</f>
        <v>Вс</v>
      </c>
      <c r="K10" s="42" t="str">
        <f>IF(7&lt;=$AP$2,CHOOSE(WEEKDAY($AP$1+6,2),"Пн","Вт","Ср","Чт","Пт","Сб","Вс"),"")</f>
        <v>Пн</v>
      </c>
      <c r="L10" s="42" t="str">
        <f>IF(8&lt;=$AP$2,CHOOSE(WEEKDAY($AP$1+7,2),"Пн","Вт","Ср","Чт","Пт","Сб","Вс"),"")</f>
        <v>Вт</v>
      </c>
      <c r="M10" s="42" t="str">
        <f>IF(9&lt;=$AP$2,CHOOSE(WEEKDAY($AP$1+8,2),"Пн","Вт","Ср","Чт","Пт","Сб","Вс"),"")</f>
        <v>Ср</v>
      </c>
      <c r="N10" s="42" t="str">
        <f>IF(10&lt;=$AP$2,CHOOSE(WEEKDAY($AP$1+9,2),"Пн","Вт","Ср","Чт","Пт","Сб","Вс"),"")</f>
        <v>Чт</v>
      </c>
      <c r="O10" s="42" t="str">
        <f>IF(11&lt;=$AP$2,CHOOSE(WEEKDAY($AP$1+10,2),"Пн","Вт","Ср","Чт","Пт","Сб","Вс"),"")</f>
        <v>Пт</v>
      </c>
      <c r="P10" s="42" t="str">
        <f>IF(12&lt;=$AP$2,CHOOSE(WEEKDAY($AP$1+11,2),"Пн","Вт","Ср","Чт","Пт","Сб","Вс"),"")</f>
        <v>Сб</v>
      </c>
      <c r="Q10" s="42" t="str">
        <f>IF(13&lt;=$AP$2,CHOOSE(WEEKDAY($AP$1+12,2),"Пн","Вт","Ср","Чт","Пт","Сб","Вс"),"")</f>
        <v>Вс</v>
      </c>
      <c r="R10" s="42" t="str">
        <f>IF(14&lt;=$AP$2,CHOOSE(WEEKDAY($AP$1+13,2),"Пн","Вт","Ср","Чт","Пт","Сб","Вс"),"")</f>
        <v>Пн</v>
      </c>
      <c r="S10" s="42" t="str">
        <f>IF(15&lt;=$AP$2,CHOOSE(WEEKDAY($AP$1+14,2),"Пн","Вт","Ср","Чт","Пт","Сб","Вс"),"")</f>
        <v>Вт</v>
      </c>
      <c r="T10" s="42" t="str">
        <f>IF(16&lt;=$AP$2,CHOOSE(WEEKDAY($AP$1+15,2),"Пн","Вт","Ср","Чт","Пт","Сб","Вс"),"")</f>
        <v>Ср</v>
      </c>
      <c r="U10" s="42" t="str">
        <f>IF(17&lt;=$AP$2,CHOOSE(WEEKDAY($AP$1+16,2),"Пн","Вт","Ср","Чт","Пт","Сб","Вс"),"")</f>
        <v>Чт</v>
      </c>
      <c r="V10" s="42" t="str">
        <f>IF(18&lt;=$AP$2,CHOOSE(WEEKDAY($AP$1+17,2),"Пн","Вт","Ср","Чт","Пт","Сб","Вс"),"")</f>
        <v>Пт</v>
      </c>
      <c r="W10" s="42" t="str">
        <f>IF(19&lt;=$AP$2,CHOOSE(WEEKDAY($AP$1+18,2),"Пн","Вт","Ср","Чт","Пт","Сб","Вс"),"")</f>
        <v>Сб</v>
      </c>
      <c r="X10" s="42" t="str">
        <f>IF(20&lt;=$AP$2,CHOOSE(WEEKDAY($AP$1+19,2),"Пн","Вт","Ср","Чт","Пт","Сб","Вс"),"")</f>
        <v>Вс</v>
      </c>
      <c r="Y10" s="42" t="str">
        <f>IF(21&lt;=$AP$2,CHOOSE(WEEKDAY($AP$1+20,2),"Пн","Вт","Ср","Чт","Пт","Сб","Вс"),"")</f>
        <v>Пн</v>
      </c>
      <c r="Z10" s="42" t="str">
        <f>IF(22&lt;=$AP$2,CHOOSE(WEEKDAY($AP$1+21,2),"Пн","Вт","Ср","Чт","Пт","Сб","Вс"),"")</f>
        <v>Вт</v>
      </c>
      <c r="AA10" s="42" t="str">
        <f>IF(23&lt;=$AP$2,CHOOSE(WEEKDAY($AP$1+22,2),"Пн","Вт","Ср","Чт","Пт","Сб","Вс"),"")</f>
        <v>Ср</v>
      </c>
      <c r="AB10" s="42" t="str">
        <f>IF(24&lt;=$AP$2,CHOOSE(WEEKDAY($AP$1+23,2),"Пн","Вт","Ср","Чт","Пт","Сб","Вс"),"")</f>
        <v>Чт</v>
      </c>
      <c r="AC10" s="42" t="str">
        <f>IF(25&lt;=$AP$2,CHOOSE(WEEKDAY($AP$1+24,2),"Пн","Вт","Ср","Чт","Пт","Сб","Вс"),"")</f>
        <v>Пт</v>
      </c>
      <c r="AD10" s="42" t="str">
        <f>IF(26&lt;=$AP$2,CHOOSE(WEEKDAY($AP$1+25,2),"Пн","Вт","Ср","Чт","Пт","Сб","Вс"),"")</f>
        <v>Сб</v>
      </c>
      <c r="AE10" s="42" t="str">
        <f>IF(27&lt;=$AP$2,CHOOSE(WEEKDAY($AP$1+26,2),"Пн","Вт","Ср","Чт","Пт","Сб","Вс"),"")</f>
        <v>Вс</v>
      </c>
      <c r="AF10" s="42" t="str">
        <f>IF(28&lt;=$AP$2,CHOOSE(WEEKDAY($AP$1+27,2),"Пн","Вт","Ср","Чт","Пт","Сб","Вс"),"")</f>
        <v>Пн</v>
      </c>
      <c r="AG10" s="42" t="str">
        <f>IF(29&lt;=$AP$2,CHOOSE(WEEKDAY($AP$1+28,2),"Пн","Вт","Ср","Чт","Пт","Сб","Вс"),"")</f>
        <v>Вт</v>
      </c>
      <c r="AH10" s="42" t="str">
        <f>IF(30&lt;=$AP$2,CHOOSE(WEEKDAY($AP$1+29,2),"Пн","Вт","Ср","Чт","Пт","Сб","Вс"),"")</f>
        <v>Ср</v>
      </c>
      <c r="AI10" s="42" t="str">
        <f>IF(31&lt;=$AP$2,CHOOSE(WEEKDAY($AP$1+30,2),"Пн","Вт","Ср","Чт","Пт","Сб","Вс"),"")</f>
        <v>Чт</v>
      </c>
      <c r="AK10" s="41" t="s">
        <v>112</v>
      </c>
      <c r="AL10" s="41" t="s">
        <v>70</v>
      </c>
      <c r="AM10" s="41" t="s">
        <v>113</v>
      </c>
      <c r="AN10" s="41" t="s">
        <v>114</v>
      </c>
    </row>
    <row r="11" spans="2:73" ht="18" customHeight="1" x14ac:dyDescent="0.25">
      <c r="B11" s="19"/>
      <c r="C11" s="19"/>
      <c r="D11" s="41"/>
      <c r="E11" s="43">
        <f>IF(1&lt;=$AP$2,1,"")</f>
        <v>1</v>
      </c>
      <c r="F11" s="43">
        <f>IF(2&lt;=$AP$2,2,"")</f>
        <v>2</v>
      </c>
      <c r="G11" s="43">
        <f>IF(3&lt;=$AP$2,3,"")</f>
        <v>3</v>
      </c>
      <c r="H11" s="43">
        <f>IF(4&lt;=$AP$2,4,"")</f>
        <v>4</v>
      </c>
      <c r="I11" s="43">
        <f>IF(5&lt;=$AP$2,5,"")</f>
        <v>5</v>
      </c>
      <c r="J11" s="43">
        <f>IF(6&lt;=$AP$2,6,"")</f>
        <v>6</v>
      </c>
      <c r="K11" s="43">
        <f>IF(7&lt;=$AP$2,7,"")</f>
        <v>7</v>
      </c>
      <c r="L11" s="43">
        <f>IF(8&lt;=$AP$2,8,"")</f>
        <v>8</v>
      </c>
      <c r="M11" s="43">
        <f>IF(9&lt;=$AP$2,9,"")</f>
        <v>9</v>
      </c>
      <c r="N11" s="43">
        <f>IF(10&lt;=$AP$2,10,"")</f>
        <v>10</v>
      </c>
      <c r="O11" s="43">
        <f>IF(11&lt;=$AP$2,11,"")</f>
        <v>11</v>
      </c>
      <c r="P11" s="43">
        <f>IF(12&lt;=$AP$2,12,"")</f>
        <v>12</v>
      </c>
      <c r="Q11" s="43">
        <f>IF(13&lt;=$AP$2,13,"")</f>
        <v>13</v>
      </c>
      <c r="R11" s="43">
        <f>IF(14&lt;=$AP$2,14,"")</f>
        <v>14</v>
      </c>
      <c r="S11" s="43">
        <f>IF(15&lt;=$AP$2,15,"")</f>
        <v>15</v>
      </c>
      <c r="T11" s="43">
        <f>IF(16&lt;=$AP$2,16,"")</f>
        <v>16</v>
      </c>
      <c r="U11" s="43">
        <f>IF(17&lt;=$AP$2,17,"")</f>
        <v>17</v>
      </c>
      <c r="V11" s="43">
        <f>IF(18&lt;=$AP$2,18,"")</f>
        <v>18</v>
      </c>
      <c r="W11" s="43">
        <f>IF(19&lt;=$AP$2,19,"")</f>
        <v>19</v>
      </c>
      <c r="X11" s="43">
        <f>IF(20&lt;=$AP$2,20,"")</f>
        <v>20</v>
      </c>
      <c r="Y11" s="43">
        <f>IF(21&lt;=$AP$2,21,"")</f>
        <v>21</v>
      </c>
      <c r="Z11" s="43">
        <f>IF(22&lt;=$AP$2,22,"")</f>
        <v>22</v>
      </c>
      <c r="AA11" s="43">
        <f>IF(23&lt;=$AP$2,23,"")</f>
        <v>23</v>
      </c>
      <c r="AB11" s="43">
        <f>IF(24&lt;=$AP$2,24,"")</f>
        <v>24</v>
      </c>
      <c r="AC11" s="43">
        <f>IF(25&lt;=$AP$2,25,"")</f>
        <v>25</v>
      </c>
      <c r="AD11" s="43">
        <f>IF(26&lt;=$AP$2,26,"")</f>
        <v>26</v>
      </c>
      <c r="AE11" s="43">
        <f>IF(27&lt;=$AP$2,27,"")</f>
        <v>27</v>
      </c>
      <c r="AF11" s="43">
        <f>IF(28&lt;=$AP$2,28,"")</f>
        <v>28</v>
      </c>
      <c r="AG11" s="43">
        <f>IF(29&lt;=$AP$2,29,"")</f>
        <v>29</v>
      </c>
      <c r="AH11" s="43">
        <f>IF(30&lt;=$AP$2,30,"")</f>
        <v>30</v>
      </c>
      <c r="AI11" s="43">
        <f>IF(31&lt;=$AP$2,31,"")</f>
        <v>31</v>
      </c>
      <c r="AK11" s="41"/>
      <c r="AL11" s="41"/>
      <c r="AM11" s="41"/>
      <c r="AN11" s="41"/>
    </row>
    <row r="12" spans="2:73" ht="20" customHeight="1" x14ac:dyDescent="0.25">
      <c r="B12" s="44" t="str">
        <f>IF('Старт'!$C$12="","",'Старт'!$C$12)</f>
        <v>Здоровье</v>
      </c>
      <c r="C12" s="20" t="str">
        <f>IF('Старт'!$D$12="","",'Старт'!$D$12)</f>
        <v>Подъём до 7:00</v>
      </c>
      <c r="D12" s="45">
        <f>IF('Старт'!$E$12="","",'Старт'!$E$12)</f>
        <v/>
      </c>
      <c r="E12" s="46" t="b">
        <v>0</v>
      </c>
      <c r="F12" s="46" t="b">
        <v>0</v>
      </c>
      <c r="G12" s="46" t="b">
        <v>0</v>
      </c>
      <c r="H12" s="46" t="b">
        <v>0</v>
      </c>
      <c r="I12" s="46" t="b">
        <v>0</v>
      </c>
      <c r="J12" s="46" t="b">
        <v>0</v>
      </c>
      <c r="K12" s="46" t="b">
        <v>0</v>
      </c>
      <c r="L12" s="46" t="b">
        <v>0</v>
      </c>
      <c r="M12" s="46" t="b">
        <v>0</v>
      </c>
      <c r="N12" s="46" t="b">
        <v>0</v>
      </c>
      <c r="O12" s="46" t="b">
        <v>0</v>
      </c>
      <c r="P12" s="46" t="b">
        <v>0</v>
      </c>
      <c r="Q12" s="46" t="b">
        <v>0</v>
      </c>
      <c r="R12" s="46" t="b">
        <v>0</v>
      </c>
      <c r="S12" s="46" t="b">
        <v>0</v>
      </c>
      <c r="T12" s="46" t="b">
        <v>0</v>
      </c>
      <c r="U12" s="46" t="b">
        <v>0</v>
      </c>
      <c r="V12" s="46" t="b">
        <v>0</v>
      </c>
      <c r="W12" s="46" t="b">
        <v>0</v>
      </c>
      <c r="X12" s="46" t="b">
        <v>0</v>
      </c>
      <c r="Y12" s="46" t="b">
        <v>0</v>
      </c>
      <c r="Z12" s="46" t="b">
        <v>0</v>
      </c>
      <c r="AA12" s="46" t="b">
        <v>0</v>
      </c>
      <c r="AB12" s="46" t="b">
        <v>0</v>
      </c>
      <c r="AC12" s="46" t="b">
        <v>0</v>
      </c>
      <c r="AD12" s="46" t="b">
        <v>0</v>
      </c>
      <c r="AE12" s="46" t="b">
        <v>0</v>
      </c>
      <c r="AF12" s="46" t="b">
        <v>0</v>
      </c>
      <c r="AG12" s="46" t="b">
        <v>0</v>
      </c>
      <c r="AH12" s="46" t="b">
        <v>0</v>
      </c>
      <c r="AI12" s="46" t="b">
        <v>0</v>
      </c>
      <c r="AK12" s="47">
        <f>IF($C12="","",SUMPRODUCT((((E12:AI12=TRUE)+(E12:AI12=1))&gt;0)*($E$11:$AI$11&lt;&gt;"")))</f>
        <v>0</v>
      </c>
      <c r="AL12" s="48">
        <f>IF($C12="","",IF($AP$3=0,0,IFERROR(MIN(1,AK12/$AP$12),0)))</f>
        <v>0</v>
      </c>
      <c r="AM12" s="49">
        <f>IF($C12="","",IF($AP$3=0,0,MAX(INDEX($AQ$12:$BU$12,$AP$3),INDEX($AQ$12:$BU$12,MAX($AP$3-1,1)))))</f>
        <v>0</v>
      </c>
      <c r="AN12" s="45">
        <f>IF($C12="","",MAX($AQ$12:$BU$12))</f>
        <v>0</v>
      </c>
      <c r="AP12" s="29">
        <f>IF($C12="",0,IFERROR(IF($D12="",$AP$2,$D12)*$AP$3/$AP$2,$AP$3))</f>
        <v>0</v>
      </c>
      <c r="AQ12" s="29">
        <f>IF(AND(1&lt;=$AP$3,OR(E12=TRUE,E12=1)),0+1,0)</f>
        <v>0</v>
      </c>
      <c r="AR12" s="29">
        <f>IF(AND(2&lt;=$AP$3,OR(F12=TRUE,F12=1)),AQ12+1,0)</f>
        <v>0</v>
      </c>
      <c r="AS12" s="29">
        <f>IF(AND(3&lt;=$AP$3,OR(G12=TRUE,G12=1)),AR12+1,0)</f>
        <v>0</v>
      </c>
      <c r="AT12" s="29">
        <f>IF(AND(4&lt;=$AP$3,OR(H12=TRUE,H12=1)),AS12+1,0)</f>
        <v>0</v>
      </c>
      <c r="AU12" s="29">
        <f>IF(AND(5&lt;=$AP$3,OR(I12=TRUE,I12=1)),AT12+1,0)</f>
        <v>0</v>
      </c>
      <c r="AV12" s="29">
        <f>IF(AND(6&lt;=$AP$3,OR(J12=TRUE,J12=1)),AU12+1,0)</f>
        <v>0</v>
      </c>
      <c r="AW12" s="29">
        <f>IF(AND(7&lt;=$AP$3,OR(K12=TRUE,K12=1)),AV12+1,0)</f>
        <v>0</v>
      </c>
      <c r="AX12" s="29">
        <f>IF(AND(8&lt;=$AP$3,OR(L12=TRUE,L12=1)),AW12+1,0)</f>
        <v>0</v>
      </c>
      <c r="AY12" s="29">
        <f>IF(AND(9&lt;=$AP$3,OR(M12=TRUE,M12=1)),AX12+1,0)</f>
        <v>0</v>
      </c>
      <c r="AZ12" s="29">
        <f>IF(AND(10&lt;=$AP$3,OR(N12=TRUE,N12=1)),AY12+1,0)</f>
        <v>0</v>
      </c>
      <c r="BA12" s="29">
        <f>IF(AND(11&lt;=$AP$3,OR(O12=TRUE,O12=1)),AZ12+1,0)</f>
        <v>0</v>
      </c>
      <c r="BB12" s="29">
        <f>IF(AND(12&lt;=$AP$3,OR(P12=TRUE,P12=1)),BA12+1,0)</f>
        <v>0</v>
      </c>
      <c r="BC12" s="29">
        <f>IF(AND(13&lt;=$AP$3,OR(Q12=TRUE,Q12=1)),BB12+1,0)</f>
        <v>0</v>
      </c>
      <c r="BD12" s="29">
        <f>IF(AND(14&lt;=$AP$3,OR(R12=TRUE,R12=1)),BC12+1,0)</f>
        <v>0</v>
      </c>
      <c r="BE12" s="29">
        <f>IF(AND(15&lt;=$AP$3,OR(S12=TRUE,S12=1)),BD12+1,0)</f>
        <v>0</v>
      </c>
      <c r="BF12" s="29">
        <f>IF(AND(16&lt;=$AP$3,OR(T12=TRUE,T12=1)),BE12+1,0)</f>
        <v>0</v>
      </c>
      <c r="BG12" s="29">
        <f>IF(AND(17&lt;=$AP$3,OR(U12=TRUE,U12=1)),BF12+1,0)</f>
        <v>0</v>
      </c>
      <c r="BH12" s="29">
        <f>IF(AND(18&lt;=$AP$3,OR(V12=TRUE,V12=1)),BG12+1,0)</f>
        <v>0</v>
      </c>
      <c r="BI12" s="29">
        <f>IF(AND(19&lt;=$AP$3,OR(W12=TRUE,W12=1)),BH12+1,0)</f>
        <v>0</v>
      </c>
      <c r="BJ12" s="29">
        <f>IF(AND(20&lt;=$AP$3,OR(X12=TRUE,X12=1)),BI12+1,0)</f>
        <v>0</v>
      </c>
      <c r="BK12" s="29">
        <f>IF(AND(21&lt;=$AP$3,OR(Y12=TRUE,Y12=1)),BJ12+1,0)</f>
        <v>0</v>
      </c>
      <c r="BL12" s="29">
        <f>IF(AND(22&lt;=$AP$3,OR(Z12=TRUE,Z12=1)),BK12+1,0)</f>
        <v>0</v>
      </c>
      <c r="BM12" s="29">
        <f>IF(AND(23&lt;=$AP$3,OR(AA12=TRUE,AA12=1)),BL12+1,0)</f>
        <v>0</v>
      </c>
      <c r="BN12" s="29">
        <f>IF(AND(24&lt;=$AP$3,OR(AB12=TRUE,AB12=1)),BM12+1,0)</f>
        <v>0</v>
      </c>
      <c r="BO12" s="29">
        <f>IF(AND(25&lt;=$AP$3,OR(AC12=TRUE,AC12=1)),BN12+1,0)</f>
        <v>0</v>
      </c>
      <c r="BP12" s="29">
        <f>IF(AND(26&lt;=$AP$3,OR(AD12=TRUE,AD12=1)),BO12+1,0)</f>
        <v>0</v>
      </c>
      <c r="BQ12" s="29">
        <f>IF(AND(27&lt;=$AP$3,OR(AE12=TRUE,AE12=1)),BP12+1,0)</f>
        <v>0</v>
      </c>
      <c r="BR12" s="29">
        <f>IF(AND(28&lt;=$AP$3,OR(AF12=TRUE,AF12=1)),BQ12+1,0)</f>
        <v>0</v>
      </c>
      <c r="BS12" s="29">
        <f>IF(AND(29&lt;=$AP$3,OR(AG12=TRUE,AG12=1)),BR12+1,0)</f>
        <v>0</v>
      </c>
      <c r="BT12" s="29">
        <f>IF(AND(30&lt;=$AP$3,OR(AH12=TRUE,AH12=1)),BS12+1,0)</f>
        <v>0</v>
      </c>
      <c r="BU12" s="29">
        <f>IF(AND(31&lt;=$AP$3,OR(AI12=TRUE,AI12=1)),BT12+1,0)</f>
        <v>0</v>
      </c>
    </row>
    <row r="13" spans="2:73" ht="20" customHeight="1" x14ac:dyDescent="0.25">
      <c r="B13" s="44" t="str">
        <f>IF('Старт'!$C$13="","",'Старт'!$C$13)</f>
        <v>Спорт</v>
      </c>
      <c r="C13" s="20" t="str">
        <f>IF('Старт'!$D$13="","",'Старт'!$D$13)</f>
        <v>Тренировка</v>
      </c>
      <c r="D13" s="45">
        <f>IF('Старт'!$E$13="","",'Старт'!$E$13)</f>
        <v>12</v>
      </c>
      <c r="E13" s="46" t="b">
        <v>0</v>
      </c>
      <c r="F13" s="46" t="b">
        <v>0</v>
      </c>
      <c r="G13" s="46" t="b">
        <v>0</v>
      </c>
      <c r="H13" s="46" t="b">
        <v>0</v>
      </c>
      <c r="I13" s="46" t="b">
        <v>0</v>
      </c>
      <c r="J13" s="46" t="b">
        <v>0</v>
      </c>
      <c r="K13" s="46" t="b">
        <v>0</v>
      </c>
      <c r="L13" s="46" t="b">
        <v>0</v>
      </c>
      <c r="M13" s="46" t="b">
        <v>0</v>
      </c>
      <c r="N13" s="46" t="b">
        <v>0</v>
      </c>
      <c r="O13" s="46" t="b">
        <v>0</v>
      </c>
      <c r="P13" s="46" t="b">
        <v>0</v>
      </c>
      <c r="Q13" s="46" t="b">
        <v>0</v>
      </c>
      <c r="R13" s="46" t="b">
        <v>0</v>
      </c>
      <c r="S13" s="46" t="b">
        <v>0</v>
      </c>
      <c r="T13" s="46" t="b">
        <v>0</v>
      </c>
      <c r="U13" s="46" t="b">
        <v>0</v>
      </c>
      <c r="V13" s="46" t="b">
        <v>0</v>
      </c>
      <c r="W13" s="46" t="b">
        <v>0</v>
      </c>
      <c r="X13" s="46" t="b">
        <v>0</v>
      </c>
      <c r="Y13" s="46" t="b">
        <v>0</v>
      </c>
      <c r="Z13" s="46" t="b">
        <v>0</v>
      </c>
      <c r="AA13" s="46" t="b">
        <v>0</v>
      </c>
      <c r="AB13" s="46" t="b">
        <v>0</v>
      </c>
      <c r="AC13" s="46" t="b">
        <v>0</v>
      </c>
      <c r="AD13" s="46" t="b">
        <v>0</v>
      </c>
      <c r="AE13" s="46" t="b">
        <v>0</v>
      </c>
      <c r="AF13" s="46" t="b">
        <v>0</v>
      </c>
      <c r="AG13" s="46" t="b">
        <v>0</v>
      </c>
      <c r="AH13" s="46" t="b">
        <v>0</v>
      </c>
      <c r="AI13" s="46" t="b">
        <v>0</v>
      </c>
      <c r="AK13" s="47">
        <f>IF($C13="","",SUMPRODUCT((((E13:AI13=TRUE)+(E13:AI13=1))&gt;0)*($E$11:$AI$11&lt;&gt;"")))</f>
        <v>0</v>
      </c>
      <c r="AL13" s="48">
        <f>IF($C13="","",IF($AP$3=0,0,IFERROR(MIN(1,AK13/$AP$13),0)))</f>
        <v>0</v>
      </c>
      <c r="AM13" s="49">
        <f>IF($C13="","",IF($AP$3=0,0,MAX(INDEX($AQ$13:$BU$13,$AP$3),INDEX($AQ$13:$BU$13,MAX($AP$3-1,1)))))</f>
        <v>0</v>
      </c>
      <c r="AN13" s="45">
        <f>IF($C13="","",MAX($AQ$13:$BU$13))</f>
        <v>0</v>
      </c>
      <c r="AP13" s="29">
        <f>IF($C13="",0,IFERROR(IF($D13="",$AP$2,$D13)*$AP$3/$AP$2,$AP$3))</f>
        <v>0</v>
      </c>
      <c r="AQ13" s="29">
        <f>IF(AND(1&lt;=$AP$3,OR(E13=TRUE,E13=1)),0+1,0)</f>
        <v>0</v>
      </c>
      <c r="AR13" s="29">
        <f>IF(AND(2&lt;=$AP$3,OR(F13=TRUE,F13=1)),AQ13+1,0)</f>
        <v>0</v>
      </c>
      <c r="AS13" s="29">
        <f>IF(AND(3&lt;=$AP$3,OR(G13=TRUE,G13=1)),AR13+1,0)</f>
        <v>0</v>
      </c>
      <c r="AT13" s="29">
        <f>IF(AND(4&lt;=$AP$3,OR(H13=TRUE,H13=1)),AS13+1,0)</f>
        <v>0</v>
      </c>
      <c r="AU13" s="29">
        <f>IF(AND(5&lt;=$AP$3,OR(I13=TRUE,I13=1)),AT13+1,0)</f>
        <v>0</v>
      </c>
      <c r="AV13" s="29">
        <f>IF(AND(6&lt;=$AP$3,OR(J13=TRUE,J13=1)),AU13+1,0)</f>
        <v>0</v>
      </c>
      <c r="AW13" s="29">
        <f>IF(AND(7&lt;=$AP$3,OR(K13=TRUE,K13=1)),AV13+1,0)</f>
        <v>0</v>
      </c>
      <c r="AX13" s="29">
        <f>IF(AND(8&lt;=$AP$3,OR(L13=TRUE,L13=1)),AW13+1,0)</f>
        <v>0</v>
      </c>
      <c r="AY13" s="29">
        <f>IF(AND(9&lt;=$AP$3,OR(M13=TRUE,M13=1)),AX13+1,0)</f>
        <v>0</v>
      </c>
      <c r="AZ13" s="29">
        <f>IF(AND(10&lt;=$AP$3,OR(N13=TRUE,N13=1)),AY13+1,0)</f>
        <v>0</v>
      </c>
      <c r="BA13" s="29">
        <f>IF(AND(11&lt;=$AP$3,OR(O13=TRUE,O13=1)),AZ13+1,0)</f>
        <v>0</v>
      </c>
      <c r="BB13" s="29">
        <f>IF(AND(12&lt;=$AP$3,OR(P13=TRUE,P13=1)),BA13+1,0)</f>
        <v>0</v>
      </c>
      <c r="BC13" s="29">
        <f>IF(AND(13&lt;=$AP$3,OR(Q13=TRUE,Q13=1)),BB13+1,0)</f>
        <v>0</v>
      </c>
      <c r="BD13" s="29">
        <f>IF(AND(14&lt;=$AP$3,OR(R13=TRUE,R13=1)),BC13+1,0)</f>
        <v>0</v>
      </c>
      <c r="BE13" s="29">
        <f>IF(AND(15&lt;=$AP$3,OR(S13=TRUE,S13=1)),BD13+1,0)</f>
        <v>0</v>
      </c>
      <c r="BF13" s="29">
        <f>IF(AND(16&lt;=$AP$3,OR(T13=TRUE,T13=1)),BE13+1,0)</f>
        <v>0</v>
      </c>
      <c r="BG13" s="29">
        <f>IF(AND(17&lt;=$AP$3,OR(U13=TRUE,U13=1)),BF13+1,0)</f>
        <v>0</v>
      </c>
      <c r="BH13" s="29">
        <f>IF(AND(18&lt;=$AP$3,OR(V13=TRUE,V13=1)),BG13+1,0)</f>
        <v>0</v>
      </c>
      <c r="BI13" s="29">
        <f>IF(AND(19&lt;=$AP$3,OR(W13=TRUE,W13=1)),BH13+1,0)</f>
        <v>0</v>
      </c>
      <c r="BJ13" s="29">
        <f>IF(AND(20&lt;=$AP$3,OR(X13=TRUE,X13=1)),BI13+1,0)</f>
        <v>0</v>
      </c>
      <c r="BK13" s="29">
        <f>IF(AND(21&lt;=$AP$3,OR(Y13=TRUE,Y13=1)),BJ13+1,0)</f>
        <v>0</v>
      </c>
      <c r="BL13" s="29">
        <f>IF(AND(22&lt;=$AP$3,OR(Z13=TRUE,Z13=1)),BK13+1,0)</f>
        <v>0</v>
      </c>
      <c r="BM13" s="29">
        <f>IF(AND(23&lt;=$AP$3,OR(AA13=TRUE,AA13=1)),BL13+1,0)</f>
        <v>0</v>
      </c>
      <c r="BN13" s="29">
        <f>IF(AND(24&lt;=$AP$3,OR(AB13=TRUE,AB13=1)),BM13+1,0)</f>
        <v>0</v>
      </c>
      <c r="BO13" s="29">
        <f>IF(AND(25&lt;=$AP$3,OR(AC13=TRUE,AC13=1)),BN13+1,0)</f>
        <v>0</v>
      </c>
      <c r="BP13" s="29">
        <f>IF(AND(26&lt;=$AP$3,OR(AD13=TRUE,AD13=1)),BO13+1,0)</f>
        <v>0</v>
      </c>
      <c r="BQ13" s="29">
        <f>IF(AND(27&lt;=$AP$3,OR(AE13=TRUE,AE13=1)),BP13+1,0)</f>
        <v>0</v>
      </c>
      <c r="BR13" s="29">
        <f>IF(AND(28&lt;=$AP$3,OR(AF13=TRUE,AF13=1)),BQ13+1,0)</f>
        <v>0</v>
      </c>
      <c r="BS13" s="29">
        <f>IF(AND(29&lt;=$AP$3,OR(AG13=TRUE,AG13=1)),BR13+1,0)</f>
        <v>0</v>
      </c>
      <c r="BT13" s="29">
        <f>IF(AND(30&lt;=$AP$3,OR(AH13=TRUE,AH13=1)),BS13+1,0)</f>
        <v>0</v>
      </c>
      <c r="BU13" s="29">
        <f>IF(AND(31&lt;=$AP$3,OR(AI13=TRUE,AI13=1)),BT13+1,0)</f>
        <v>0</v>
      </c>
    </row>
    <row r="14" spans="2:73" ht="20" customHeight="1" x14ac:dyDescent="0.25">
      <c r="B14" s="44" t="str">
        <f>IF('Старт'!$C$14="","",'Старт'!$C$14)</f>
        <v>Здоровье</v>
      </c>
      <c r="C14" s="20" t="str">
        <f>IF('Старт'!$D$14="","",'Старт'!$D$14)</f>
        <v>10 000 шагов</v>
      </c>
      <c r="D14" s="45">
        <f>IF('Старт'!$E$14="","",'Старт'!$E$14)</f>
        <v/>
      </c>
      <c r="E14" s="46" t="b">
        <v>0</v>
      </c>
      <c r="F14" s="46" t="b">
        <v>0</v>
      </c>
      <c r="G14" s="46" t="b">
        <v>0</v>
      </c>
      <c r="H14" s="46" t="b">
        <v>0</v>
      </c>
      <c r="I14" s="46" t="b">
        <v>0</v>
      </c>
      <c r="J14" s="46" t="b">
        <v>0</v>
      </c>
      <c r="K14" s="46" t="b">
        <v>0</v>
      </c>
      <c r="L14" s="46" t="b">
        <v>0</v>
      </c>
      <c r="M14" s="46" t="b">
        <v>0</v>
      </c>
      <c r="N14" s="46" t="b">
        <v>0</v>
      </c>
      <c r="O14" s="46" t="b">
        <v>0</v>
      </c>
      <c r="P14" s="46" t="b">
        <v>0</v>
      </c>
      <c r="Q14" s="46" t="b">
        <v>0</v>
      </c>
      <c r="R14" s="46" t="b">
        <v>0</v>
      </c>
      <c r="S14" s="46" t="b">
        <v>0</v>
      </c>
      <c r="T14" s="46" t="b">
        <v>0</v>
      </c>
      <c r="U14" s="46" t="b">
        <v>0</v>
      </c>
      <c r="V14" s="46" t="b">
        <v>0</v>
      </c>
      <c r="W14" s="46" t="b">
        <v>0</v>
      </c>
      <c r="X14" s="46" t="b">
        <v>0</v>
      </c>
      <c r="Y14" s="46" t="b">
        <v>0</v>
      </c>
      <c r="Z14" s="46" t="b">
        <v>0</v>
      </c>
      <c r="AA14" s="46" t="b">
        <v>0</v>
      </c>
      <c r="AB14" s="46" t="b">
        <v>0</v>
      </c>
      <c r="AC14" s="46" t="b">
        <v>0</v>
      </c>
      <c r="AD14" s="46" t="b">
        <v>0</v>
      </c>
      <c r="AE14" s="46" t="b">
        <v>0</v>
      </c>
      <c r="AF14" s="46" t="b">
        <v>0</v>
      </c>
      <c r="AG14" s="46" t="b">
        <v>0</v>
      </c>
      <c r="AH14" s="46" t="b">
        <v>0</v>
      </c>
      <c r="AI14" s="46" t="b">
        <v>0</v>
      </c>
      <c r="AK14" s="47">
        <f>IF($C14="","",SUMPRODUCT((((E14:AI14=TRUE)+(E14:AI14=1))&gt;0)*($E$11:$AI$11&lt;&gt;"")))</f>
        <v>0</v>
      </c>
      <c r="AL14" s="48">
        <f>IF($C14="","",IF($AP$3=0,0,IFERROR(MIN(1,AK14/$AP$14),0)))</f>
        <v>0</v>
      </c>
      <c r="AM14" s="49">
        <f>IF($C14="","",IF($AP$3=0,0,MAX(INDEX($AQ$14:$BU$14,$AP$3),INDEX($AQ$14:$BU$14,MAX($AP$3-1,1)))))</f>
        <v>0</v>
      </c>
      <c r="AN14" s="45">
        <f>IF($C14="","",MAX($AQ$14:$BU$14))</f>
        <v>0</v>
      </c>
      <c r="AP14" s="29">
        <f>IF($C14="",0,IFERROR(IF($D14="",$AP$2,$D14)*$AP$3/$AP$2,$AP$3))</f>
        <v>0</v>
      </c>
      <c r="AQ14" s="29">
        <f>IF(AND(1&lt;=$AP$3,OR(E14=TRUE,E14=1)),0+1,0)</f>
        <v>0</v>
      </c>
      <c r="AR14" s="29">
        <f>IF(AND(2&lt;=$AP$3,OR(F14=TRUE,F14=1)),AQ14+1,0)</f>
        <v>0</v>
      </c>
      <c r="AS14" s="29">
        <f>IF(AND(3&lt;=$AP$3,OR(G14=TRUE,G14=1)),AR14+1,0)</f>
        <v>0</v>
      </c>
      <c r="AT14" s="29">
        <f>IF(AND(4&lt;=$AP$3,OR(H14=TRUE,H14=1)),AS14+1,0)</f>
        <v>0</v>
      </c>
      <c r="AU14" s="29">
        <f>IF(AND(5&lt;=$AP$3,OR(I14=TRUE,I14=1)),AT14+1,0)</f>
        <v>0</v>
      </c>
      <c r="AV14" s="29">
        <f>IF(AND(6&lt;=$AP$3,OR(J14=TRUE,J14=1)),AU14+1,0)</f>
        <v>0</v>
      </c>
      <c r="AW14" s="29">
        <f>IF(AND(7&lt;=$AP$3,OR(K14=TRUE,K14=1)),AV14+1,0)</f>
        <v>0</v>
      </c>
      <c r="AX14" s="29">
        <f>IF(AND(8&lt;=$AP$3,OR(L14=TRUE,L14=1)),AW14+1,0)</f>
        <v>0</v>
      </c>
      <c r="AY14" s="29">
        <f>IF(AND(9&lt;=$AP$3,OR(M14=TRUE,M14=1)),AX14+1,0)</f>
        <v>0</v>
      </c>
      <c r="AZ14" s="29">
        <f>IF(AND(10&lt;=$AP$3,OR(N14=TRUE,N14=1)),AY14+1,0)</f>
        <v>0</v>
      </c>
      <c r="BA14" s="29">
        <f>IF(AND(11&lt;=$AP$3,OR(O14=TRUE,O14=1)),AZ14+1,0)</f>
        <v>0</v>
      </c>
      <c r="BB14" s="29">
        <f>IF(AND(12&lt;=$AP$3,OR(P14=TRUE,P14=1)),BA14+1,0)</f>
        <v>0</v>
      </c>
      <c r="BC14" s="29">
        <f>IF(AND(13&lt;=$AP$3,OR(Q14=TRUE,Q14=1)),BB14+1,0)</f>
        <v>0</v>
      </c>
      <c r="BD14" s="29">
        <f>IF(AND(14&lt;=$AP$3,OR(R14=TRUE,R14=1)),BC14+1,0)</f>
        <v>0</v>
      </c>
      <c r="BE14" s="29">
        <f>IF(AND(15&lt;=$AP$3,OR(S14=TRUE,S14=1)),BD14+1,0)</f>
        <v>0</v>
      </c>
      <c r="BF14" s="29">
        <f>IF(AND(16&lt;=$AP$3,OR(T14=TRUE,T14=1)),BE14+1,0)</f>
        <v>0</v>
      </c>
      <c r="BG14" s="29">
        <f>IF(AND(17&lt;=$AP$3,OR(U14=TRUE,U14=1)),BF14+1,0)</f>
        <v>0</v>
      </c>
      <c r="BH14" s="29">
        <f>IF(AND(18&lt;=$AP$3,OR(V14=TRUE,V14=1)),BG14+1,0)</f>
        <v>0</v>
      </c>
      <c r="BI14" s="29">
        <f>IF(AND(19&lt;=$AP$3,OR(W14=TRUE,W14=1)),BH14+1,0)</f>
        <v>0</v>
      </c>
      <c r="BJ14" s="29">
        <f>IF(AND(20&lt;=$AP$3,OR(X14=TRUE,X14=1)),BI14+1,0)</f>
        <v>0</v>
      </c>
      <c r="BK14" s="29">
        <f>IF(AND(21&lt;=$AP$3,OR(Y14=TRUE,Y14=1)),BJ14+1,0)</f>
        <v>0</v>
      </c>
      <c r="BL14" s="29">
        <f>IF(AND(22&lt;=$AP$3,OR(Z14=TRUE,Z14=1)),BK14+1,0)</f>
        <v>0</v>
      </c>
      <c r="BM14" s="29">
        <f>IF(AND(23&lt;=$AP$3,OR(AA14=TRUE,AA14=1)),BL14+1,0)</f>
        <v>0</v>
      </c>
      <c r="BN14" s="29">
        <f>IF(AND(24&lt;=$AP$3,OR(AB14=TRUE,AB14=1)),BM14+1,0)</f>
        <v>0</v>
      </c>
      <c r="BO14" s="29">
        <f>IF(AND(25&lt;=$AP$3,OR(AC14=TRUE,AC14=1)),BN14+1,0)</f>
        <v>0</v>
      </c>
      <c r="BP14" s="29">
        <f>IF(AND(26&lt;=$AP$3,OR(AD14=TRUE,AD14=1)),BO14+1,0)</f>
        <v>0</v>
      </c>
      <c r="BQ14" s="29">
        <f>IF(AND(27&lt;=$AP$3,OR(AE14=TRUE,AE14=1)),BP14+1,0)</f>
        <v>0</v>
      </c>
      <c r="BR14" s="29">
        <f>IF(AND(28&lt;=$AP$3,OR(AF14=TRUE,AF14=1)),BQ14+1,0)</f>
        <v>0</v>
      </c>
      <c r="BS14" s="29">
        <f>IF(AND(29&lt;=$AP$3,OR(AG14=TRUE,AG14=1)),BR14+1,0)</f>
        <v>0</v>
      </c>
      <c r="BT14" s="29">
        <f>IF(AND(30&lt;=$AP$3,OR(AH14=TRUE,AH14=1)),BS14+1,0)</f>
        <v>0</v>
      </c>
      <c r="BU14" s="29">
        <f>IF(AND(31&lt;=$AP$3,OR(AI14=TRUE,AI14=1)),BT14+1,0)</f>
        <v>0</v>
      </c>
    </row>
    <row r="15" spans="2:73" ht="20" customHeight="1" x14ac:dyDescent="0.25">
      <c r="B15" s="44" t="str">
        <f>IF('Старт'!$C$15="","",'Старт'!$C$15)</f>
        <v>Учёба</v>
      </c>
      <c r="C15" s="20" t="str">
        <f>IF('Старт'!$D$15="","",'Старт'!$D$15)</f>
        <v>Чтение 20 минут</v>
      </c>
      <c r="D15" s="45">
        <f>IF('Старт'!$E$15="","",'Старт'!$E$15)</f>
        <v/>
      </c>
      <c r="E15" s="46" t="b">
        <v>0</v>
      </c>
      <c r="F15" s="46" t="b">
        <v>0</v>
      </c>
      <c r="G15" s="46" t="b">
        <v>0</v>
      </c>
      <c r="H15" s="46" t="b">
        <v>0</v>
      </c>
      <c r="I15" s="46" t="b">
        <v>0</v>
      </c>
      <c r="J15" s="46" t="b">
        <v>0</v>
      </c>
      <c r="K15" s="46" t="b">
        <v>0</v>
      </c>
      <c r="L15" s="46" t="b">
        <v>0</v>
      </c>
      <c r="M15" s="46" t="b">
        <v>0</v>
      </c>
      <c r="N15" s="46" t="b">
        <v>0</v>
      </c>
      <c r="O15" s="46" t="b">
        <v>0</v>
      </c>
      <c r="P15" s="46" t="b">
        <v>0</v>
      </c>
      <c r="Q15" s="46" t="b">
        <v>0</v>
      </c>
      <c r="R15" s="46" t="b">
        <v>0</v>
      </c>
      <c r="S15" s="46" t="b">
        <v>0</v>
      </c>
      <c r="T15" s="46" t="b">
        <v>0</v>
      </c>
      <c r="U15" s="46" t="b">
        <v>0</v>
      </c>
      <c r="V15" s="46" t="b">
        <v>0</v>
      </c>
      <c r="W15" s="46" t="b">
        <v>0</v>
      </c>
      <c r="X15" s="46" t="b">
        <v>0</v>
      </c>
      <c r="Y15" s="46" t="b">
        <v>0</v>
      </c>
      <c r="Z15" s="46" t="b">
        <v>0</v>
      </c>
      <c r="AA15" s="46" t="b">
        <v>0</v>
      </c>
      <c r="AB15" s="46" t="b">
        <v>0</v>
      </c>
      <c r="AC15" s="46" t="b">
        <v>0</v>
      </c>
      <c r="AD15" s="46" t="b">
        <v>0</v>
      </c>
      <c r="AE15" s="46" t="b">
        <v>0</v>
      </c>
      <c r="AF15" s="46" t="b">
        <v>0</v>
      </c>
      <c r="AG15" s="46" t="b">
        <v>0</v>
      </c>
      <c r="AH15" s="46" t="b">
        <v>0</v>
      </c>
      <c r="AI15" s="46" t="b">
        <v>0</v>
      </c>
      <c r="AK15" s="47">
        <f>IF($C15="","",SUMPRODUCT((((E15:AI15=TRUE)+(E15:AI15=1))&gt;0)*($E$11:$AI$11&lt;&gt;"")))</f>
        <v>0</v>
      </c>
      <c r="AL15" s="48">
        <f>IF($C15="","",IF($AP$3=0,0,IFERROR(MIN(1,AK15/$AP$15),0)))</f>
        <v>0</v>
      </c>
      <c r="AM15" s="49">
        <f>IF($C15="","",IF($AP$3=0,0,MAX(INDEX($AQ$15:$BU$15,$AP$3),INDEX($AQ$15:$BU$15,MAX($AP$3-1,1)))))</f>
        <v>0</v>
      </c>
      <c r="AN15" s="45">
        <f>IF($C15="","",MAX($AQ$15:$BU$15))</f>
        <v>0</v>
      </c>
      <c r="AP15" s="29">
        <f>IF($C15="",0,IFERROR(IF($D15="",$AP$2,$D15)*$AP$3/$AP$2,$AP$3))</f>
        <v>0</v>
      </c>
      <c r="AQ15" s="29">
        <f>IF(AND(1&lt;=$AP$3,OR(E15=TRUE,E15=1)),0+1,0)</f>
        <v>0</v>
      </c>
      <c r="AR15" s="29">
        <f>IF(AND(2&lt;=$AP$3,OR(F15=TRUE,F15=1)),AQ15+1,0)</f>
        <v>0</v>
      </c>
      <c r="AS15" s="29">
        <f>IF(AND(3&lt;=$AP$3,OR(G15=TRUE,G15=1)),AR15+1,0)</f>
        <v>0</v>
      </c>
      <c r="AT15" s="29">
        <f>IF(AND(4&lt;=$AP$3,OR(H15=TRUE,H15=1)),AS15+1,0)</f>
        <v>0</v>
      </c>
      <c r="AU15" s="29">
        <f>IF(AND(5&lt;=$AP$3,OR(I15=TRUE,I15=1)),AT15+1,0)</f>
        <v>0</v>
      </c>
      <c r="AV15" s="29">
        <f>IF(AND(6&lt;=$AP$3,OR(J15=TRUE,J15=1)),AU15+1,0)</f>
        <v>0</v>
      </c>
      <c r="AW15" s="29">
        <f>IF(AND(7&lt;=$AP$3,OR(K15=TRUE,K15=1)),AV15+1,0)</f>
        <v>0</v>
      </c>
      <c r="AX15" s="29">
        <f>IF(AND(8&lt;=$AP$3,OR(L15=TRUE,L15=1)),AW15+1,0)</f>
        <v>0</v>
      </c>
      <c r="AY15" s="29">
        <f>IF(AND(9&lt;=$AP$3,OR(M15=TRUE,M15=1)),AX15+1,0)</f>
        <v>0</v>
      </c>
      <c r="AZ15" s="29">
        <f>IF(AND(10&lt;=$AP$3,OR(N15=TRUE,N15=1)),AY15+1,0)</f>
        <v>0</v>
      </c>
      <c r="BA15" s="29">
        <f>IF(AND(11&lt;=$AP$3,OR(O15=TRUE,O15=1)),AZ15+1,0)</f>
        <v>0</v>
      </c>
      <c r="BB15" s="29">
        <f>IF(AND(12&lt;=$AP$3,OR(P15=TRUE,P15=1)),BA15+1,0)</f>
        <v>0</v>
      </c>
      <c r="BC15" s="29">
        <f>IF(AND(13&lt;=$AP$3,OR(Q15=TRUE,Q15=1)),BB15+1,0)</f>
        <v>0</v>
      </c>
      <c r="BD15" s="29">
        <f>IF(AND(14&lt;=$AP$3,OR(R15=TRUE,R15=1)),BC15+1,0)</f>
        <v>0</v>
      </c>
      <c r="BE15" s="29">
        <f>IF(AND(15&lt;=$AP$3,OR(S15=TRUE,S15=1)),BD15+1,0)</f>
        <v>0</v>
      </c>
      <c r="BF15" s="29">
        <f>IF(AND(16&lt;=$AP$3,OR(T15=TRUE,T15=1)),BE15+1,0)</f>
        <v>0</v>
      </c>
      <c r="BG15" s="29">
        <f>IF(AND(17&lt;=$AP$3,OR(U15=TRUE,U15=1)),BF15+1,0)</f>
        <v>0</v>
      </c>
      <c r="BH15" s="29">
        <f>IF(AND(18&lt;=$AP$3,OR(V15=TRUE,V15=1)),BG15+1,0)</f>
        <v>0</v>
      </c>
      <c r="BI15" s="29">
        <f>IF(AND(19&lt;=$AP$3,OR(W15=TRUE,W15=1)),BH15+1,0)</f>
        <v>0</v>
      </c>
      <c r="BJ15" s="29">
        <f>IF(AND(20&lt;=$AP$3,OR(X15=TRUE,X15=1)),BI15+1,0)</f>
        <v>0</v>
      </c>
      <c r="BK15" s="29">
        <f>IF(AND(21&lt;=$AP$3,OR(Y15=TRUE,Y15=1)),BJ15+1,0)</f>
        <v>0</v>
      </c>
      <c r="BL15" s="29">
        <f>IF(AND(22&lt;=$AP$3,OR(Z15=TRUE,Z15=1)),BK15+1,0)</f>
        <v>0</v>
      </c>
      <c r="BM15" s="29">
        <f>IF(AND(23&lt;=$AP$3,OR(AA15=TRUE,AA15=1)),BL15+1,0)</f>
        <v>0</v>
      </c>
      <c r="BN15" s="29">
        <f>IF(AND(24&lt;=$AP$3,OR(AB15=TRUE,AB15=1)),BM15+1,0)</f>
        <v>0</v>
      </c>
      <c r="BO15" s="29">
        <f>IF(AND(25&lt;=$AP$3,OR(AC15=TRUE,AC15=1)),BN15+1,0)</f>
        <v>0</v>
      </c>
      <c r="BP15" s="29">
        <f>IF(AND(26&lt;=$AP$3,OR(AD15=TRUE,AD15=1)),BO15+1,0)</f>
        <v>0</v>
      </c>
      <c r="BQ15" s="29">
        <f>IF(AND(27&lt;=$AP$3,OR(AE15=TRUE,AE15=1)),BP15+1,0)</f>
        <v>0</v>
      </c>
      <c r="BR15" s="29">
        <f>IF(AND(28&lt;=$AP$3,OR(AF15=TRUE,AF15=1)),BQ15+1,0)</f>
        <v>0</v>
      </c>
      <c r="BS15" s="29">
        <f>IF(AND(29&lt;=$AP$3,OR(AG15=TRUE,AG15=1)),BR15+1,0)</f>
        <v>0</v>
      </c>
      <c r="BT15" s="29">
        <f>IF(AND(30&lt;=$AP$3,OR(AH15=TRUE,AH15=1)),BS15+1,0)</f>
        <v>0</v>
      </c>
      <c r="BU15" s="29">
        <f>IF(AND(31&lt;=$AP$3,OR(AI15=TRUE,AI15=1)),BT15+1,0)</f>
        <v>0</v>
      </c>
    </row>
    <row r="16" spans="2:73" ht="20" customHeight="1" x14ac:dyDescent="0.25">
      <c r="B16" s="44" t="str">
        <f>IF('Старт'!$C$16="","",'Старт'!$C$16)</f>
        <v>Личное</v>
      </c>
      <c r="C16" s="20" t="str">
        <f>IF('Старт'!$D$16="","",'Старт'!$D$16)</f>
        <v>Медитация 10 минут</v>
      </c>
      <c r="D16" s="45">
        <f>IF('Старт'!$E$16="","",'Старт'!$E$16)</f>
        <v/>
      </c>
      <c r="E16" s="46" t="b">
        <v>0</v>
      </c>
      <c r="F16" s="46" t="b">
        <v>0</v>
      </c>
      <c r="G16" s="46" t="b">
        <v>0</v>
      </c>
      <c r="H16" s="46" t="b">
        <v>0</v>
      </c>
      <c r="I16" s="46" t="b">
        <v>0</v>
      </c>
      <c r="J16" s="46" t="b">
        <v>0</v>
      </c>
      <c r="K16" s="46" t="b">
        <v>0</v>
      </c>
      <c r="L16" s="46" t="b">
        <v>0</v>
      </c>
      <c r="M16" s="46" t="b">
        <v>0</v>
      </c>
      <c r="N16" s="46" t="b">
        <v>0</v>
      </c>
      <c r="O16" s="46" t="b">
        <v>0</v>
      </c>
      <c r="P16" s="46" t="b">
        <v>0</v>
      </c>
      <c r="Q16" s="46" t="b">
        <v>0</v>
      </c>
      <c r="R16" s="46" t="b">
        <v>0</v>
      </c>
      <c r="S16" s="46" t="b">
        <v>0</v>
      </c>
      <c r="T16" s="46" t="b">
        <v>0</v>
      </c>
      <c r="U16" s="46" t="b">
        <v>0</v>
      </c>
      <c r="V16" s="46" t="b">
        <v>0</v>
      </c>
      <c r="W16" s="46" t="b">
        <v>0</v>
      </c>
      <c r="X16" s="46" t="b">
        <v>0</v>
      </c>
      <c r="Y16" s="46" t="b">
        <v>0</v>
      </c>
      <c r="Z16" s="46" t="b">
        <v>0</v>
      </c>
      <c r="AA16" s="46" t="b">
        <v>0</v>
      </c>
      <c r="AB16" s="46" t="b">
        <v>0</v>
      </c>
      <c r="AC16" s="46" t="b">
        <v>0</v>
      </c>
      <c r="AD16" s="46" t="b">
        <v>0</v>
      </c>
      <c r="AE16" s="46" t="b">
        <v>0</v>
      </c>
      <c r="AF16" s="46" t="b">
        <v>0</v>
      </c>
      <c r="AG16" s="46" t="b">
        <v>0</v>
      </c>
      <c r="AH16" s="46" t="b">
        <v>0</v>
      </c>
      <c r="AI16" s="46" t="b">
        <v>0</v>
      </c>
      <c r="AK16" s="47">
        <f>IF($C16="","",SUMPRODUCT((((E16:AI16=TRUE)+(E16:AI16=1))&gt;0)*($E$11:$AI$11&lt;&gt;"")))</f>
        <v>0</v>
      </c>
      <c r="AL16" s="48">
        <f>IF($C16="","",IF($AP$3=0,0,IFERROR(MIN(1,AK16/$AP$16),0)))</f>
        <v>0</v>
      </c>
      <c r="AM16" s="49">
        <f>IF($C16="","",IF($AP$3=0,0,MAX(INDEX($AQ$16:$BU$16,$AP$3),INDEX($AQ$16:$BU$16,MAX($AP$3-1,1)))))</f>
        <v>0</v>
      </c>
      <c r="AN16" s="45">
        <f>IF($C16="","",MAX($AQ$16:$BU$16))</f>
        <v>0</v>
      </c>
      <c r="AP16" s="29">
        <f>IF($C16="",0,IFERROR(IF($D16="",$AP$2,$D16)*$AP$3/$AP$2,$AP$3))</f>
        <v>0</v>
      </c>
      <c r="AQ16" s="29">
        <f>IF(AND(1&lt;=$AP$3,OR(E16=TRUE,E16=1)),0+1,0)</f>
        <v>0</v>
      </c>
      <c r="AR16" s="29">
        <f>IF(AND(2&lt;=$AP$3,OR(F16=TRUE,F16=1)),AQ16+1,0)</f>
        <v>0</v>
      </c>
      <c r="AS16" s="29">
        <f>IF(AND(3&lt;=$AP$3,OR(G16=TRUE,G16=1)),AR16+1,0)</f>
        <v>0</v>
      </c>
      <c r="AT16" s="29">
        <f>IF(AND(4&lt;=$AP$3,OR(H16=TRUE,H16=1)),AS16+1,0)</f>
        <v>0</v>
      </c>
      <c r="AU16" s="29">
        <f>IF(AND(5&lt;=$AP$3,OR(I16=TRUE,I16=1)),AT16+1,0)</f>
        <v>0</v>
      </c>
      <c r="AV16" s="29">
        <f>IF(AND(6&lt;=$AP$3,OR(J16=TRUE,J16=1)),AU16+1,0)</f>
        <v>0</v>
      </c>
      <c r="AW16" s="29">
        <f>IF(AND(7&lt;=$AP$3,OR(K16=TRUE,K16=1)),AV16+1,0)</f>
        <v>0</v>
      </c>
      <c r="AX16" s="29">
        <f>IF(AND(8&lt;=$AP$3,OR(L16=TRUE,L16=1)),AW16+1,0)</f>
        <v>0</v>
      </c>
      <c r="AY16" s="29">
        <f>IF(AND(9&lt;=$AP$3,OR(M16=TRUE,M16=1)),AX16+1,0)</f>
        <v>0</v>
      </c>
      <c r="AZ16" s="29">
        <f>IF(AND(10&lt;=$AP$3,OR(N16=TRUE,N16=1)),AY16+1,0)</f>
        <v>0</v>
      </c>
      <c r="BA16" s="29">
        <f>IF(AND(11&lt;=$AP$3,OR(O16=TRUE,O16=1)),AZ16+1,0)</f>
        <v>0</v>
      </c>
      <c r="BB16" s="29">
        <f>IF(AND(12&lt;=$AP$3,OR(P16=TRUE,P16=1)),BA16+1,0)</f>
        <v>0</v>
      </c>
      <c r="BC16" s="29">
        <f>IF(AND(13&lt;=$AP$3,OR(Q16=TRUE,Q16=1)),BB16+1,0)</f>
        <v>0</v>
      </c>
      <c r="BD16" s="29">
        <f>IF(AND(14&lt;=$AP$3,OR(R16=TRUE,R16=1)),BC16+1,0)</f>
        <v>0</v>
      </c>
      <c r="BE16" s="29">
        <f>IF(AND(15&lt;=$AP$3,OR(S16=TRUE,S16=1)),BD16+1,0)</f>
        <v>0</v>
      </c>
      <c r="BF16" s="29">
        <f>IF(AND(16&lt;=$AP$3,OR(T16=TRUE,T16=1)),BE16+1,0)</f>
        <v>0</v>
      </c>
      <c r="BG16" s="29">
        <f>IF(AND(17&lt;=$AP$3,OR(U16=TRUE,U16=1)),BF16+1,0)</f>
        <v>0</v>
      </c>
      <c r="BH16" s="29">
        <f>IF(AND(18&lt;=$AP$3,OR(V16=TRUE,V16=1)),BG16+1,0)</f>
        <v>0</v>
      </c>
      <c r="BI16" s="29">
        <f>IF(AND(19&lt;=$AP$3,OR(W16=TRUE,W16=1)),BH16+1,0)</f>
        <v>0</v>
      </c>
      <c r="BJ16" s="29">
        <f>IF(AND(20&lt;=$AP$3,OR(X16=TRUE,X16=1)),BI16+1,0)</f>
        <v>0</v>
      </c>
      <c r="BK16" s="29">
        <f>IF(AND(21&lt;=$AP$3,OR(Y16=TRUE,Y16=1)),BJ16+1,0)</f>
        <v>0</v>
      </c>
      <c r="BL16" s="29">
        <f>IF(AND(22&lt;=$AP$3,OR(Z16=TRUE,Z16=1)),BK16+1,0)</f>
        <v>0</v>
      </c>
      <c r="BM16" s="29">
        <f>IF(AND(23&lt;=$AP$3,OR(AA16=TRUE,AA16=1)),BL16+1,0)</f>
        <v>0</v>
      </c>
      <c r="BN16" s="29">
        <f>IF(AND(24&lt;=$AP$3,OR(AB16=TRUE,AB16=1)),BM16+1,0)</f>
        <v>0</v>
      </c>
      <c r="BO16" s="29">
        <f>IF(AND(25&lt;=$AP$3,OR(AC16=TRUE,AC16=1)),BN16+1,0)</f>
        <v>0</v>
      </c>
      <c r="BP16" s="29">
        <f>IF(AND(26&lt;=$AP$3,OR(AD16=TRUE,AD16=1)),BO16+1,0)</f>
        <v>0</v>
      </c>
      <c r="BQ16" s="29">
        <f>IF(AND(27&lt;=$AP$3,OR(AE16=TRUE,AE16=1)),BP16+1,0)</f>
        <v>0</v>
      </c>
      <c r="BR16" s="29">
        <f>IF(AND(28&lt;=$AP$3,OR(AF16=TRUE,AF16=1)),BQ16+1,0)</f>
        <v>0</v>
      </c>
      <c r="BS16" s="29">
        <f>IF(AND(29&lt;=$AP$3,OR(AG16=TRUE,AG16=1)),BR16+1,0)</f>
        <v>0</v>
      </c>
      <c r="BT16" s="29">
        <f>IF(AND(30&lt;=$AP$3,OR(AH16=TRUE,AH16=1)),BS16+1,0)</f>
        <v>0</v>
      </c>
      <c r="BU16" s="29">
        <f>IF(AND(31&lt;=$AP$3,OR(AI16=TRUE,AI16=1)),BT16+1,0)</f>
        <v>0</v>
      </c>
    </row>
    <row r="17" spans="2:73" ht="20" customHeight="1" x14ac:dyDescent="0.25">
      <c r="B17" s="44" t="str">
        <f>IF('Старт'!$C$17="","",'Старт'!$C$17)</f>
        <v>Здоровье</v>
      </c>
      <c r="C17" s="20" t="str">
        <f>IF('Старт'!$D$17="","",'Старт'!$D$17)</f>
        <v>Без сахара</v>
      </c>
      <c r="D17" s="45">
        <f>IF('Старт'!$E$17="","",'Старт'!$E$17)</f>
        <v/>
      </c>
      <c r="E17" s="46" t="b">
        <v>0</v>
      </c>
      <c r="F17" s="46" t="b">
        <v>0</v>
      </c>
      <c r="G17" s="46" t="b">
        <v>0</v>
      </c>
      <c r="H17" s="46" t="b">
        <v>0</v>
      </c>
      <c r="I17" s="46" t="b">
        <v>0</v>
      </c>
      <c r="J17" s="46" t="b">
        <v>0</v>
      </c>
      <c r="K17" s="46" t="b">
        <v>0</v>
      </c>
      <c r="L17" s="46" t="b">
        <v>0</v>
      </c>
      <c r="M17" s="46" t="b">
        <v>0</v>
      </c>
      <c r="N17" s="46" t="b">
        <v>0</v>
      </c>
      <c r="O17" s="46" t="b">
        <v>0</v>
      </c>
      <c r="P17" s="46" t="b">
        <v>0</v>
      </c>
      <c r="Q17" s="46" t="b">
        <v>0</v>
      </c>
      <c r="R17" s="46" t="b">
        <v>0</v>
      </c>
      <c r="S17" s="46" t="b">
        <v>0</v>
      </c>
      <c r="T17" s="46" t="b">
        <v>0</v>
      </c>
      <c r="U17" s="46" t="b">
        <v>0</v>
      </c>
      <c r="V17" s="46" t="b">
        <v>0</v>
      </c>
      <c r="W17" s="46" t="b">
        <v>0</v>
      </c>
      <c r="X17" s="46" t="b">
        <v>0</v>
      </c>
      <c r="Y17" s="46" t="b">
        <v>0</v>
      </c>
      <c r="Z17" s="46" t="b">
        <v>0</v>
      </c>
      <c r="AA17" s="46" t="b">
        <v>0</v>
      </c>
      <c r="AB17" s="46" t="b">
        <v>0</v>
      </c>
      <c r="AC17" s="46" t="b">
        <v>0</v>
      </c>
      <c r="AD17" s="46" t="b">
        <v>0</v>
      </c>
      <c r="AE17" s="46" t="b">
        <v>0</v>
      </c>
      <c r="AF17" s="46" t="b">
        <v>0</v>
      </c>
      <c r="AG17" s="46" t="b">
        <v>0</v>
      </c>
      <c r="AH17" s="46" t="b">
        <v>0</v>
      </c>
      <c r="AI17" s="46" t="b">
        <v>0</v>
      </c>
      <c r="AK17" s="47">
        <f>IF($C17="","",SUMPRODUCT((((E17:AI17=TRUE)+(E17:AI17=1))&gt;0)*($E$11:$AI$11&lt;&gt;"")))</f>
        <v>0</v>
      </c>
      <c r="AL17" s="48">
        <f>IF($C17="","",IF($AP$3=0,0,IFERROR(MIN(1,AK17/$AP$17),0)))</f>
        <v>0</v>
      </c>
      <c r="AM17" s="49">
        <f>IF($C17="","",IF($AP$3=0,0,MAX(INDEX($AQ$17:$BU$17,$AP$3),INDEX($AQ$17:$BU$17,MAX($AP$3-1,1)))))</f>
        <v>0</v>
      </c>
      <c r="AN17" s="45">
        <f>IF($C17="","",MAX($AQ$17:$BU$17))</f>
        <v>0</v>
      </c>
      <c r="AP17" s="29">
        <f>IF($C17="",0,IFERROR(IF($D17="",$AP$2,$D17)*$AP$3/$AP$2,$AP$3))</f>
        <v>0</v>
      </c>
      <c r="AQ17" s="29">
        <f>IF(AND(1&lt;=$AP$3,OR(E17=TRUE,E17=1)),0+1,0)</f>
        <v>0</v>
      </c>
      <c r="AR17" s="29">
        <f>IF(AND(2&lt;=$AP$3,OR(F17=TRUE,F17=1)),AQ17+1,0)</f>
        <v>0</v>
      </c>
      <c r="AS17" s="29">
        <f>IF(AND(3&lt;=$AP$3,OR(G17=TRUE,G17=1)),AR17+1,0)</f>
        <v>0</v>
      </c>
      <c r="AT17" s="29">
        <f>IF(AND(4&lt;=$AP$3,OR(H17=TRUE,H17=1)),AS17+1,0)</f>
        <v>0</v>
      </c>
      <c r="AU17" s="29">
        <f>IF(AND(5&lt;=$AP$3,OR(I17=TRUE,I17=1)),AT17+1,0)</f>
        <v>0</v>
      </c>
      <c r="AV17" s="29">
        <f>IF(AND(6&lt;=$AP$3,OR(J17=TRUE,J17=1)),AU17+1,0)</f>
        <v>0</v>
      </c>
      <c r="AW17" s="29">
        <f>IF(AND(7&lt;=$AP$3,OR(K17=TRUE,K17=1)),AV17+1,0)</f>
        <v>0</v>
      </c>
      <c r="AX17" s="29">
        <f>IF(AND(8&lt;=$AP$3,OR(L17=TRUE,L17=1)),AW17+1,0)</f>
        <v>0</v>
      </c>
      <c r="AY17" s="29">
        <f>IF(AND(9&lt;=$AP$3,OR(M17=TRUE,M17=1)),AX17+1,0)</f>
        <v>0</v>
      </c>
      <c r="AZ17" s="29">
        <f>IF(AND(10&lt;=$AP$3,OR(N17=TRUE,N17=1)),AY17+1,0)</f>
        <v>0</v>
      </c>
      <c r="BA17" s="29">
        <f>IF(AND(11&lt;=$AP$3,OR(O17=TRUE,O17=1)),AZ17+1,0)</f>
        <v>0</v>
      </c>
      <c r="BB17" s="29">
        <f>IF(AND(12&lt;=$AP$3,OR(P17=TRUE,P17=1)),BA17+1,0)</f>
        <v>0</v>
      </c>
      <c r="BC17" s="29">
        <f>IF(AND(13&lt;=$AP$3,OR(Q17=TRUE,Q17=1)),BB17+1,0)</f>
        <v>0</v>
      </c>
      <c r="BD17" s="29">
        <f>IF(AND(14&lt;=$AP$3,OR(R17=TRUE,R17=1)),BC17+1,0)</f>
        <v>0</v>
      </c>
      <c r="BE17" s="29">
        <f>IF(AND(15&lt;=$AP$3,OR(S17=TRUE,S17=1)),BD17+1,0)</f>
        <v>0</v>
      </c>
      <c r="BF17" s="29">
        <f>IF(AND(16&lt;=$AP$3,OR(T17=TRUE,T17=1)),BE17+1,0)</f>
        <v>0</v>
      </c>
      <c r="BG17" s="29">
        <f>IF(AND(17&lt;=$AP$3,OR(U17=TRUE,U17=1)),BF17+1,0)</f>
        <v>0</v>
      </c>
      <c r="BH17" s="29">
        <f>IF(AND(18&lt;=$AP$3,OR(V17=TRUE,V17=1)),BG17+1,0)</f>
        <v>0</v>
      </c>
      <c r="BI17" s="29">
        <f>IF(AND(19&lt;=$AP$3,OR(W17=TRUE,W17=1)),BH17+1,0)</f>
        <v>0</v>
      </c>
      <c r="BJ17" s="29">
        <f>IF(AND(20&lt;=$AP$3,OR(X17=TRUE,X17=1)),BI17+1,0)</f>
        <v>0</v>
      </c>
      <c r="BK17" s="29">
        <f>IF(AND(21&lt;=$AP$3,OR(Y17=TRUE,Y17=1)),BJ17+1,0)</f>
        <v>0</v>
      </c>
      <c r="BL17" s="29">
        <f>IF(AND(22&lt;=$AP$3,OR(Z17=TRUE,Z17=1)),BK17+1,0)</f>
        <v>0</v>
      </c>
      <c r="BM17" s="29">
        <f>IF(AND(23&lt;=$AP$3,OR(AA17=TRUE,AA17=1)),BL17+1,0)</f>
        <v>0</v>
      </c>
      <c r="BN17" s="29">
        <f>IF(AND(24&lt;=$AP$3,OR(AB17=TRUE,AB17=1)),BM17+1,0)</f>
        <v>0</v>
      </c>
      <c r="BO17" s="29">
        <f>IF(AND(25&lt;=$AP$3,OR(AC17=TRUE,AC17=1)),BN17+1,0)</f>
        <v>0</v>
      </c>
      <c r="BP17" s="29">
        <f>IF(AND(26&lt;=$AP$3,OR(AD17=TRUE,AD17=1)),BO17+1,0)</f>
        <v>0</v>
      </c>
      <c r="BQ17" s="29">
        <f>IF(AND(27&lt;=$AP$3,OR(AE17=TRUE,AE17=1)),BP17+1,0)</f>
        <v>0</v>
      </c>
      <c r="BR17" s="29">
        <f>IF(AND(28&lt;=$AP$3,OR(AF17=TRUE,AF17=1)),BQ17+1,0)</f>
        <v>0</v>
      </c>
      <c r="BS17" s="29">
        <f>IF(AND(29&lt;=$AP$3,OR(AG17=TRUE,AG17=1)),BR17+1,0)</f>
        <v>0</v>
      </c>
      <c r="BT17" s="29">
        <f>IF(AND(30&lt;=$AP$3,OR(AH17=TRUE,AH17=1)),BS17+1,0)</f>
        <v>0</v>
      </c>
      <c r="BU17" s="29">
        <f>IF(AND(31&lt;=$AP$3,OR(AI17=TRUE,AI17=1)),BT17+1,0)</f>
        <v>0</v>
      </c>
    </row>
    <row r="18" spans="2:73" ht="20" customHeight="1" x14ac:dyDescent="0.25">
      <c r="B18" s="44" t="str">
        <f>IF('Старт'!$C$18="","",'Старт'!$C$18)</f>
        <v>Работа</v>
      </c>
      <c r="C18" s="20" t="str">
        <f>IF('Старт'!$D$18="","",'Старт'!$D$18)</f>
        <v>План на завтра</v>
      </c>
      <c r="D18" s="45">
        <f>IF('Старт'!$E$18="","",'Старт'!$E$18)</f>
        <v/>
      </c>
      <c r="E18" s="46" t="b">
        <v>0</v>
      </c>
      <c r="F18" s="46" t="b">
        <v>0</v>
      </c>
      <c r="G18" s="46" t="b">
        <v>0</v>
      </c>
      <c r="H18" s="46" t="b">
        <v>0</v>
      </c>
      <c r="I18" s="46" t="b">
        <v>0</v>
      </c>
      <c r="J18" s="46" t="b">
        <v>0</v>
      </c>
      <c r="K18" s="46" t="b">
        <v>0</v>
      </c>
      <c r="L18" s="46" t="b">
        <v>0</v>
      </c>
      <c r="M18" s="46" t="b">
        <v>0</v>
      </c>
      <c r="N18" s="46" t="b">
        <v>0</v>
      </c>
      <c r="O18" s="46" t="b">
        <v>0</v>
      </c>
      <c r="P18" s="46" t="b">
        <v>0</v>
      </c>
      <c r="Q18" s="46" t="b">
        <v>0</v>
      </c>
      <c r="R18" s="46" t="b">
        <v>0</v>
      </c>
      <c r="S18" s="46" t="b">
        <v>0</v>
      </c>
      <c r="T18" s="46" t="b">
        <v>0</v>
      </c>
      <c r="U18" s="46" t="b">
        <v>0</v>
      </c>
      <c r="V18" s="46" t="b">
        <v>0</v>
      </c>
      <c r="W18" s="46" t="b">
        <v>0</v>
      </c>
      <c r="X18" s="46" t="b">
        <v>0</v>
      </c>
      <c r="Y18" s="46" t="b">
        <v>0</v>
      </c>
      <c r="Z18" s="46" t="b">
        <v>0</v>
      </c>
      <c r="AA18" s="46" t="b">
        <v>0</v>
      </c>
      <c r="AB18" s="46" t="b">
        <v>0</v>
      </c>
      <c r="AC18" s="46" t="b">
        <v>0</v>
      </c>
      <c r="AD18" s="46" t="b">
        <v>0</v>
      </c>
      <c r="AE18" s="46" t="b">
        <v>0</v>
      </c>
      <c r="AF18" s="46" t="b">
        <v>0</v>
      </c>
      <c r="AG18" s="46" t="b">
        <v>0</v>
      </c>
      <c r="AH18" s="46" t="b">
        <v>0</v>
      </c>
      <c r="AI18" s="46" t="b">
        <v>0</v>
      </c>
      <c r="AK18" s="47">
        <f>IF($C18="","",SUMPRODUCT((((E18:AI18=TRUE)+(E18:AI18=1))&gt;0)*($E$11:$AI$11&lt;&gt;"")))</f>
        <v>0</v>
      </c>
      <c r="AL18" s="48">
        <f>IF($C18="","",IF($AP$3=0,0,IFERROR(MIN(1,AK18/$AP$18),0)))</f>
        <v>0</v>
      </c>
      <c r="AM18" s="49">
        <f>IF($C18="","",IF($AP$3=0,0,MAX(INDEX($AQ$18:$BU$18,$AP$3),INDEX($AQ$18:$BU$18,MAX($AP$3-1,1)))))</f>
        <v>0</v>
      </c>
      <c r="AN18" s="45">
        <f>IF($C18="","",MAX($AQ$18:$BU$18))</f>
        <v>0</v>
      </c>
      <c r="AP18" s="29">
        <f>IF($C18="",0,IFERROR(IF($D18="",$AP$2,$D18)*$AP$3/$AP$2,$AP$3))</f>
        <v>0</v>
      </c>
      <c r="AQ18" s="29">
        <f>IF(AND(1&lt;=$AP$3,OR(E18=TRUE,E18=1)),0+1,0)</f>
        <v>0</v>
      </c>
      <c r="AR18" s="29">
        <f>IF(AND(2&lt;=$AP$3,OR(F18=TRUE,F18=1)),AQ18+1,0)</f>
        <v>0</v>
      </c>
      <c r="AS18" s="29">
        <f>IF(AND(3&lt;=$AP$3,OR(G18=TRUE,G18=1)),AR18+1,0)</f>
        <v>0</v>
      </c>
      <c r="AT18" s="29">
        <f>IF(AND(4&lt;=$AP$3,OR(H18=TRUE,H18=1)),AS18+1,0)</f>
        <v>0</v>
      </c>
      <c r="AU18" s="29">
        <f>IF(AND(5&lt;=$AP$3,OR(I18=TRUE,I18=1)),AT18+1,0)</f>
        <v>0</v>
      </c>
      <c r="AV18" s="29">
        <f>IF(AND(6&lt;=$AP$3,OR(J18=TRUE,J18=1)),AU18+1,0)</f>
        <v>0</v>
      </c>
      <c r="AW18" s="29">
        <f>IF(AND(7&lt;=$AP$3,OR(K18=TRUE,K18=1)),AV18+1,0)</f>
        <v>0</v>
      </c>
      <c r="AX18" s="29">
        <f>IF(AND(8&lt;=$AP$3,OR(L18=TRUE,L18=1)),AW18+1,0)</f>
        <v>0</v>
      </c>
      <c r="AY18" s="29">
        <f>IF(AND(9&lt;=$AP$3,OR(M18=TRUE,M18=1)),AX18+1,0)</f>
        <v>0</v>
      </c>
      <c r="AZ18" s="29">
        <f>IF(AND(10&lt;=$AP$3,OR(N18=TRUE,N18=1)),AY18+1,0)</f>
        <v>0</v>
      </c>
      <c r="BA18" s="29">
        <f>IF(AND(11&lt;=$AP$3,OR(O18=TRUE,O18=1)),AZ18+1,0)</f>
        <v>0</v>
      </c>
      <c r="BB18" s="29">
        <f>IF(AND(12&lt;=$AP$3,OR(P18=TRUE,P18=1)),BA18+1,0)</f>
        <v>0</v>
      </c>
      <c r="BC18" s="29">
        <f>IF(AND(13&lt;=$AP$3,OR(Q18=TRUE,Q18=1)),BB18+1,0)</f>
        <v>0</v>
      </c>
      <c r="BD18" s="29">
        <f>IF(AND(14&lt;=$AP$3,OR(R18=TRUE,R18=1)),BC18+1,0)</f>
        <v>0</v>
      </c>
      <c r="BE18" s="29">
        <f>IF(AND(15&lt;=$AP$3,OR(S18=TRUE,S18=1)),BD18+1,0)</f>
        <v>0</v>
      </c>
      <c r="BF18" s="29">
        <f>IF(AND(16&lt;=$AP$3,OR(T18=TRUE,T18=1)),BE18+1,0)</f>
        <v>0</v>
      </c>
      <c r="BG18" s="29">
        <f>IF(AND(17&lt;=$AP$3,OR(U18=TRUE,U18=1)),BF18+1,0)</f>
        <v>0</v>
      </c>
      <c r="BH18" s="29">
        <f>IF(AND(18&lt;=$AP$3,OR(V18=TRUE,V18=1)),BG18+1,0)</f>
        <v>0</v>
      </c>
      <c r="BI18" s="29">
        <f>IF(AND(19&lt;=$AP$3,OR(W18=TRUE,W18=1)),BH18+1,0)</f>
        <v>0</v>
      </c>
      <c r="BJ18" s="29">
        <f>IF(AND(20&lt;=$AP$3,OR(X18=TRUE,X18=1)),BI18+1,0)</f>
        <v>0</v>
      </c>
      <c r="BK18" s="29">
        <f>IF(AND(21&lt;=$AP$3,OR(Y18=TRUE,Y18=1)),BJ18+1,0)</f>
        <v>0</v>
      </c>
      <c r="BL18" s="29">
        <f>IF(AND(22&lt;=$AP$3,OR(Z18=TRUE,Z18=1)),BK18+1,0)</f>
        <v>0</v>
      </c>
      <c r="BM18" s="29">
        <f>IF(AND(23&lt;=$AP$3,OR(AA18=TRUE,AA18=1)),BL18+1,0)</f>
        <v>0</v>
      </c>
      <c r="BN18" s="29">
        <f>IF(AND(24&lt;=$AP$3,OR(AB18=TRUE,AB18=1)),BM18+1,0)</f>
        <v>0</v>
      </c>
      <c r="BO18" s="29">
        <f>IF(AND(25&lt;=$AP$3,OR(AC18=TRUE,AC18=1)),BN18+1,0)</f>
        <v>0</v>
      </c>
      <c r="BP18" s="29">
        <f>IF(AND(26&lt;=$AP$3,OR(AD18=TRUE,AD18=1)),BO18+1,0)</f>
        <v>0</v>
      </c>
      <c r="BQ18" s="29">
        <f>IF(AND(27&lt;=$AP$3,OR(AE18=TRUE,AE18=1)),BP18+1,0)</f>
        <v>0</v>
      </c>
      <c r="BR18" s="29">
        <f>IF(AND(28&lt;=$AP$3,OR(AF18=TRUE,AF18=1)),BQ18+1,0)</f>
        <v>0</v>
      </c>
      <c r="BS18" s="29">
        <f>IF(AND(29&lt;=$AP$3,OR(AG18=TRUE,AG18=1)),BR18+1,0)</f>
        <v>0</v>
      </c>
      <c r="BT18" s="29">
        <f>IF(AND(30&lt;=$AP$3,OR(AH18=TRUE,AH18=1)),BS18+1,0)</f>
        <v>0</v>
      </c>
      <c r="BU18" s="29">
        <f>IF(AND(31&lt;=$AP$3,OR(AI18=TRUE,AI18=1)),BT18+1,0)</f>
        <v>0</v>
      </c>
    </row>
    <row r="19" spans="2:73" ht="20" customHeight="1" x14ac:dyDescent="0.25">
      <c r="B19" s="44" t="str">
        <f>IF('Старт'!$C$19="","",'Старт'!$C$19)</f>
        <v>Учёба</v>
      </c>
      <c r="C19" s="20" t="str">
        <f>IF('Старт'!$D$19="","",'Старт'!$D$19)</f>
        <v>Английский 15 минут</v>
      </c>
      <c r="D19" s="45">
        <f>IF('Старт'!$E$19="","",'Старт'!$E$19)</f>
        <v>20</v>
      </c>
      <c r="E19" s="46" t="b">
        <v>0</v>
      </c>
      <c r="F19" s="46" t="b">
        <v>0</v>
      </c>
      <c r="G19" s="46" t="b">
        <v>0</v>
      </c>
      <c r="H19" s="46" t="b">
        <v>0</v>
      </c>
      <c r="I19" s="46" t="b">
        <v>0</v>
      </c>
      <c r="J19" s="46" t="b">
        <v>0</v>
      </c>
      <c r="K19" s="46" t="b">
        <v>0</v>
      </c>
      <c r="L19" s="46" t="b">
        <v>0</v>
      </c>
      <c r="M19" s="46" t="b">
        <v>0</v>
      </c>
      <c r="N19" s="46" t="b">
        <v>0</v>
      </c>
      <c r="O19" s="46" t="b">
        <v>0</v>
      </c>
      <c r="P19" s="46" t="b">
        <v>0</v>
      </c>
      <c r="Q19" s="46" t="b">
        <v>0</v>
      </c>
      <c r="R19" s="46" t="b">
        <v>0</v>
      </c>
      <c r="S19" s="46" t="b">
        <v>0</v>
      </c>
      <c r="T19" s="46" t="b">
        <v>0</v>
      </c>
      <c r="U19" s="46" t="b">
        <v>0</v>
      </c>
      <c r="V19" s="46" t="b">
        <v>0</v>
      </c>
      <c r="W19" s="46" t="b">
        <v>0</v>
      </c>
      <c r="X19" s="46" t="b">
        <v>0</v>
      </c>
      <c r="Y19" s="46" t="b">
        <v>0</v>
      </c>
      <c r="Z19" s="46" t="b">
        <v>0</v>
      </c>
      <c r="AA19" s="46" t="b">
        <v>0</v>
      </c>
      <c r="AB19" s="46" t="b">
        <v>0</v>
      </c>
      <c r="AC19" s="46" t="b">
        <v>0</v>
      </c>
      <c r="AD19" s="46" t="b">
        <v>0</v>
      </c>
      <c r="AE19" s="46" t="b">
        <v>0</v>
      </c>
      <c r="AF19" s="46" t="b">
        <v>0</v>
      </c>
      <c r="AG19" s="46" t="b">
        <v>0</v>
      </c>
      <c r="AH19" s="46" t="b">
        <v>0</v>
      </c>
      <c r="AI19" s="46" t="b">
        <v>0</v>
      </c>
      <c r="AK19" s="47">
        <f>IF($C19="","",SUMPRODUCT((((E19:AI19=TRUE)+(E19:AI19=1))&gt;0)*($E$11:$AI$11&lt;&gt;"")))</f>
        <v>0</v>
      </c>
      <c r="AL19" s="48">
        <f>IF($C19="","",IF($AP$3=0,0,IFERROR(MIN(1,AK19/$AP$19),0)))</f>
        <v>0</v>
      </c>
      <c r="AM19" s="49">
        <f>IF($C19="","",IF($AP$3=0,0,MAX(INDEX($AQ$19:$BU$19,$AP$3),INDEX($AQ$19:$BU$19,MAX($AP$3-1,1)))))</f>
        <v>0</v>
      </c>
      <c r="AN19" s="45">
        <f>IF($C19="","",MAX($AQ$19:$BU$19))</f>
        <v>0</v>
      </c>
      <c r="AP19" s="29">
        <f>IF($C19="",0,IFERROR(IF($D19="",$AP$2,$D19)*$AP$3/$AP$2,$AP$3))</f>
        <v>0</v>
      </c>
      <c r="AQ19" s="29">
        <f>IF(AND(1&lt;=$AP$3,OR(E19=TRUE,E19=1)),0+1,0)</f>
        <v>0</v>
      </c>
      <c r="AR19" s="29">
        <f>IF(AND(2&lt;=$AP$3,OR(F19=TRUE,F19=1)),AQ19+1,0)</f>
        <v>0</v>
      </c>
      <c r="AS19" s="29">
        <f>IF(AND(3&lt;=$AP$3,OR(G19=TRUE,G19=1)),AR19+1,0)</f>
        <v>0</v>
      </c>
      <c r="AT19" s="29">
        <f>IF(AND(4&lt;=$AP$3,OR(H19=TRUE,H19=1)),AS19+1,0)</f>
        <v>0</v>
      </c>
      <c r="AU19" s="29">
        <f>IF(AND(5&lt;=$AP$3,OR(I19=TRUE,I19=1)),AT19+1,0)</f>
        <v>0</v>
      </c>
      <c r="AV19" s="29">
        <f>IF(AND(6&lt;=$AP$3,OR(J19=TRUE,J19=1)),AU19+1,0)</f>
        <v>0</v>
      </c>
      <c r="AW19" s="29">
        <f>IF(AND(7&lt;=$AP$3,OR(K19=TRUE,K19=1)),AV19+1,0)</f>
        <v>0</v>
      </c>
      <c r="AX19" s="29">
        <f>IF(AND(8&lt;=$AP$3,OR(L19=TRUE,L19=1)),AW19+1,0)</f>
        <v>0</v>
      </c>
      <c r="AY19" s="29">
        <f>IF(AND(9&lt;=$AP$3,OR(M19=TRUE,M19=1)),AX19+1,0)</f>
        <v>0</v>
      </c>
      <c r="AZ19" s="29">
        <f>IF(AND(10&lt;=$AP$3,OR(N19=TRUE,N19=1)),AY19+1,0)</f>
        <v>0</v>
      </c>
      <c r="BA19" s="29">
        <f>IF(AND(11&lt;=$AP$3,OR(O19=TRUE,O19=1)),AZ19+1,0)</f>
        <v>0</v>
      </c>
      <c r="BB19" s="29">
        <f>IF(AND(12&lt;=$AP$3,OR(P19=TRUE,P19=1)),BA19+1,0)</f>
        <v>0</v>
      </c>
      <c r="BC19" s="29">
        <f>IF(AND(13&lt;=$AP$3,OR(Q19=TRUE,Q19=1)),BB19+1,0)</f>
        <v>0</v>
      </c>
      <c r="BD19" s="29">
        <f>IF(AND(14&lt;=$AP$3,OR(R19=TRUE,R19=1)),BC19+1,0)</f>
        <v>0</v>
      </c>
      <c r="BE19" s="29">
        <f>IF(AND(15&lt;=$AP$3,OR(S19=TRUE,S19=1)),BD19+1,0)</f>
        <v>0</v>
      </c>
      <c r="BF19" s="29">
        <f>IF(AND(16&lt;=$AP$3,OR(T19=TRUE,T19=1)),BE19+1,0)</f>
        <v>0</v>
      </c>
      <c r="BG19" s="29">
        <f>IF(AND(17&lt;=$AP$3,OR(U19=TRUE,U19=1)),BF19+1,0)</f>
        <v>0</v>
      </c>
      <c r="BH19" s="29">
        <f>IF(AND(18&lt;=$AP$3,OR(V19=TRUE,V19=1)),BG19+1,0)</f>
        <v>0</v>
      </c>
      <c r="BI19" s="29">
        <f>IF(AND(19&lt;=$AP$3,OR(W19=TRUE,W19=1)),BH19+1,0)</f>
        <v>0</v>
      </c>
      <c r="BJ19" s="29">
        <f>IF(AND(20&lt;=$AP$3,OR(X19=TRUE,X19=1)),BI19+1,0)</f>
        <v>0</v>
      </c>
      <c r="BK19" s="29">
        <f>IF(AND(21&lt;=$AP$3,OR(Y19=TRUE,Y19=1)),BJ19+1,0)</f>
        <v>0</v>
      </c>
      <c r="BL19" s="29">
        <f>IF(AND(22&lt;=$AP$3,OR(Z19=TRUE,Z19=1)),BK19+1,0)</f>
        <v>0</v>
      </c>
      <c r="BM19" s="29">
        <f>IF(AND(23&lt;=$AP$3,OR(AA19=TRUE,AA19=1)),BL19+1,0)</f>
        <v>0</v>
      </c>
      <c r="BN19" s="29">
        <f>IF(AND(24&lt;=$AP$3,OR(AB19=TRUE,AB19=1)),BM19+1,0)</f>
        <v>0</v>
      </c>
      <c r="BO19" s="29">
        <f>IF(AND(25&lt;=$AP$3,OR(AC19=TRUE,AC19=1)),BN19+1,0)</f>
        <v>0</v>
      </c>
      <c r="BP19" s="29">
        <f>IF(AND(26&lt;=$AP$3,OR(AD19=TRUE,AD19=1)),BO19+1,0)</f>
        <v>0</v>
      </c>
      <c r="BQ19" s="29">
        <f>IF(AND(27&lt;=$AP$3,OR(AE19=TRUE,AE19=1)),BP19+1,0)</f>
        <v>0</v>
      </c>
      <c r="BR19" s="29">
        <f>IF(AND(28&lt;=$AP$3,OR(AF19=TRUE,AF19=1)),BQ19+1,0)</f>
        <v>0</v>
      </c>
      <c r="BS19" s="29">
        <f>IF(AND(29&lt;=$AP$3,OR(AG19=TRUE,AG19=1)),BR19+1,0)</f>
        <v>0</v>
      </c>
      <c r="BT19" s="29">
        <f>IF(AND(30&lt;=$AP$3,OR(AH19=TRUE,AH19=1)),BS19+1,0)</f>
        <v>0</v>
      </c>
      <c r="BU19" s="29">
        <f>IF(AND(31&lt;=$AP$3,OR(AI19=TRUE,AI19=1)),BT19+1,0)</f>
        <v>0</v>
      </c>
    </row>
    <row r="20" spans="2:73" ht="20" customHeight="1" x14ac:dyDescent="0.25">
      <c r="B20" s="44">
        <f>IF('Старт'!$C$20="","",'Старт'!$C$20)</f>
        <v/>
      </c>
      <c r="C20" s="20">
        <f>IF('Старт'!$D$20="","",'Старт'!$D$20)</f>
        <v/>
      </c>
      <c r="D20" s="45">
        <f>IF('Старт'!$E$20="","",'Старт'!$E$20)</f>
        <v/>
      </c>
      <c r="E20" s="46" t="b">
        <v>0</v>
      </c>
      <c r="F20" s="46" t="b">
        <v>0</v>
      </c>
      <c r="G20" s="46" t="b">
        <v>0</v>
      </c>
      <c r="H20" s="46" t="b">
        <v>0</v>
      </c>
      <c r="I20" s="46" t="b">
        <v>0</v>
      </c>
      <c r="J20" s="46" t="b">
        <v>0</v>
      </c>
      <c r="K20" s="46" t="b">
        <v>0</v>
      </c>
      <c r="L20" s="46" t="b">
        <v>0</v>
      </c>
      <c r="M20" s="46" t="b">
        <v>0</v>
      </c>
      <c r="N20" s="46" t="b">
        <v>0</v>
      </c>
      <c r="O20" s="46" t="b">
        <v>0</v>
      </c>
      <c r="P20" s="46" t="b">
        <v>0</v>
      </c>
      <c r="Q20" s="46" t="b">
        <v>0</v>
      </c>
      <c r="R20" s="46" t="b">
        <v>0</v>
      </c>
      <c r="S20" s="46" t="b">
        <v>0</v>
      </c>
      <c r="T20" s="46" t="b">
        <v>0</v>
      </c>
      <c r="U20" s="46" t="b">
        <v>0</v>
      </c>
      <c r="V20" s="46" t="b">
        <v>0</v>
      </c>
      <c r="W20" s="46" t="b">
        <v>0</v>
      </c>
      <c r="X20" s="46" t="b">
        <v>0</v>
      </c>
      <c r="Y20" s="46" t="b">
        <v>0</v>
      </c>
      <c r="Z20" s="46" t="b">
        <v>0</v>
      </c>
      <c r="AA20" s="46" t="b">
        <v>0</v>
      </c>
      <c r="AB20" s="46" t="b">
        <v>0</v>
      </c>
      <c r="AC20" s="46" t="b">
        <v>0</v>
      </c>
      <c r="AD20" s="46" t="b">
        <v>0</v>
      </c>
      <c r="AE20" s="46" t="b">
        <v>0</v>
      </c>
      <c r="AF20" s="46" t="b">
        <v>0</v>
      </c>
      <c r="AG20" s="46" t="b">
        <v>0</v>
      </c>
      <c r="AH20" s="46" t="b">
        <v>0</v>
      </c>
      <c r="AI20" s="46" t="b">
        <v>0</v>
      </c>
      <c r="AK20" s="47">
        <f>IF($C20="","",SUMPRODUCT((((E20:AI20=TRUE)+(E20:AI20=1))&gt;0)*($E$11:$AI$11&lt;&gt;"")))</f>
        <v/>
      </c>
      <c r="AL20" s="48">
        <f>IF($C20="","",IF($AP$3=0,0,IFERROR(MIN(1,AK20/$AP$20),0)))</f>
        <v/>
      </c>
      <c r="AM20" s="49">
        <f>IF($C20="","",IF($AP$3=0,0,MAX(INDEX($AQ$20:$BU$20,$AP$3),INDEX($AQ$20:$BU$20,MAX($AP$3-1,1)))))</f>
        <v/>
      </c>
      <c r="AN20" s="45">
        <f>IF($C20="","",MAX($AQ$20:$BU$20))</f>
        <v/>
      </c>
      <c r="AP20" s="29">
        <f>IF($C20="",0,IFERROR(IF($D20="",$AP$2,$D20)*$AP$3/$AP$2,$AP$3))</f>
        <v>0</v>
      </c>
      <c r="AQ20" s="29">
        <f>IF(AND(1&lt;=$AP$3,OR(E20=TRUE,E20=1)),0+1,0)</f>
        <v>0</v>
      </c>
      <c r="AR20" s="29">
        <f>IF(AND(2&lt;=$AP$3,OR(F20=TRUE,F20=1)),AQ20+1,0)</f>
        <v>0</v>
      </c>
      <c r="AS20" s="29">
        <f>IF(AND(3&lt;=$AP$3,OR(G20=TRUE,G20=1)),AR20+1,0)</f>
        <v>0</v>
      </c>
      <c r="AT20" s="29">
        <f>IF(AND(4&lt;=$AP$3,OR(H20=TRUE,H20=1)),AS20+1,0)</f>
        <v>0</v>
      </c>
      <c r="AU20" s="29">
        <f>IF(AND(5&lt;=$AP$3,OR(I20=TRUE,I20=1)),AT20+1,0)</f>
        <v>0</v>
      </c>
      <c r="AV20" s="29">
        <f>IF(AND(6&lt;=$AP$3,OR(J20=TRUE,J20=1)),AU20+1,0)</f>
        <v>0</v>
      </c>
      <c r="AW20" s="29">
        <f>IF(AND(7&lt;=$AP$3,OR(K20=TRUE,K20=1)),AV20+1,0)</f>
        <v>0</v>
      </c>
      <c r="AX20" s="29">
        <f>IF(AND(8&lt;=$AP$3,OR(L20=TRUE,L20=1)),AW20+1,0)</f>
        <v>0</v>
      </c>
      <c r="AY20" s="29">
        <f>IF(AND(9&lt;=$AP$3,OR(M20=TRUE,M20=1)),AX20+1,0)</f>
        <v>0</v>
      </c>
      <c r="AZ20" s="29">
        <f>IF(AND(10&lt;=$AP$3,OR(N20=TRUE,N20=1)),AY20+1,0)</f>
        <v>0</v>
      </c>
      <c r="BA20" s="29">
        <f>IF(AND(11&lt;=$AP$3,OR(O20=TRUE,O20=1)),AZ20+1,0)</f>
        <v>0</v>
      </c>
      <c r="BB20" s="29">
        <f>IF(AND(12&lt;=$AP$3,OR(P20=TRUE,P20=1)),BA20+1,0)</f>
        <v>0</v>
      </c>
      <c r="BC20" s="29">
        <f>IF(AND(13&lt;=$AP$3,OR(Q20=TRUE,Q20=1)),BB20+1,0)</f>
        <v>0</v>
      </c>
      <c r="BD20" s="29">
        <f>IF(AND(14&lt;=$AP$3,OR(R20=TRUE,R20=1)),BC20+1,0)</f>
        <v>0</v>
      </c>
      <c r="BE20" s="29">
        <f>IF(AND(15&lt;=$AP$3,OR(S20=TRUE,S20=1)),BD20+1,0)</f>
        <v>0</v>
      </c>
      <c r="BF20" s="29">
        <f>IF(AND(16&lt;=$AP$3,OR(T20=TRUE,T20=1)),BE20+1,0)</f>
        <v>0</v>
      </c>
      <c r="BG20" s="29">
        <f>IF(AND(17&lt;=$AP$3,OR(U20=TRUE,U20=1)),BF20+1,0)</f>
        <v>0</v>
      </c>
      <c r="BH20" s="29">
        <f>IF(AND(18&lt;=$AP$3,OR(V20=TRUE,V20=1)),BG20+1,0)</f>
        <v>0</v>
      </c>
      <c r="BI20" s="29">
        <f>IF(AND(19&lt;=$AP$3,OR(W20=TRUE,W20=1)),BH20+1,0)</f>
        <v>0</v>
      </c>
      <c r="BJ20" s="29">
        <f>IF(AND(20&lt;=$AP$3,OR(X20=TRUE,X20=1)),BI20+1,0)</f>
        <v>0</v>
      </c>
      <c r="BK20" s="29">
        <f>IF(AND(21&lt;=$AP$3,OR(Y20=TRUE,Y20=1)),BJ20+1,0)</f>
        <v>0</v>
      </c>
      <c r="BL20" s="29">
        <f>IF(AND(22&lt;=$AP$3,OR(Z20=TRUE,Z20=1)),BK20+1,0)</f>
        <v>0</v>
      </c>
      <c r="BM20" s="29">
        <f>IF(AND(23&lt;=$AP$3,OR(AA20=TRUE,AA20=1)),BL20+1,0)</f>
        <v>0</v>
      </c>
      <c r="BN20" s="29">
        <f>IF(AND(24&lt;=$AP$3,OR(AB20=TRUE,AB20=1)),BM20+1,0)</f>
        <v>0</v>
      </c>
      <c r="BO20" s="29">
        <f>IF(AND(25&lt;=$AP$3,OR(AC20=TRUE,AC20=1)),BN20+1,0)</f>
        <v>0</v>
      </c>
      <c r="BP20" s="29">
        <f>IF(AND(26&lt;=$AP$3,OR(AD20=TRUE,AD20=1)),BO20+1,0)</f>
        <v>0</v>
      </c>
      <c r="BQ20" s="29">
        <f>IF(AND(27&lt;=$AP$3,OR(AE20=TRUE,AE20=1)),BP20+1,0)</f>
        <v>0</v>
      </c>
      <c r="BR20" s="29">
        <f>IF(AND(28&lt;=$AP$3,OR(AF20=TRUE,AF20=1)),BQ20+1,0)</f>
        <v>0</v>
      </c>
      <c r="BS20" s="29">
        <f>IF(AND(29&lt;=$AP$3,OR(AG20=TRUE,AG20=1)),BR20+1,0)</f>
        <v>0</v>
      </c>
      <c r="BT20" s="29">
        <f>IF(AND(30&lt;=$AP$3,OR(AH20=TRUE,AH20=1)),BS20+1,0)</f>
        <v>0</v>
      </c>
      <c r="BU20" s="29">
        <f>IF(AND(31&lt;=$AP$3,OR(AI20=TRUE,AI20=1)),BT20+1,0)</f>
        <v>0</v>
      </c>
    </row>
    <row r="21" spans="2:73" ht="20" customHeight="1" x14ac:dyDescent="0.25">
      <c r="B21" s="44">
        <f>IF('Старт'!$C$21="","",'Старт'!$C$21)</f>
        <v/>
      </c>
      <c r="C21" s="20">
        <f>IF('Старт'!$D$21="","",'Старт'!$D$21)</f>
        <v/>
      </c>
      <c r="D21" s="45">
        <f>IF('Старт'!$E$21="","",'Старт'!$E$21)</f>
        <v/>
      </c>
      <c r="E21" s="46" t="b">
        <v>0</v>
      </c>
      <c r="F21" s="46" t="b">
        <v>0</v>
      </c>
      <c r="G21" s="46" t="b">
        <v>0</v>
      </c>
      <c r="H21" s="46" t="b">
        <v>0</v>
      </c>
      <c r="I21" s="46" t="b">
        <v>0</v>
      </c>
      <c r="J21" s="46" t="b">
        <v>0</v>
      </c>
      <c r="K21" s="46" t="b">
        <v>0</v>
      </c>
      <c r="L21" s="46" t="b">
        <v>0</v>
      </c>
      <c r="M21" s="46" t="b">
        <v>0</v>
      </c>
      <c r="N21" s="46" t="b">
        <v>0</v>
      </c>
      <c r="O21" s="46" t="b">
        <v>0</v>
      </c>
      <c r="P21" s="46" t="b">
        <v>0</v>
      </c>
      <c r="Q21" s="46" t="b">
        <v>0</v>
      </c>
      <c r="R21" s="46" t="b">
        <v>0</v>
      </c>
      <c r="S21" s="46" t="b">
        <v>0</v>
      </c>
      <c r="T21" s="46" t="b">
        <v>0</v>
      </c>
      <c r="U21" s="46" t="b">
        <v>0</v>
      </c>
      <c r="V21" s="46" t="b">
        <v>0</v>
      </c>
      <c r="W21" s="46" t="b">
        <v>0</v>
      </c>
      <c r="X21" s="46" t="b">
        <v>0</v>
      </c>
      <c r="Y21" s="46" t="b">
        <v>0</v>
      </c>
      <c r="Z21" s="46" t="b">
        <v>0</v>
      </c>
      <c r="AA21" s="46" t="b">
        <v>0</v>
      </c>
      <c r="AB21" s="46" t="b">
        <v>0</v>
      </c>
      <c r="AC21" s="46" t="b">
        <v>0</v>
      </c>
      <c r="AD21" s="46" t="b">
        <v>0</v>
      </c>
      <c r="AE21" s="46" t="b">
        <v>0</v>
      </c>
      <c r="AF21" s="46" t="b">
        <v>0</v>
      </c>
      <c r="AG21" s="46" t="b">
        <v>0</v>
      </c>
      <c r="AH21" s="46" t="b">
        <v>0</v>
      </c>
      <c r="AI21" s="46" t="b">
        <v>0</v>
      </c>
      <c r="AK21" s="47">
        <f>IF($C21="","",SUMPRODUCT((((E21:AI21=TRUE)+(E21:AI21=1))&gt;0)*($E$11:$AI$11&lt;&gt;"")))</f>
        <v/>
      </c>
      <c r="AL21" s="48">
        <f>IF($C21="","",IF($AP$3=0,0,IFERROR(MIN(1,AK21/$AP$21),0)))</f>
        <v/>
      </c>
      <c r="AM21" s="49">
        <f>IF($C21="","",IF($AP$3=0,0,MAX(INDEX($AQ$21:$BU$21,$AP$3),INDEX($AQ$21:$BU$21,MAX($AP$3-1,1)))))</f>
        <v/>
      </c>
      <c r="AN21" s="45">
        <f>IF($C21="","",MAX($AQ$21:$BU$21))</f>
        <v/>
      </c>
      <c r="AP21" s="29">
        <f>IF($C21="",0,IFERROR(IF($D21="",$AP$2,$D21)*$AP$3/$AP$2,$AP$3))</f>
        <v>0</v>
      </c>
      <c r="AQ21" s="29">
        <f>IF(AND(1&lt;=$AP$3,OR(E21=TRUE,E21=1)),0+1,0)</f>
        <v>0</v>
      </c>
      <c r="AR21" s="29">
        <f>IF(AND(2&lt;=$AP$3,OR(F21=TRUE,F21=1)),AQ21+1,0)</f>
        <v>0</v>
      </c>
      <c r="AS21" s="29">
        <f>IF(AND(3&lt;=$AP$3,OR(G21=TRUE,G21=1)),AR21+1,0)</f>
        <v>0</v>
      </c>
      <c r="AT21" s="29">
        <f>IF(AND(4&lt;=$AP$3,OR(H21=TRUE,H21=1)),AS21+1,0)</f>
        <v>0</v>
      </c>
      <c r="AU21" s="29">
        <f>IF(AND(5&lt;=$AP$3,OR(I21=TRUE,I21=1)),AT21+1,0)</f>
        <v>0</v>
      </c>
      <c r="AV21" s="29">
        <f>IF(AND(6&lt;=$AP$3,OR(J21=TRUE,J21=1)),AU21+1,0)</f>
        <v>0</v>
      </c>
      <c r="AW21" s="29">
        <f>IF(AND(7&lt;=$AP$3,OR(K21=TRUE,K21=1)),AV21+1,0)</f>
        <v>0</v>
      </c>
      <c r="AX21" s="29">
        <f>IF(AND(8&lt;=$AP$3,OR(L21=TRUE,L21=1)),AW21+1,0)</f>
        <v>0</v>
      </c>
      <c r="AY21" s="29">
        <f>IF(AND(9&lt;=$AP$3,OR(M21=TRUE,M21=1)),AX21+1,0)</f>
        <v>0</v>
      </c>
      <c r="AZ21" s="29">
        <f>IF(AND(10&lt;=$AP$3,OR(N21=TRUE,N21=1)),AY21+1,0)</f>
        <v>0</v>
      </c>
      <c r="BA21" s="29">
        <f>IF(AND(11&lt;=$AP$3,OR(O21=TRUE,O21=1)),AZ21+1,0)</f>
        <v>0</v>
      </c>
      <c r="BB21" s="29">
        <f>IF(AND(12&lt;=$AP$3,OR(P21=TRUE,P21=1)),BA21+1,0)</f>
        <v>0</v>
      </c>
      <c r="BC21" s="29">
        <f>IF(AND(13&lt;=$AP$3,OR(Q21=TRUE,Q21=1)),BB21+1,0)</f>
        <v>0</v>
      </c>
      <c r="BD21" s="29">
        <f>IF(AND(14&lt;=$AP$3,OR(R21=TRUE,R21=1)),BC21+1,0)</f>
        <v>0</v>
      </c>
      <c r="BE21" s="29">
        <f>IF(AND(15&lt;=$AP$3,OR(S21=TRUE,S21=1)),BD21+1,0)</f>
        <v>0</v>
      </c>
      <c r="BF21" s="29">
        <f>IF(AND(16&lt;=$AP$3,OR(T21=TRUE,T21=1)),BE21+1,0)</f>
        <v>0</v>
      </c>
      <c r="BG21" s="29">
        <f>IF(AND(17&lt;=$AP$3,OR(U21=TRUE,U21=1)),BF21+1,0)</f>
        <v>0</v>
      </c>
      <c r="BH21" s="29">
        <f>IF(AND(18&lt;=$AP$3,OR(V21=TRUE,V21=1)),BG21+1,0)</f>
        <v>0</v>
      </c>
      <c r="BI21" s="29">
        <f>IF(AND(19&lt;=$AP$3,OR(W21=TRUE,W21=1)),BH21+1,0)</f>
        <v>0</v>
      </c>
      <c r="BJ21" s="29">
        <f>IF(AND(20&lt;=$AP$3,OR(X21=TRUE,X21=1)),BI21+1,0)</f>
        <v>0</v>
      </c>
      <c r="BK21" s="29">
        <f>IF(AND(21&lt;=$AP$3,OR(Y21=TRUE,Y21=1)),BJ21+1,0)</f>
        <v>0</v>
      </c>
      <c r="BL21" s="29">
        <f>IF(AND(22&lt;=$AP$3,OR(Z21=TRUE,Z21=1)),BK21+1,0)</f>
        <v>0</v>
      </c>
      <c r="BM21" s="29">
        <f>IF(AND(23&lt;=$AP$3,OR(AA21=TRUE,AA21=1)),BL21+1,0)</f>
        <v>0</v>
      </c>
      <c r="BN21" s="29">
        <f>IF(AND(24&lt;=$AP$3,OR(AB21=TRUE,AB21=1)),BM21+1,0)</f>
        <v>0</v>
      </c>
      <c r="BO21" s="29">
        <f>IF(AND(25&lt;=$AP$3,OR(AC21=TRUE,AC21=1)),BN21+1,0)</f>
        <v>0</v>
      </c>
      <c r="BP21" s="29">
        <f>IF(AND(26&lt;=$AP$3,OR(AD21=TRUE,AD21=1)),BO21+1,0)</f>
        <v>0</v>
      </c>
      <c r="BQ21" s="29">
        <f>IF(AND(27&lt;=$AP$3,OR(AE21=TRUE,AE21=1)),BP21+1,0)</f>
        <v>0</v>
      </c>
      <c r="BR21" s="29">
        <f>IF(AND(28&lt;=$AP$3,OR(AF21=TRUE,AF21=1)),BQ21+1,0)</f>
        <v>0</v>
      </c>
      <c r="BS21" s="29">
        <f>IF(AND(29&lt;=$AP$3,OR(AG21=TRUE,AG21=1)),BR21+1,0)</f>
        <v>0</v>
      </c>
      <c r="BT21" s="29">
        <f>IF(AND(30&lt;=$AP$3,OR(AH21=TRUE,AH21=1)),BS21+1,0)</f>
        <v>0</v>
      </c>
      <c r="BU21" s="29">
        <f>IF(AND(31&lt;=$AP$3,OR(AI21=TRUE,AI21=1)),BT21+1,0)</f>
        <v>0</v>
      </c>
    </row>
    <row r="22" spans="2:73" ht="20" customHeight="1" x14ac:dyDescent="0.25">
      <c r="B22" s="44">
        <f>IF('Старт'!$C$22="","",'Старт'!$C$22)</f>
        <v/>
      </c>
      <c r="C22" s="20">
        <f>IF('Старт'!$D$22="","",'Старт'!$D$22)</f>
        <v/>
      </c>
      <c r="D22" s="45">
        <f>IF('Старт'!$E$22="","",'Старт'!$E$22)</f>
        <v/>
      </c>
      <c r="E22" s="46" t="b">
        <v>0</v>
      </c>
      <c r="F22" s="46" t="b">
        <v>0</v>
      </c>
      <c r="G22" s="46" t="b">
        <v>0</v>
      </c>
      <c r="H22" s="46" t="b">
        <v>0</v>
      </c>
      <c r="I22" s="46" t="b">
        <v>0</v>
      </c>
      <c r="J22" s="46" t="b">
        <v>0</v>
      </c>
      <c r="K22" s="46" t="b">
        <v>0</v>
      </c>
      <c r="L22" s="46" t="b">
        <v>0</v>
      </c>
      <c r="M22" s="46" t="b">
        <v>0</v>
      </c>
      <c r="N22" s="46" t="b">
        <v>0</v>
      </c>
      <c r="O22" s="46" t="b">
        <v>0</v>
      </c>
      <c r="P22" s="46" t="b">
        <v>0</v>
      </c>
      <c r="Q22" s="46" t="b">
        <v>0</v>
      </c>
      <c r="R22" s="46" t="b">
        <v>0</v>
      </c>
      <c r="S22" s="46" t="b">
        <v>0</v>
      </c>
      <c r="T22" s="46" t="b">
        <v>0</v>
      </c>
      <c r="U22" s="46" t="b">
        <v>0</v>
      </c>
      <c r="V22" s="46" t="b">
        <v>0</v>
      </c>
      <c r="W22" s="46" t="b">
        <v>0</v>
      </c>
      <c r="X22" s="46" t="b">
        <v>0</v>
      </c>
      <c r="Y22" s="46" t="b">
        <v>0</v>
      </c>
      <c r="Z22" s="46" t="b">
        <v>0</v>
      </c>
      <c r="AA22" s="46" t="b">
        <v>0</v>
      </c>
      <c r="AB22" s="46" t="b">
        <v>0</v>
      </c>
      <c r="AC22" s="46" t="b">
        <v>0</v>
      </c>
      <c r="AD22" s="46" t="b">
        <v>0</v>
      </c>
      <c r="AE22" s="46" t="b">
        <v>0</v>
      </c>
      <c r="AF22" s="46" t="b">
        <v>0</v>
      </c>
      <c r="AG22" s="46" t="b">
        <v>0</v>
      </c>
      <c r="AH22" s="46" t="b">
        <v>0</v>
      </c>
      <c r="AI22" s="46" t="b">
        <v>0</v>
      </c>
      <c r="AK22" s="47">
        <f>IF($C22="","",SUMPRODUCT((((E22:AI22=TRUE)+(E22:AI22=1))&gt;0)*($E$11:$AI$11&lt;&gt;"")))</f>
        <v/>
      </c>
      <c r="AL22" s="48">
        <f>IF($C22="","",IF($AP$3=0,0,IFERROR(MIN(1,AK22/$AP$22),0)))</f>
        <v/>
      </c>
      <c r="AM22" s="49">
        <f>IF($C22="","",IF($AP$3=0,0,MAX(INDEX($AQ$22:$BU$22,$AP$3),INDEX($AQ$22:$BU$22,MAX($AP$3-1,1)))))</f>
        <v/>
      </c>
      <c r="AN22" s="45">
        <f>IF($C22="","",MAX($AQ$22:$BU$22))</f>
        <v/>
      </c>
      <c r="AP22" s="29">
        <f>IF($C22="",0,IFERROR(IF($D22="",$AP$2,$D22)*$AP$3/$AP$2,$AP$3))</f>
        <v>0</v>
      </c>
      <c r="AQ22" s="29">
        <f>IF(AND(1&lt;=$AP$3,OR(E22=TRUE,E22=1)),0+1,0)</f>
        <v>0</v>
      </c>
      <c r="AR22" s="29">
        <f>IF(AND(2&lt;=$AP$3,OR(F22=TRUE,F22=1)),AQ22+1,0)</f>
        <v>0</v>
      </c>
      <c r="AS22" s="29">
        <f>IF(AND(3&lt;=$AP$3,OR(G22=TRUE,G22=1)),AR22+1,0)</f>
        <v>0</v>
      </c>
      <c r="AT22" s="29">
        <f>IF(AND(4&lt;=$AP$3,OR(H22=TRUE,H22=1)),AS22+1,0)</f>
        <v>0</v>
      </c>
      <c r="AU22" s="29">
        <f>IF(AND(5&lt;=$AP$3,OR(I22=TRUE,I22=1)),AT22+1,0)</f>
        <v>0</v>
      </c>
      <c r="AV22" s="29">
        <f>IF(AND(6&lt;=$AP$3,OR(J22=TRUE,J22=1)),AU22+1,0)</f>
        <v>0</v>
      </c>
      <c r="AW22" s="29">
        <f>IF(AND(7&lt;=$AP$3,OR(K22=TRUE,K22=1)),AV22+1,0)</f>
        <v>0</v>
      </c>
      <c r="AX22" s="29">
        <f>IF(AND(8&lt;=$AP$3,OR(L22=TRUE,L22=1)),AW22+1,0)</f>
        <v>0</v>
      </c>
      <c r="AY22" s="29">
        <f>IF(AND(9&lt;=$AP$3,OR(M22=TRUE,M22=1)),AX22+1,0)</f>
        <v>0</v>
      </c>
      <c r="AZ22" s="29">
        <f>IF(AND(10&lt;=$AP$3,OR(N22=TRUE,N22=1)),AY22+1,0)</f>
        <v>0</v>
      </c>
      <c r="BA22" s="29">
        <f>IF(AND(11&lt;=$AP$3,OR(O22=TRUE,O22=1)),AZ22+1,0)</f>
        <v>0</v>
      </c>
      <c r="BB22" s="29">
        <f>IF(AND(12&lt;=$AP$3,OR(P22=TRUE,P22=1)),BA22+1,0)</f>
        <v>0</v>
      </c>
      <c r="BC22" s="29">
        <f>IF(AND(13&lt;=$AP$3,OR(Q22=TRUE,Q22=1)),BB22+1,0)</f>
        <v>0</v>
      </c>
      <c r="BD22" s="29">
        <f>IF(AND(14&lt;=$AP$3,OR(R22=TRUE,R22=1)),BC22+1,0)</f>
        <v>0</v>
      </c>
      <c r="BE22" s="29">
        <f>IF(AND(15&lt;=$AP$3,OR(S22=TRUE,S22=1)),BD22+1,0)</f>
        <v>0</v>
      </c>
      <c r="BF22" s="29">
        <f>IF(AND(16&lt;=$AP$3,OR(T22=TRUE,T22=1)),BE22+1,0)</f>
        <v>0</v>
      </c>
      <c r="BG22" s="29">
        <f>IF(AND(17&lt;=$AP$3,OR(U22=TRUE,U22=1)),BF22+1,0)</f>
        <v>0</v>
      </c>
      <c r="BH22" s="29">
        <f>IF(AND(18&lt;=$AP$3,OR(V22=TRUE,V22=1)),BG22+1,0)</f>
        <v>0</v>
      </c>
      <c r="BI22" s="29">
        <f>IF(AND(19&lt;=$AP$3,OR(W22=TRUE,W22=1)),BH22+1,0)</f>
        <v>0</v>
      </c>
      <c r="BJ22" s="29">
        <f>IF(AND(20&lt;=$AP$3,OR(X22=TRUE,X22=1)),BI22+1,0)</f>
        <v>0</v>
      </c>
      <c r="BK22" s="29">
        <f>IF(AND(21&lt;=$AP$3,OR(Y22=TRUE,Y22=1)),BJ22+1,0)</f>
        <v>0</v>
      </c>
      <c r="BL22" s="29">
        <f>IF(AND(22&lt;=$AP$3,OR(Z22=TRUE,Z22=1)),BK22+1,0)</f>
        <v>0</v>
      </c>
      <c r="BM22" s="29">
        <f>IF(AND(23&lt;=$AP$3,OR(AA22=TRUE,AA22=1)),BL22+1,0)</f>
        <v>0</v>
      </c>
      <c r="BN22" s="29">
        <f>IF(AND(24&lt;=$AP$3,OR(AB22=TRUE,AB22=1)),BM22+1,0)</f>
        <v>0</v>
      </c>
      <c r="BO22" s="29">
        <f>IF(AND(25&lt;=$AP$3,OR(AC22=TRUE,AC22=1)),BN22+1,0)</f>
        <v>0</v>
      </c>
      <c r="BP22" s="29">
        <f>IF(AND(26&lt;=$AP$3,OR(AD22=TRUE,AD22=1)),BO22+1,0)</f>
        <v>0</v>
      </c>
      <c r="BQ22" s="29">
        <f>IF(AND(27&lt;=$AP$3,OR(AE22=TRUE,AE22=1)),BP22+1,0)</f>
        <v>0</v>
      </c>
      <c r="BR22" s="29">
        <f>IF(AND(28&lt;=$AP$3,OR(AF22=TRUE,AF22=1)),BQ22+1,0)</f>
        <v>0</v>
      </c>
      <c r="BS22" s="29">
        <f>IF(AND(29&lt;=$AP$3,OR(AG22=TRUE,AG22=1)),BR22+1,0)</f>
        <v>0</v>
      </c>
      <c r="BT22" s="29">
        <f>IF(AND(30&lt;=$AP$3,OR(AH22=TRUE,AH22=1)),BS22+1,0)</f>
        <v>0</v>
      </c>
      <c r="BU22" s="29">
        <f>IF(AND(31&lt;=$AP$3,OR(AI22=TRUE,AI22=1)),BT22+1,0)</f>
        <v>0</v>
      </c>
    </row>
    <row r="23" spans="2:73" ht="20" customHeight="1" x14ac:dyDescent="0.25">
      <c r="B23" s="44">
        <f>IF('Старт'!$C$23="","",'Старт'!$C$23)</f>
        <v/>
      </c>
      <c r="C23" s="20">
        <f>IF('Старт'!$D$23="","",'Старт'!$D$23)</f>
        <v/>
      </c>
      <c r="D23" s="45">
        <f>IF('Старт'!$E$23="","",'Старт'!$E$23)</f>
        <v/>
      </c>
      <c r="E23" s="46" t="b">
        <v>0</v>
      </c>
      <c r="F23" s="46" t="b">
        <v>0</v>
      </c>
      <c r="G23" s="46" t="b">
        <v>0</v>
      </c>
      <c r="H23" s="46" t="b">
        <v>0</v>
      </c>
      <c r="I23" s="46" t="b">
        <v>0</v>
      </c>
      <c r="J23" s="46" t="b">
        <v>0</v>
      </c>
      <c r="K23" s="46" t="b">
        <v>0</v>
      </c>
      <c r="L23" s="46" t="b">
        <v>0</v>
      </c>
      <c r="M23" s="46" t="b">
        <v>0</v>
      </c>
      <c r="N23" s="46" t="b">
        <v>0</v>
      </c>
      <c r="O23" s="46" t="b">
        <v>0</v>
      </c>
      <c r="P23" s="46" t="b">
        <v>0</v>
      </c>
      <c r="Q23" s="46" t="b">
        <v>0</v>
      </c>
      <c r="R23" s="46" t="b">
        <v>0</v>
      </c>
      <c r="S23" s="46" t="b">
        <v>0</v>
      </c>
      <c r="T23" s="46" t="b">
        <v>0</v>
      </c>
      <c r="U23" s="46" t="b">
        <v>0</v>
      </c>
      <c r="V23" s="46" t="b">
        <v>0</v>
      </c>
      <c r="W23" s="46" t="b">
        <v>0</v>
      </c>
      <c r="X23" s="46" t="b">
        <v>0</v>
      </c>
      <c r="Y23" s="46" t="b">
        <v>0</v>
      </c>
      <c r="Z23" s="46" t="b">
        <v>0</v>
      </c>
      <c r="AA23" s="46" t="b">
        <v>0</v>
      </c>
      <c r="AB23" s="46" t="b">
        <v>0</v>
      </c>
      <c r="AC23" s="46" t="b">
        <v>0</v>
      </c>
      <c r="AD23" s="46" t="b">
        <v>0</v>
      </c>
      <c r="AE23" s="46" t="b">
        <v>0</v>
      </c>
      <c r="AF23" s="46" t="b">
        <v>0</v>
      </c>
      <c r="AG23" s="46" t="b">
        <v>0</v>
      </c>
      <c r="AH23" s="46" t="b">
        <v>0</v>
      </c>
      <c r="AI23" s="46" t="b">
        <v>0</v>
      </c>
      <c r="AK23" s="47">
        <f>IF($C23="","",SUMPRODUCT((((E23:AI23=TRUE)+(E23:AI23=1))&gt;0)*($E$11:$AI$11&lt;&gt;"")))</f>
        <v/>
      </c>
      <c r="AL23" s="48">
        <f>IF($C23="","",IF($AP$3=0,0,IFERROR(MIN(1,AK23/$AP$23),0)))</f>
        <v/>
      </c>
      <c r="AM23" s="49">
        <f>IF($C23="","",IF($AP$3=0,0,MAX(INDEX($AQ$23:$BU$23,$AP$3),INDEX($AQ$23:$BU$23,MAX($AP$3-1,1)))))</f>
        <v/>
      </c>
      <c r="AN23" s="45">
        <f>IF($C23="","",MAX($AQ$23:$BU$23))</f>
        <v/>
      </c>
      <c r="AP23" s="29">
        <f>IF($C23="",0,IFERROR(IF($D23="",$AP$2,$D23)*$AP$3/$AP$2,$AP$3))</f>
        <v>0</v>
      </c>
      <c r="AQ23" s="29">
        <f>IF(AND(1&lt;=$AP$3,OR(E23=TRUE,E23=1)),0+1,0)</f>
        <v>0</v>
      </c>
      <c r="AR23" s="29">
        <f>IF(AND(2&lt;=$AP$3,OR(F23=TRUE,F23=1)),AQ23+1,0)</f>
        <v>0</v>
      </c>
      <c r="AS23" s="29">
        <f>IF(AND(3&lt;=$AP$3,OR(G23=TRUE,G23=1)),AR23+1,0)</f>
        <v>0</v>
      </c>
      <c r="AT23" s="29">
        <f>IF(AND(4&lt;=$AP$3,OR(H23=TRUE,H23=1)),AS23+1,0)</f>
        <v>0</v>
      </c>
      <c r="AU23" s="29">
        <f>IF(AND(5&lt;=$AP$3,OR(I23=TRUE,I23=1)),AT23+1,0)</f>
        <v>0</v>
      </c>
      <c r="AV23" s="29">
        <f>IF(AND(6&lt;=$AP$3,OR(J23=TRUE,J23=1)),AU23+1,0)</f>
        <v>0</v>
      </c>
      <c r="AW23" s="29">
        <f>IF(AND(7&lt;=$AP$3,OR(K23=TRUE,K23=1)),AV23+1,0)</f>
        <v>0</v>
      </c>
      <c r="AX23" s="29">
        <f>IF(AND(8&lt;=$AP$3,OR(L23=TRUE,L23=1)),AW23+1,0)</f>
        <v>0</v>
      </c>
      <c r="AY23" s="29">
        <f>IF(AND(9&lt;=$AP$3,OR(M23=TRUE,M23=1)),AX23+1,0)</f>
        <v>0</v>
      </c>
      <c r="AZ23" s="29">
        <f>IF(AND(10&lt;=$AP$3,OR(N23=TRUE,N23=1)),AY23+1,0)</f>
        <v>0</v>
      </c>
      <c r="BA23" s="29">
        <f>IF(AND(11&lt;=$AP$3,OR(O23=TRUE,O23=1)),AZ23+1,0)</f>
        <v>0</v>
      </c>
      <c r="BB23" s="29">
        <f>IF(AND(12&lt;=$AP$3,OR(P23=TRUE,P23=1)),BA23+1,0)</f>
        <v>0</v>
      </c>
      <c r="BC23" s="29">
        <f>IF(AND(13&lt;=$AP$3,OR(Q23=TRUE,Q23=1)),BB23+1,0)</f>
        <v>0</v>
      </c>
      <c r="BD23" s="29">
        <f>IF(AND(14&lt;=$AP$3,OR(R23=TRUE,R23=1)),BC23+1,0)</f>
        <v>0</v>
      </c>
      <c r="BE23" s="29">
        <f>IF(AND(15&lt;=$AP$3,OR(S23=TRUE,S23=1)),BD23+1,0)</f>
        <v>0</v>
      </c>
      <c r="BF23" s="29">
        <f>IF(AND(16&lt;=$AP$3,OR(T23=TRUE,T23=1)),BE23+1,0)</f>
        <v>0</v>
      </c>
      <c r="BG23" s="29">
        <f>IF(AND(17&lt;=$AP$3,OR(U23=TRUE,U23=1)),BF23+1,0)</f>
        <v>0</v>
      </c>
      <c r="BH23" s="29">
        <f>IF(AND(18&lt;=$AP$3,OR(V23=TRUE,V23=1)),BG23+1,0)</f>
        <v>0</v>
      </c>
      <c r="BI23" s="29">
        <f>IF(AND(19&lt;=$AP$3,OR(W23=TRUE,W23=1)),BH23+1,0)</f>
        <v>0</v>
      </c>
      <c r="BJ23" s="29">
        <f>IF(AND(20&lt;=$AP$3,OR(X23=TRUE,X23=1)),BI23+1,0)</f>
        <v>0</v>
      </c>
      <c r="BK23" s="29">
        <f>IF(AND(21&lt;=$AP$3,OR(Y23=TRUE,Y23=1)),BJ23+1,0)</f>
        <v>0</v>
      </c>
      <c r="BL23" s="29">
        <f>IF(AND(22&lt;=$AP$3,OR(Z23=TRUE,Z23=1)),BK23+1,0)</f>
        <v>0</v>
      </c>
      <c r="BM23" s="29">
        <f>IF(AND(23&lt;=$AP$3,OR(AA23=TRUE,AA23=1)),BL23+1,0)</f>
        <v>0</v>
      </c>
      <c r="BN23" s="29">
        <f>IF(AND(24&lt;=$AP$3,OR(AB23=TRUE,AB23=1)),BM23+1,0)</f>
        <v>0</v>
      </c>
      <c r="BO23" s="29">
        <f>IF(AND(25&lt;=$AP$3,OR(AC23=TRUE,AC23=1)),BN23+1,0)</f>
        <v>0</v>
      </c>
      <c r="BP23" s="29">
        <f>IF(AND(26&lt;=$AP$3,OR(AD23=TRUE,AD23=1)),BO23+1,0)</f>
        <v>0</v>
      </c>
      <c r="BQ23" s="29">
        <f>IF(AND(27&lt;=$AP$3,OR(AE23=TRUE,AE23=1)),BP23+1,0)</f>
        <v>0</v>
      </c>
      <c r="BR23" s="29">
        <f>IF(AND(28&lt;=$AP$3,OR(AF23=TRUE,AF23=1)),BQ23+1,0)</f>
        <v>0</v>
      </c>
      <c r="BS23" s="29">
        <f>IF(AND(29&lt;=$AP$3,OR(AG23=TRUE,AG23=1)),BR23+1,0)</f>
        <v>0</v>
      </c>
      <c r="BT23" s="29">
        <f>IF(AND(30&lt;=$AP$3,OR(AH23=TRUE,AH23=1)),BS23+1,0)</f>
        <v>0</v>
      </c>
      <c r="BU23" s="29">
        <f>IF(AND(31&lt;=$AP$3,OR(AI23=TRUE,AI23=1)),BT23+1,0)</f>
        <v>0</v>
      </c>
    </row>
    <row r="24" spans="2:73" ht="20" customHeight="1" x14ac:dyDescent="0.25">
      <c r="B24" s="44">
        <f>IF('Старт'!$C$24="","",'Старт'!$C$24)</f>
        <v/>
      </c>
      <c r="C24" s="20">
        <f>IF('Старт'!$D$24="","",'Старт'!$D$24)</f>
        <v/>
      </c>
      <c r="D24" s="45">
        <f>IF('Старт'!$E$24="","",'Старт'!$E$24)</f>
        <v/>
      </c>
      <c r="E24" s="46" t="b">
        <v>0</v>
      </c>
      <c r="F24" s="46" t="b">
        <v>0</v>
      </c>
      <c r="G24" s="46" t="b">
        <v>0</v>
      </c>
      <c r="H24" s="46" t="b">
        <v>0</v>
      </c>
      <c r="I24" s="46" t="b">
        <v>0</v>
      </c>
      <c r="J24" s="46" t="b">
        <v>0</v>
      </c>
      <c r="K24" s="46" t="b">
        <v>0</v>
      </c>
      <c r="L24" s="46" t="b">
        <v>0</v>
      </c>
      <c r="M24" s="46" t="b">
        <v>0</v>
      </c>
      <c r="N24" s="46" t="b">
        <v>0</v>
      </c>
      <c r="O24" s="46" t="b">
        <v>0</v>
      </c>
      <c r="P24" s="46" t="b">
        <v>0</v>
      </c>
      <c r="Q24" s="46" t="b">
        <v>0</v>
      </c>
      <c r="R24" s="46" t="b">
        <v>0</v>
      </c>
      <c r="S24" s="46" t="b">
        <v>0</v>
      </c>
      <c r="T24" s="46" t="b">
        <v>0</v>
      </c>
      <c r="U24" s="46" t="b">
        <v>0</v>
      </c>
      <c r="V24" s="46" t="b">
        <v>0</v>
      </c>
      <c r="W24" s="46" t="b">
        <v>0</v>
      </c>
      <c r="X24" s="46" t="b">
        <v>0</v>
      </c>
      <c r="Y24" s="46" t="b">
        <v>0</v>
      </c>
      <c r="Z24" s="46" t="b">
        <v>0</v>
      </c>
      <c r="AA24" s="46" t="b">
        <v>0</v>
      </c>
      <c r="AB24" s="46" t="b">
        <v>0</v>
      </c>
      <c r="AC24" s="46" t="b">
        <v>0</v>
      </c>
      <c r="AD24" s="46" t="b">
        <v>0</v>
      </c>
      <c r="AE24" s="46" t="b">
        <v>0</v>
      </c>
      <c r="AF24" s="46" t="b">
        <v>0</v>
      </c>
      <c r="AG24" s="46" t="b">
        <v>0</v>
      </c>
      <c r="AH24" s="46" t="b">
        <v>0</v>
      </c>
      <c r="AI24" s="46" t="b">
        <v>0</v>
      </c>
      <c r="AK24" s="47">
        <f>IF($C24="","",SUMPRODUCT((((E24:AI24=TRUE)+(E24:AI24=1))&gt;0)*($E$11:$AI$11&lt;&gt;"")))</f>
        <v/>
      </c>
      <c r="AL24" s="48">
        <f>IF($C24="","",IF($AP$3=0,0,IFERROR(MIN(1,AK24/$AP$24),0)))</f>
        <v/>
      </c>
      <c r="AM24" s="49">
        <f>IF($C24="","",IF($AP$3=0,0,MAX(INDEX($AQ$24:$BU$24,$AP$3),INDEX($AQ$24:$BU$24,MAX($AP$3-1,1)))))</f>
        <v/>
      </c>
      <c r="AN24" s="45">
        <f>IF($C24="","",MAX($AQ$24:$BU$24))</f>
        <v/>
      </c>
      <c r="AP24" s="29">
        <f>IF($C24="",0,IFERROR(IF($D24="",$AP$2,$D24)*$AP$3/$AP$2,$AP$3))</f>
        <v>0</v>
      </c>
      <c r="AQ24" s="29">
        <f>IF(AND(1&lt;=$AP$3,OR(E24=TRUE,E24=1)),0+1,0)</f>
        <v>0</v>
      </c>
      <c r="AR24" s="29">
        <f>IF(AND(2&lt;=$AP$3,OR(F24=TRUE,F24=1)),AQ24+1,0)</f>
        <v>0</v>
      </c>
      <c r="AS24" s="29">
        <f>IF(AND(3&lt;=$AP$3,OR(G24=TRUE,G24=1)),AR24+1,0)</f>
        <v>0</v>
      </c>
      <c r="AT24" s="29">
        <f>IF(AND(4&lt;=$AP$3,OR(H24=TRUE,H24=1)),AS24+1,0)</f>
        <v>0</v>
      </c>
      <c r="AU24" s="29">
        <f>IF(AND(5&lt;=$AP$3,OR(I24=TRUE,I24=1)),AT24+1,0)</f>
        <v>0</v>
      </c>
      <c r="AV24" s="29">
        <f>IF(AND(6&lt;=$AP$3,OR(J24=TRUE,J24=1)),AU24+1,0)</f>
        <v>0</v>
      </c>
      <c r="AW24" s="29">
        <f>IF(AND(7&lt;=$AP$3,OR(K24=TRUE,K24=1)),AV24+1,0)</f>
        <v>0</v>
      </c>
      <c r="AX24" s="29">
        <f>IF(AND(8&lt;=$AP$3,OR(L24=TRUE,L24=1)),AW24+1,0)</f>
        <v>0</v>
      </c>
      <c r="AY24" s="29">
        <f>IF(AND(9&lt;=$AP$3,OR(M24=TRUE,M24=1)),AX24+1,0)</f>
        <v>0</v>
      </c>
      <c r="AZ24" s="29">
        <f>IF(AND(10&lt;=$AP$3,OR(N24=TRUE,N24=1)),AY24+1,0)</f>
        <v>0</v>
      </c>
      <c r="BA24" s="29">
        <f>IF(AND(11&lt;=$AP$3,OR(O24=TRUE,O24=1)),AZ24+1,0)</f>
        <v>0</v>
      </c>
      <c r="BB24" s="29">
        <f>IF(AND(12&lt;=$AP$3,OR(P24=TRUE,P24=1)),BA24+1,0)</f>
        <v>0</v>
      </c>
      <c r="BC24" s="29">
        <f>IF(AND(13&lt;=$AP$3,OR(Q24=TRUE,Q24=1)),BB24+1,0)</f>
        <v>0</v>
      </c>
      <c r="BD24" s="29">
        <f>IF(AND(14&lt;=$AP$3,OR(R24=TRUE,R24=1)),BC24+1,0)</f>
        <v>0</v>
      </c>
      <c r="BE24" s="29">
        <f>IF(AND(15&lt;=$AP$3,OR(S24=TRUE,S24=1)),BD24+1,0)</f>
        <v>0</v>
      </c>
      <c r="BF24" s="29">
        <f>IF(AND(16&lt;=$AP$3,OR(T24=TRUE,T24=1)),BE24+1,0)</f>
        <v>0</v>
      </c>
      <c r="BG24" s="29">
        <f>IF(AND(17&lt;=$AP$3,OR(U24=TRUE,U24=1)),BF24+1,0)</f>
        <v>0</v>
      </c>
      <c r="BH24" s="29">
        <f>IF(AND(18&lt;=$AP$3,OR(V24=TRUE,V24=1)),BG24+1,0)</f>
        <v>0</v>
      </c>
      <c r="BI24" s="29">
        <f>IF(AND(19&lt;=$AP$3,OR(W24=TRUE,W24=1)),BH24+1,0)</f>
        <v>0</v>
      </c>
      <c r="BJ24" s="29">
        <f>IF(AND(20&lt;=$AP$3,OR(X24=TRUE,X24=1)),BI24+1,0)</f>
        <v>0</v>
      </c>
      <c r="BK24" s="29">
        <f>IF(AND(21&lt;=$AP$3,OR(Y24=TRUE,Y24=1)),BJ24+1,0)</f>
        <v>0</v>
      </c>
      <c r="BL24" s="29">
        <f>IF(AND(22&lt;=$AP$3,OR(Z24=TRUE,Z24=1)),BK24+1,0)</f>
        <v>0</v>
      </c>
      <c r="BM24" s="29">
        <f>IF(AND(23&lt;=$AP$3,OR(AA24=TRUE,AA24=1)),BL24+1,0)</f>
        <v>0</v>
      </c>
      <c r="BN24" s="29">
        <f>IF(AND(24&lt;=$AP$3,OR(AB24=TRUE,AB24=1)),BM24+1,0)</f>
        <v>0</v>
      </c>
      <c r="BO24" s="29">
        <f>IF(AND(25&lt;=$AP$3,OR(AC24=TRUE,AC24=1)),BN24+1,0)</f>
        <v>0</v>
      </c>
      <c r="BP24" s="29">
        <f>IF(AND(26&lt;=$AP$3,OR(AD24=TRUE,AD24=1)),BO24+1,0)</f>
        <v>0</v>
      </c>
      <c r="BQ24" s="29">
        <f>IF(AND(27&lt;=$AP$3,OR(AE24=TRUE,AE24=1)),BP24+1,0)</f>
        <v>0</v>
      </c>
      <c r="BR24" s="29">
        <f>IF(AND(28&lt;=$AP$3,OR(AF24=TRUE,AF24=1)),BQ24+1,0)</f>
        <v>0</v>
      </c>
      <c r="BS24" s="29">
        <f>IF(AND(29&lt;=$AP$3,OR(AG24=TRUE,AG24=1)),BR24+1,0)</f>
        <v>0</v>
      </c>
      <c r="BT24" s="29">
        <f>IF(AND(30&lt;=$AP$3,OR(AH24=TRUE,AH24=1)),BS24+1,0)</f>
        <v>0</v>
      </c>
      <c r="BU24" s="29">
        <f>IF(AND(31&lt;=$AP$3,OR(AI24=TRUE,AI24=1)),BT24+1,0)</f>
        <v>0</v>
      </c>
    </row>
    <row r="25" spans="2:73" ht="20" customHeight="1" x14ac:dyDescent="0.25">
      <c r="B25" s="44">
        <f>IF('Старт'!$C$25="","",'Старт'!$C$25)</f>
        <v/>
      </c>
      <c r="C25" s="20">
        <f>IF('Старт'!$D$25="","",'Старт'!$D$25)</f>
        <v/>
      </c>
      <c r="D25" s="45">
        <f>IF('Старт'!$E$25="","",'Старт'!$E$25)</f>
        <v/>
      </c>
      <c r="E25" s="46" t="b">
        <v>0</v>
      </c>
      <c r="F25" s="46" t="b">
        <v>0</v>
      </c>
      <c r="G25" s="46" t="b">
        <v>0</v>
      </c>
      <c r="H25" s="46" t="b">
        <v>0</v>
      </c>
      <c r="I25" s="46" t="b">
        <v>0</v>
      </c>
      <c r="J25" s="46" t="b">
        <v>0</v>
      </c>
      <c r="K25" s="46" t="b">
        <v>0</v>
      </c>
      <c r="L25" s="46" t="b">
        <v>0</v>
      </c>
      <c r="M25" s="46" t="b">
        <v>0</v>
      </c>
      <c r="N25" s="46" t="b">
        <v>0</v>
      </c>
      <c r="O25" s="46" t="b">
        <v>0</v>
      </c>
      <c r="P25" s="46" t="b">
        <v>0</v>
      </c>
      <c r="Q25" s="46" t="b">
        <v>0</v>
      </c>
      <c r="R25" s="46" t="b">
        <v>0</v>
      </c>
      <c r="S25" s="46" t="b">
        <v>0</v>
      </c>
      <c r="T25" s="46" t="b">
        <v>0</v>
      </c>
      <c r="U25" s="46" t="b">
        <v>0</v>
      </c>
      <c r="V25" s="46" t="b">
        <v>0</v>
      </c>
      <c r="W25" s="46" t="b">
        <v>0</v>
      </c>
      <c r="X25" s="46" t="b">
        <v>0</v>
      </c>
      <c r="Y25" s="46" t="b">
        <v>0</v>
      </c>
      <c r="Z25" s="46" t="b">
        <v>0</v>
      </c>
      <c r="AA25" s="46" t="b">
        <v>0</v>
      </c>
      <c r="AB25" s="46" t="b">
        <v>0</v>
      </c>
      <c r="AC25" s="46" t="b">
        <v>0</v>
      </c>
      <c r="AD25" s="46" t="b">
        <v>0</v>
      </c>
      <c r="AE25" s="46" t="b">
        <v>0</v>
      </c>
      <c r="AF25" s="46" t="b">
        <v>0</v>
      </c>
      <c r="AG25" s="46" t="b">
        <v>0</v>
      </c>
      <c r="AH25" s="46" t="b">
        <v>0</v>
      </c>
      <c r="AI25" s="46" t="b">
        <v>0</v>
      </c>
      <c r="AK25" s="47">
        <f>IF($C25="","",SUMPRODUCT((((E25:AI25=TRUE)+(E25:AI25=1))&gt;0)*($E$11:$AI$11&lt;&gt;"")))</f>
        <v/>
      </c>
      <c r="AL25" s="48">
        <f>IF($C25="","",IF($AP$3=0,0,IFERROR(MIN(1,AK25/$AP$25),0)))</f>
        <v/>
      </c>
      <c r="AM25" s="49">
        <f>IF($C25="","",IF($AP$3=0,0,MAX(INDEX($AQ$25:$BU$25,$AP$3),INDEX($AQ$25:$BU$25,MAX($AP$3-1,1)))))</f>
        <v/>
      </c>
      <c r="AN25" s="45">
        <f>IF($C25="","",MAX($AQ$25:$BU$25))</f>
        <v/>
      </c>
      <c r="AP25" s="29">
        <f>IF($C25="",0,IFERROR(IF($D25="",$AP$2,$D25)*$AP$3/$AP$2,$AP$3))</f>
        <v>0</v>
      </c>
      <c r="AQ25" s="29">
        <f>IF(AND(1&lt;=$AP$3,OR(E25=TRUE,E25=1)),0+1,0)</f>
        <v>0</v>
      </c>
      <c r="AR25" s="29">
        <f>IF(AND(2&lt;=$AP$3,OR(F25=TRUE,F25=1)),AQ25+1,0)</f>
        <v>0</v>
      </c>
      <c r="AS25" s="29">
        <f>IF(AND(3&lt;=$AP$3,OR(G25=TRUE,G25=1)),AR25+1,0)</f>
        <v>0</v>
      </c>
      <c r="AT25" s="29">
        <f>IF(AND(4&lt;=$AP$3,OR(H25=TRUE,H25=1)),AS25+1,0)</f>
        <v>0</v>
      </c>
      <c r="AU25" s="29">
        <f>IF(AND(5&lt;=$AP$3,OR(I25=TRUE,I25=1)),AT25+1,0)</f>
        <v>0</v>
      </c>
      <c r="AV25" s="29">
        <f>IF(AND(6&lt;=$AP$3,OR(J25=TRUE,J25=1)),AU25+1,0)</f>
        <v>0</v>
      </c>
      <c r="AW25" s="29">
        <f>IF(AND(7&lt;=$AP$3,OR(K25=TRUE,K25=1)),AV25+1,0)</f>
        <v>0</v>
      </c>
      <c r="AX25" s="29">
        <f>IF(AND(8&lt;=$AP$3,OR(L25=TRUE,L25=1)),AW25+1,0)</f>
        <v>0</v>
      </c>
      <c r="AY25" s="29">
        <f>IF(AND(9&lt;=$AP$3,OR(M25=TRUE,M25=1)),AX25+1,0)</f>
        <v>0</v>
      </c>
      <c r="AZ25" s="29">
        <f>IF(AND(10&lt;=$AP$3,OR(N25=TRUE,N25=1)),AY25+1,0)</f>
        <v>0</v>
      </c>
      <c r="BA25" s="29">
        <f>IF(AND(11&lt;=$AP$3,OR(O25=TRUE,O25=1)),AZ25+1,0)</f>
        <v>0</v>
      </c>
      <c r="BB25" s="29">
        <f>IF(AND(12&lt;=$AP$3,OR(P25=TRUE,P25=1)),BA25+1,0)</f>
        <v>0</v>
      </c>
      <c r="BC25" s="29">
        <f>IF(AND(13&lt;=$AP$3,OR(Q25=TRUE,Q25=1)),BB25+1,0)</f>
        <v>0</v>
      </c>
      <c r="BD25" s="29">
        <f>IF(AND(14&lt;=$AP$3,OR(R25=TRUE,R25=1)),BC25+1,0)</f>
        <v>0</v>
      </c>
      <c r="BE25" s="29">
        <f>IF(AND(15&lt;=$AP$3,OR(S25=TRUE,S25=1)),BD25+1,0)</f>
        <v>0</v>
      </c>
      <c r="BF25" s="29">
        <f>IF(AND(16&lt;=$AP$3,OR(T25=TRUE,T25=1)),BE25+1,0)</f>
        <v>0</v>
      </c>
      <c r="BG25" s="29">
        <f>IF(AND(17&lt;=$AP$3,OR(U25=TRUE,U25=1)),BF25+1,0)</f>
        <v>0</v>
      </c>
      <c r="BH25" s="29">
        <f>IF(AND(18&lt;=$AP$3,OR(V25=TRUE,V25=1)),BG25+1,0)</f>
        <v>0</v>
      </c>
      <c r="BI25" s="29">
        <f>IF(AND(19&lt;=$AP$3,OR(W25=TRUE,W25=1)),BH25+1,0)</f>
        <v>0</v>
      </c>
      <c r="BJ25" s="29">
        <f>IF(AND(20&lt;=$AP$3,OR(X25=TRUE,X25=1)),BI25+1,0)</f>
        <v>0</v>
      </c>
      <c r="BK25" s="29">
        <f>IF(AND(21&lt;=$AP$3,OR(Y25=TRUE,Y25=1)),BJ25+1,0)</f>
        <v>0</v>
      </c>
      <c r="BL25" s="29">
        <f>IF(AND(22&lt;=$AP$3,OR(Z25=TRUE,Z25=1)),BK25+1,0)</f>
        <v>0</v>
      </c>
      <c r="BM25" s="29">
        <f>IF(AND(23&lt;=$AP$3,OR(AA25=TRUE,AA25=1)),BL25+1,0)</f>
        <v>0</v>
      </c>
      <c r="BN25" s="29">
        <f>IF(AND(24&lt;=$AP$3,OR(AB25=TRUE,AB25=1)),BM25+1,0)</f>
        <v>0</v>
      </c>
      <c r="BO25" s="29">
        <f>IF(AND(25&lt;=$AP$3,OR(AC25=TRUE,AC25=1)),BN25+1,0)</f>
        <v>0</v>
      </c>
      <c r="BP25" s="29">
        <f>IF(AND(26&lt;=$AP$3,OR(AD25=TRUE,AD25=1)),BO25+1,0)</f>
        <v>0</v>
      </c>
      <c r="BQ25" s="29">
        <f>IF(AND(27&lt;=$AP$3,OR(AE25=TRUE,AE25=1)),BP25+1,0)</f>
        <v>0</v>
      </c>
      <c r="BR25" s="29">
        <f>IF(AND(28&lt;=$AP$3,OR(AF25=TRUE,AF25=1)),BQ25+1,0)</f>
        <v>0</v>
      </c>
      <c r="BS25" s="29">
        <f>IF(AND(29&lt;=$AP$3,OR(AG25=TRUE,AG25=1)),BR25+1,0)</f>
        <v>0</v>
      </c>
      <c r="BT25" s="29">
        <f>IF(AND(30&lt;=$AP$3,OR(AH25=TRUE,AH25=1)),BS25+1,0)</f>
        <v>0</v>
      </c>
      <c r="BU25" s="29">
        <f>IF(AND(31&lt;=$AP$3,OR(AI25=TRUE,AI25=1)),BT25+1,0)</f>
        <v>0</v>
      </c>
    </row>
    <row r="26" spans="2:73" ht="20" customHeight="1" x14ac:dyDescent="0.25">
      <c r="B26" s="44">
        <f>IF('Старт'!$C$26="","",'Старт'!$C$26)</f>
        <v/>
      </c>
      <c r="C26" s="20">
        <f>IF('Старт'!$D$26="","",'Старт'!$D$26)</f>
        <v/>
      </c>
      <c r="D26" s="45">
        <f>IF('Старт'!$E$26="","",'Старт'!$E$26)</f>
        <v/>
      </c>
      <c r="E26" s="46" t="b">
        <v>0</v>
      </c>
      <c r="F26" s="46" t="b">
        <v>0</v>
      </c>
      <c r="G26" s="46" t="b">
        <v>0</v>
      </c>
      <c r="H26" s="46" t="b">
        <v>0</v>
      </c>
      <c r="I26" s="46" t="b">
        <v>0</v>
      </c>
      <c r="J26" s="46" t="b">
        <v>0</v>
      </c>
      <c r="K26" s="46" t="b">
        <v>0</v>
      </c>
      <c r="L26" s="46" t="b">
        <v>0</v>
      </c>
      <c r="M26" s="46" t="b">
        <v>0</v>
      </c>
      <c r="N26" s="46" t="b">
        <v>0</v>
      </c>
      <c r="O26" s="46" t="b">
        <v>0</v>
      </c>
      <c r="P26" s="46" t="b">
        <v>0</v>
      </c>
      <c r="Q26" s="46" t="b">
        <v>0</v>
      </c>
      <c r="R26" s="46" t="b">
        <v>0</v>
      </c>
      <c r="S26" s="46" t="b">
        <v>0</v>
      </c>
      <c r="T26" s="46" t="b">
        <v>0</v>
      </c>
      <c r="U26" s="46" t="b">
        <v>0</v>
      </c>
      <c r="V26" s="46" t="b">
        <v>0</v>
      </c>
      <c r="W26" s="46" t="b">
        <v>0</v>
      </c>
      <c r="X26" s="46" t="b">
        <v>0</v>
      </c>
      <c r="Y26" s="46" t="b">
        <v>0</v>
      </c>
      <c r="Z26" s="46" t="b">
        <v>0</v>
      </c>
      <c r="AA26" s="46" t="b">
        <v>0</v>
      </c>
      <c r="AB26" s="46" t="b">
        <v>0</v>
      </c>
      <c r="AC26" s="46" t="b">
        <v>0</v>
      </c>
      <c r="AD26" s="46" t="b">
        <v>0</v>
      </c>
      <c r="AE26" s="46" t="b">
        <v>0</v>
      </c>
      <c r="AF26" s="46" t="b">
        <v>0</v>
      </c>
      <c r="AG26" s="46" t="b">
        <v>0</v>
      </c>
      <c r="AH26" s="46" t="b">
        <v>0</v>
      </c>
      <c r="AI26" s="46" t="b">
        <v>0</v>
      </c>
      <c r="AK26" s="47">
        <f>IF($C26="","",SUMPRODUCT((((E26:AI26=TRUE)+(E26:AI26=1))&gt;0)*($E$11:$AI$11&lt;&gt;"")))</f>
        <v/>
      </c>
      <c r="AL26" s="48">
        <f>IF($C26="","",IF($AP$3=0,0,IFERROR(MIN(1,AK26/$AP$26),0)))</f>
        <v/>
      </c>
      <c r="AM26" s="49">
        <f>IF($C26="","",IF($AP$3=0,0,MAX(INDEX($AQ$26:$BU$26,$AP$3),INDEX($AQ$26:$BU$26,MAX($AP$3-1,1)))))</f>
        <v/>
      </c>
      <c r="AN26" s="45">
        <f>IF($C26="","",MAX($AQ$26:$BU$26))</f>
        <v/>
      </c>
      <c r="AP26" s="29">
        <f>IF($C26="",0,IFERROR(IF($D26="",$AP$2,$D26)*$AP$3/$AP$2,$AP$3))</f>
        <v>0</v>
      </c>
      <c r="AQ26" s="29">
        <f>IF(AND(1&lt;=$AP$3,OR(E26=TRUE,E26=1)),0+1,0)</f>
        <v>0</v>
      </c>
      <c r="AR26" s="29">
        <f>IF(AND(2&lt;=$AP$3,OR(F26=TRUE,F26=1)),AQ26+1,0)</f>
        <v>0</v>
      </c>
      <c r="AS26" s="29">
        <f>IF(AND(3&lt;=$AP$3,OR(G26=TRUE,G26=1)),AR26+1,0)</f>
        <v>0</v>
      </c>
      <c r="AT26" s="29">
        <f>IF(AND(4&lt;=$AP$3,OR(H26=TRUE,H26=1)),AS26+1,0)</f>
        <v>0</v>
      </c>
      <c r="AU26" s="29">
        <f>IF(AND(5&lt;=$AP$3,OR(I26=TRUE,I26=1)),AT26+1,0)</f>
        <v>0</v>
      </c>
      <c r="AV26" s="29">
        <f>IF(AND(6&lt;=$AP$3,OR(J26=TRUE,J26=1)),AU26+1,0)</f>
        <v>0</v>
      </c>
      <c r="AW26" s="29">
        <f>IF(AND(7&lt;=$AP$3,OR(K26=TRUE,K26=1)),AV26+1,0)</f>
        <v>0</v>
      </c>
      <c r="AX26" s="29">
        <f>IF(AND(8&lt;=$AP$3,OR(L26=TRUE,L26=1)),AW26+1,0)</f>
        <v>0</v>
      </c>
      <c r="AY26" s="29">
        <f>IF(AND(9&lt;=$AP$3,OR(M26=TRUE,M26=1)),AX26+1,0)</f>
        <v>0</v>
      </c>
      <c r="AZ26" s="29">
        <f>IF(AND(10&lt;=$AP$3,OR(N26=TRUE,N26=1)),AY26+1,0)</f>
        <v>0</v>
      </c>
      <c r="BA26" s="29">
        <f>IF(AND(11&lt;=$AP$3,OR(O26=TRUE,O26=1)),AZ26+1,0)</f>
        <v>0</v>
      </c>
      <c r="BB26" s="29">
        <f>IF(AND(12&lt;=$AP$3,OR(P26=TRUE,P26=1)),BA26+1,0)</f>
        <v>0</v>
      </c>
      <c r="BC26" s="29">
        <f>IF(AND(13&lt;=$AP$3,OR(Q26=TRUE,Q26=1)),BB26+1,0)</f>
        <v>0</v>
      </c>
      <c r="BD26" s="29">
        <f>IF(AND(14&lt;=$AP$3,OR(R26=TRUE,R26=1)),BC26+1,0)</f>
        <v>0</v>
      </c>
      <c r="BE26" s="29">
        <f>IF(AND(15&lt;=$AP$3,OR(S26=TRUE,S26=1)),BD26+1,0)</f>
        <v>0</v>
      </c>
      <c r="BF26" s="29">
        <f>IF(AND(16&lt;=$AP$3,OR(T26=TRUE,T26=1)),BE26+1,0)</f>
        <v>0</v>
      </c>
      <c r="BG26" s="29">
        <f>IF(AND(17&lt;=$AP$3,OR(U26=TRUE,U26=1)),BF26+1,0)</f>
        <v>0</v>
      </c>
      <c r="BH26" s="29">
        <f>IF(AND(18&lt;=$AP$3,OR(V26=TRUE,V26=1)),BG26+1,0)</f>
        <v>0</v>
      </c>
      <c r="BI26" s="29">
        <f>IF(AND(19&lt;=$AP$3,OR(W26=TRUE,W26=1)),BH26+1,0)</f>
        <v>0</v>
      </c>
      <c r="BJ26" s="29">
        <f>IF(AND(20&lt;=$AP$3,OR(X26=TRUE,X26=1)),BI26+1,0)</f>
        <v>0</v>
      </c>
      <c r="BK26" s="29">
        <f>IF(AND(21&lt;=$AP$3,OR(Y26=TRUE,Y26=1)),BJ26+1,0)</f>
        <v>0</v>
      </c>
      <c r="BL26" s="29">
        <f>IF(AND(22&lt;=$AP$3,OR(Z26=TRUE,Z26=1)),BK26+1,0)</f>
        <v>0</v>
      </c>
      <c r="BM26" s="29">
        <f>IF(AND(23&lt;=$AP$3,OR(AA26=TRUE,AA26=1)),BL26+1,0)</f>
        <v>0</v>
      </c>
      <c r="BN26" s="29">
        <f>IF(AND(24&lt;=$AP$3,OR(AB26=TRUE,AB26=1)),BM26+1,0)</f>
        <v>0</v>
      </c>
      <c r="BO26" s="29">
        <f>IF(AND(25&lt;=$AP$3,OR(AC26=TRUE,AC26=1)),BN26+1,0)</f>
        <v>0</v>
      </c>
      <c r="BP26" s="29">
        <f>IF(AND(26&lt;=$AP$3,OR(AD26=TRUE,AD26=1)),BO26+1,0)</f>
        <v>0</v>
      </c>
      <c r="BQ26" s="29">
        <f>IF(AND(27&lt;=$AP$3,OR(AE26=TRUE,AE26=1)),BP26+1,0)</f>
        <v>0</v>
      </c>
      <c r="BR26" s="29">
        <f>IF(AND(28&lt;=$AP$3,OR(AF26=TRUE,AF26=1)),BQ26+1,0)</f>
        <v>0</v>
      </c>
      <c r="BS26" s="29">
        <f>IF(AND(29&lt;=$AP$3,OR(AG26=TRUE,AG26=1)),BR26+1,0)</f>
        <v>0</v>
      </c>
      <c r="BT26" s="29">
        <f>IF(AND(30&lt;=$AP$3,OR(AH26=TRUE,AH26=1)),BS26+1,0)</f>
        <v>0</v>
      </c>
      <c r="BU26" s="29">
        <f>IF(AND(31&lt;=$AP$3,OR(AI26=TRUE,AI26=1)),BT26+1,0)</f>
        <v>0</v>
      </c>
    </row>
    <row r="27" spans="2:73" ht="16" customHeight="1" x14ac:dyDescent="0.25">
      <c r="B27" s="50" t="s">
        <v>115</v>
      </c>
      <c r="C27" s="50"/>
      <c r="D27" s="50"/>
      <c r="E27" s="51">
        <f>IF(OR(E$11="",E$11&gt;$AP$3),"",SUMPRODUCT((((E$12:E$26=TRUE)+(E$12:E$26=1))&gt;0)*($C$12:$C$26&lt;&gt;"")))</f>
        <v/>
      </c>
      <c r="F27" s="51">
        <f>IF(OR(F$11="",F$11&gt;$AP$3),"",SUMPRODUCT((((F$12:F$26=TRUE)+(F$12:F$26=1))&gt;0)*($C$12:$C$26&lt;&gt;"")))</f>
        <v/>
      </c>
      <c r="G27" s="51">
        <f>IF(OR(G$11="",G$11&gt;$AP$3),"",SUMPRODUCT((((G$12:G$26=TRUE)+(G$12:G$26=1))&gt;0)*($C$12:$C$26&lt;&gt;"")))</f>
        <v/>
      </c>
      <c r="H27" s="51">
        <f>IF(OR(H$11="",H$11&gt;$AP$3),"",SUMPRODUCT((((H$12:H$26=TRUE)+(H$12:H$26=1))&gt;0)*($C$12:$C$26&lt;&gt;"")))</f>
        <v/>
      </c>
      <c r="I27" s="51">
        <f>IF(OR(I$11="",I$11&gt;$AP$3),"",SUMPRODUCT((((I$12:I$26=TRUE)+(I$12:I$26=1))&gt;0)*($C$12:$C$26&lt;&gt;"")))</f>
        <v/>
      </c>
      <c r="J27" s="51">
        <f>IF(OR(J$11="",J$11&gt;$AP$3),"",SUMPRODUCT((((J$12:J$26=TRUE)+(J$12:J$26=1))&gt;0)*($C$12:$C$26&lt;&gt;"")))</f>
        <v/>
      </c>
      <c r="K27" s="51">
        <f>IF(OR(K$11="",K$11&gt;$AP$3),"",SUMPRODUCT((((K$12:K$26=TRUE)+(K$12:K$26=1))&gt;0)*($C$12:$C$26&lt;&gt;"")))</f>
        <v/>
      </c>
      <c r="L27" s="51">
        <f>IF(OR(L$11="",L$11&gt;$AP$3),"",SUMPRODUCT((((L$12:L$26=TRUE)+(L$12:L$26=1))&gt;0)*($C$12:$C$26&lt;&gt;"")))</f>
        <v/>
      </c>
      <c r="M27" s="51">
        <f>IF(OR(M$11="",M$11&gt;$AP$3),"",SUMPRODUCT((((M$12:M$26=TRUE)+(M$12:M$26=1))&gt;0)*($C$12:$C$26&lt;&gt;"")))</f>
        <v/>
      </c>
      <c r="N27" s="51">
        <f>IF(OR(N$11="",N$11&gt;$AP$3),"",SUMPRODUCT((((N$12:N$26=TRUE)+(N$12:N$26=1))&gt;0)*($C$12:$C$26&lt;&gt;"")))</f>
        <v/>
      </c>
      <c r="O27" s="51">
        <f>IF(OR(O$11="",O$11&gt;$AP$3),"",SUMPRODUCT((((O$12:O$26=TRUE)+(O$12:O$26=1))&gt;0)*($C$12:$C$26&lt;&gt;"")))</f>
        <v/>
      </c>
      <c r="P27" s="51">
        <f>IF(OR(P$11="",P$11&gt;$AP$3),"",SUMPRODUCT((((P$12:P$26=TRUE)+(P$12:P$26=1))&gt;0)*($C$12:$C$26&lt;&gt;"")))</f>
        <v/>
      </c>
      <c r="Q27" s="51">
        <f>IF(OR(Q$11="",Q$11&gt;$AP$3),"",SUMPRODUCT((((Q$12:Q$26=TRUE)+(Q$12:Q$26=1))&gt;0)*($C$12:$C$26&lt;&gt;"")))</f>
        <v/>
      </c>
      <c r="R27" s="51">
        <f>IF(OR(R$11="",R$11&gt;$AP$3),"",SUMPRODUCT((((R$12:R$26=TRUE)+(R$12:R$26=1))&gt;0)*($C$12:$C$26&lt;&gt;"")))</f>
        <v/>
      </c>
      <c r="S27" s="51">
        <f>IF(OR(S$11="",S$11&gt;$AP$3),"",SUMPRODUCT((((S$12:S$26=TRUE)+(S$12:S$26=1))&gt;0)*($C$12:$C$26&lt;&gt;"")))</f>
        <v/>
      </c>
      <c r="T27" s="51">
        <f>IF(OR(T$11="",T$11&gt;$AP$3),"",SUMPRODUCT((((T$12:T$26=TRUE)+(T$12:T$26=1))&gt;0)*($C$12:$C$26&lt;&gt;"")))</f>
        <v/>
      </c>
      <c r="U27" s="51">
        <f>IF(OR(U$11="",U$11&gt;$AP$3),"",SUMPRODUCT((((U$12:U$26=TRUE)+(U$12:U$26=1))&gt;0)*($C$12:$C$26&lt;&gt;"")))</f>
        <v/>
      </c>
      <c r="V27" s="51">
        <f>IF(OR(V$11="",V$11&gt;$AP$3),"",SUMPRODUCT((((V$12:V$26=TRUE)+(V$12:V$26=1))&gt;0)*($C$12:$C$26&lt;&gt;"")))</f>
        <v/>
      </c>
      <c r="W27" s="51">
        <f>IF(OR(W$11="",W$11&gt;$AP$3),"",SUMPRODUCT((((W$12:W$26=TRUE)+(W$12:W$26=1))&gt;0)*($C$12:$C$26&lt;&gt;"")))</f>
        <v/>
      </c>
      <c r="X27" s="51">
        <f>IF(OR(X$11="",X$11&gt;$AP$3),"",SUMPRODUCT((((X$12:X$26=TRUE)+(X$12:X$26=1))&gt;0)*($C$12:$C$26&lt;&gt;"")))</f>
        <v/>
      </c>
      <c r="Y27" s="51">
        <f>IF(OR(Y$11="",Y$11&gt;$AP$3),"",SUMPRODUCT((((Y$12:Y$26=TRUE)+(Y$12:Y$26=1))&gt;0)*($C$12:$C$26&lt;&gt;"")))</f>
        <v/>
      </c>
      <c r="Z27" s="51">
        <f>IF(OR(Z$11="",Z$11&gt;$AP$3),"",SUMPRODUCT((((Z$12:Z$26=TRUE)+(Z$12:Z$26=1))&gt;0)*($C$12:$C$26&lt;&gt;"")))</f>
        <v/>
      </c>
      <c r="AA27" s="51">
        <f>IF(OR(AA$11="",AA$11&gt;$AP$3),"",SUMPRODUCT((((AA$12:AA$26=TRUE)+(AA$12:AA$26=1))&gt;0)*($C$12:$C$26&lt;&gt;"")))</f>
        <v/>
      </c>
      <c r="AB27" s="51">
        <f>IF(OR(AB$11="",AB$11&gt;$AP$3),"",SUMPRODUCT((((AB$12:AB$26=TRUE)+(AB$12:AB$26=1))&gt;0)*($C$12:$C$26&lt;&gt;"")))</f>
        <v/>
      </c>
      <c r="AC27" s="51">
        <f>IF(OR(AC$11="",AC$11&gt;$AP$3),"",SUMPRODUCT((((AC$12:AC$26=TRUE)+(AC$12:AC$26=1))&gt;0)*($C$12:$C$26&lt;&gt;"")))</f>
        <v/>
      </c>
      <c r="AD27" s="51">
        <f>IF(OR(AD$11="",AD$11&gt;$AP$3),"",SUMPRODUCT((((AD$12:AD$26=TRUE)+(AD$12:AD$26=1))&gt;0)*($C$12:$C$26&lt;&gt;"")))</f>
        <v/>
      </c>
      <c r="AE27" s="51">
        <f>IF(OR(AE$11="",AE$11&gt;$AP$3),"",SUMPRODUCT((((AE$12:AE$26=TRUE)+(AE$12:AE$26=1))&gt;0)*($C$12:$C$26&lt;&gt;"")))</f>
        <v/>
      </c>
      <c r="AF27" s="51">
        <f>IF(OR(AF$11="",AF$11&gt;$AP$3),"",SUMPRODUCT((((AF$12:AF$26=TRUE)+(AF$12:AF$26=1))&gt;0)*($C$12:$C$26&lt;&gt;"")))</f>
        <v/>
      </c>
      <c r="AG27" s="51">
        <f>IF(OR(AG$11="",AG$11&gt;$AP$3),"",SUMPRODUCT((((AG$12:AG$26=TRUE)+(AG$12:AG$26=1))&gt;0)*($C$12:$C$26&lt;&gt;"")))</f>
        <v/>
      </c>
      <c r="AH27" s="51">
        <f>IF(OR(AH$11="",AH$11&gt;$AP$3),"",SUMPRODUCT((((AH$12:AH$26=TRUE)+(AH$12:AH$26=1))&gt;0)*($C$12:$C$26&lt;&gt;"")))</f>
        <v/>
      </c>
      <c r="AI27" s="51">
        <f>IF(OR(AI$11="",AI$11&gt;$AP$3),"",SUMPRODUCT((((AI$12:AI$26=TRUE)+(AI$12:AI$26=1))&gt;0)*($C$12:$C$26&lt;&gt;"")))</f>
        <v/>
      </c>
      <c r="AK27" s="52">
        <f>$AP$6</f>
        <v>0</v>
      </c>
      <c r="AL27" s="53" t="s">
        <v>117</v>
      </c>
      <c r="AM27" s="53"/>
      <c r="AN27" s="53"/>
    </row>
    <row r="28" spans="2:73" ht="16" customHeight="1" x14ac:dyDescent="0.25">
      <c r="B28" s="50" t="s">
        <v>116</v>
      </c>
      <c r="C28" s="50"/>
      <c r="D28" s="50"/>
      <c r="E28" s="54">
        <f>IF(OR(E27="",$AP$4=0),"",E27/$AP$4)</f>
        <v/>
      </c>
      <c r="F28" s="54">
        <f>IF(OR(F27="",$AP$4=0),"",F27/$AP$4)</f>
        <v/>
      </c>
      <c r="G28" s="54">
        <f>IF(OR(G27="",$AP$4=0),"",G27/$AP$4)</f>
        <v/>
      </c>
      <c r="H28" s="54">
        <f>IF(OR(H27="",$AP$4=0),"",H27/$AP$4)</f>
        <v/>
      </c>
      <c r="I28" s="54">
        <f>IF(OR(I27="",$AP$4=0),"",I27/$AP$4)</f>
        <v/>
      </c>
      <c r="J28" s="54">
        <f>IF(OR(J27="",$AP$4=0),"",J27/$AP$4)</f>
        <v/>
      </c>
      <c r="K28" s="54">
        <f>IF(OR(K27="",$AP$4=0),"",K27/$AP$4)</f>
        <v/>
      </c>
      <c r="L28" s="54">
        <f>IF(OR(L27="",$AP$4=0),"",L27/$AP$4)</f>
        <v/>
      </c>
      <c r="M28" s="54">
        <f>IF(OR(M27="",$AP$4=0),"",M27/$AP$4)</f>
        <v/>
      </c>
      <c r="N28" s="54">
        <f>IF(OR(N27="",$AP$4=0),"",N27/$AP$4)</f>
        <v/>
      </c>
      <c r="O28" s="54">
        <f>IF(OR(O27="",$AP$4=0),"",O27/$AP$4)</f>
        <v/>
      </c>
      <c r="P28" s="54">
        <f>IF(OR(P27="",$AP$4=0),"",P27/$AP$4)</f>
        <v/>
      </c>
      <c r="Q28" s="54">
        <f>IF(OR(Q27="",$AP$4=0),"",Q27/$AP$4)</f>
        <v/>
      </c>
      <c r="R28" s="54">
        <f>IF(OR(R27="",$AP$4=0),"",R27/$AP$4)</f>
        <v/>
      </c>
      <c r="S28" s="54">
        <f>IF(OR(S27="",$AP$4=0),"",S27/$AP$4)</f>
        <v/>
      </c>
      <c r="T28" s="54">
        <f>IF(OR(T27="",$AP$4=0),"",T27/$AP$4)</f>
        <v/>
      </c>
      <c r="U28" s="54">
        <f>IF(OR(U27="",$AP$4=0),"",U27/$AP$4)</f>
        <v/>
      </c>
      <c r="V28" s="54">
        <f>IF(OR(V27="",$AP$4=0),"",V27/$AP$4)</f>
        <v/>
      </c>
      <c r="W28" s="54">
        <f>IF(OR(W27="",$AP$4=0),"",W27/$AP$4)</f>
        <v/>
      </c>
      <c r="X28" s="54">
        <f>IF(OR(X27="",$AP$4=0),"",X27/$AP$4)</f>
        <v/>
      </c>
      <c r="Y28" s="54">
        <f>IF(OR(Y27="",$AP$4=0),"",Y27/$AP$4)</f>
        <v/>
      </c>
      <c r="Z28" s="54">
        <f>IF(OR(Z27="",$AP$4=0),"",Z27/$AP$4)</f>
        <v/>
      </c>
      <c r="AA28" s="54">
        <f>IF(OR(AA27="",$AP$4=0),"",AA27/$AP$4)</f>
        <v/>
      </c>
      <c r="AB28" s="54">
        <f>IF(OR(AB27="",$AP$4=0),"",AB27/$AP$4)</f>
        <v/>
      </c>
      <c r="AC28" s="54">
        <f>IF(OR(AC27="",$AP$4=0),"",AC27/$AP$4)</f>
        <v/>
      </c>
      <c r="AD28" s="54">
        <f>IF(OR(AD27="",$AP$4=0),"",AD27/$AP$4)</f>
        <v/>
      </c>
      <c r="AE28" s="54">
        <f>IF(OR(AE27="",$AP$4=0),"",AE27/$AP$4)</f>
        <v/>
      </c>
      <c r="AF28" s="54">
        <f>IF(OR(AF27="",$AP$4=0),"",AF27/$AP$4)</f>
        <v/>
      </c>
      <c r="AG28" s="54">
        <f>IF(OR(AG27="",$AP$4=0),"",AG27/$AP$4)</f>
        <v/>
      </c>
      <c r="AH28" s="54">
        <f>IF(OR(AH27="",$AP$4=0),"",AH27/$AP$4)</f>
        <v/>
      </c>
      <c r="AI28" s="54">
        <f>IF(OR(AI27="",$AP$4=0),"",AI27/$AP$4)</f>
        <v/>
      </c>
      <c r="AK28" s="55">
        <f>$AP$7</f>
        <v>0</v>
      </c>
      <c r="AL28" s="53" t="s">
        <v>118</v>
      </c>
      <c r="AM28" s="53"/>
      <c r="AN28" s="53"/>
    </row>
    <row r="29" spans="2:73" ht="6" customHeight="1" x14ac:dyDescent="0.25"/>
    <row r="30" spans="2:73" ht="18" customHeight="1" x14ac:dyDescent="0.25">
      <c r="B30" s="50" t="s">
        <v>119</v>
      </c>
      <c r="C30" s="50"/>
      <c r="D30" s="50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K30" s="57" t="s">
        <v>122</v>
      </c>
      <c r="AL30" s="57"/>
      <c r="AM30" s="57"/>
      <c r="AN30" s="57"/>
      <c r="AP30" s="29">
        <f>COUNTIF($E$32:$AI$32,'Списки'!$C$2)</f>
        <v>0</v>
      </c>
    </row>
    <row r="31" spans="2:73" ht="18" customHeight="1" x14ac:dyDescent="0.25">
      <c r="B31" s="50" t="s">
        <v>120</v>
      </c>
      <c r="C31" s="50"/>
      <c r="D31" s="50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K31" s="57" t="s">
        <v>123</v>
      </c>
      <c r="AL31" s="57"/>
      <c r="AM31" s="57"/>
      <c r="AN31" s="57"/>
      <c r="AP31" s="29">
        <f>COUNTIF($E$32:$AI$32,'Списки'!$C$3)</f>
        <v>0</v>
      </c>
    </row>
    <row r="32" spans="2:73" ht="18" customHeight="1" x14ac:dyDescent="0.25">
      <c r="B32" s="50" t="s">
        <v>121</v>
      </c>
      <c r="C32" s="50"/>
      <c r="D32" s="50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K32" s="57" t="s">
        <v>124</v>
      </c>
      <c r="AL32" s="57"/>
      <c r="AM32" s="57"/>
      <c r="AN32" s="57"/>
      <c r="AP32" s="29">
        <f>COUNTIF($E$32:$AI$32,'Списки'!$C$4)</f>
        <v>0</v>
      </c>
    </row>
    <row r="33" spans="2:42" ht="18" customHeight="1" x14ac:dyDescent="0.25">
      <c r="B33" s="26" t="s">
        <v>105</v>
      </c>
      <c r="C33" s="26"/>
      <c r="D33" s="26"/>
      <c r="E33" s="26" t="s">
        <v>125</v>
      </c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K33" s="26" t="s">
        <v>126</v>
      </c>
      <c r="AL33" s="26"/>
      <c r="AM33" s="26"/>
      <c r="AN33" s="26"/>
      <c r="AP33" s="29">
        <f>COUNTIF($E$32:$AI$32,'Списки'!$C$5)</f>
        <v>0</v>
      </c>
    </row>
    <row r="34" spans="2:42" x14ac:dyDescent="0.25">
      <c r="AK34" s="58" t="s">
        <v>127</v>
      </c>
      <c r="AL34" s="58"/>
      <c r="AM34" s="58"/>
      <c r="AN34" s="58"/>
      <c r="AP34" s="29">
        <f>COUNTIF($E$32:$AI$32,'Списки'!$C$6)</f>
        <v>0</v>
      </c>
    </row>
    <row r="35" spans="2:42" x14ac:dyDescent="0.25">
      <c r="AK35" s="59" t="str">
        <f>IFERROR(ROUND(AVERAGE($E$30:$AI$30),1)&amp;" ч","—")</f>
        <v>—</v>
      </c>
      <c r="AL35" s="59"/>
      <c r="AM35" s="59"/>
      <c r="AN35" s="59"/>
    </row>
    <row r="36" spans="2:42" x14ac:dyDescent="0.25">
      <c r="AK36" s="58" t="s">
        <v>128</v>
      </c>
      <c r="AL36" s="58"/>
      <c r="AM36" s="58"/>
      <c r="AN36" s="58"/>
    </row>
    <row r="37" spans="2:42" x14ac:dyDescent="0.25">
      <c r="AK37" s="59" t="str">
        <f>IFERROR(ROUND(AVERAGE($E$31:$AI$31),1)&amp;" из 5","—")</f>
        <v>—</v>
      </c>
      <c r="AL37" s="59"/>
      <c r="AM37" s="59"/>
      <c r="AN37" s="59"/>
    </row>
    <row r="38" spans="2:42" x14ac:dyDescent="0.25">
      <c r="AK38" s="58" t="s">
        <v>129</v>
      </c>
      <c r="AL38" s="58"/>
      <c r="AM38" s="58"/>
      <c r="AN38" s="58"/>
    </row>
    <row r="39" spans="2:42" x14ac:dyDescent="0.25">
      <c r="AK39" s="59" t="str">
        <f>IF(MAX($AP$30:$AP$34)=0,"—",INDEX('Списки'!$C$2:$C$6,MATCH(MAX($AP$30:$AP$34),$AP$30:$AP$34,0)))</f>
        <v>—</v>
      </c>
      <c r="AL39" s="59"/>
      <c r="AM39" s="59"/>
      <c r="AN39" s="59"/>
    </row>
    <row r="40" spans="2:42" x14ac:dyDescent="0.25">
      <c r="AK40" s="58" t="s">
        <v>130</v>
      </c>
      <c r="AL40" s="58"/>
      <c r="AM40" s="58"/>
      <c r="AN40" s="58"/>
    </row>
    <row r="41" spans="2:42" x14ac:dyDescent="0.25">
      <c r="AK41" s="59" t="str">
        <f>IFERROR(ROUND(AVERAGEIFS($E$28:$AI$28,$E$30:$AI$30,"&gt;=7")*100,0)&amp;"%","—")</f>
        <v>—</v>
      </c>
      <c r="AL41" s="59"/>
      <c r="AM41" s="59"/>
      <c r="AN41" s="59"/>
    </row>
    <row r="42" spans="2:42" x14ac:dyDescent="0.25">
      <c r="AK42" s="58" t="s">
        <v>131</v>
      </c>
      <c r="AL42" s="58"/>
      <c r="AM42" s="58"/>
      <c r="AN42" s="58"/>
    </row>
    <row r="43" spans="2:42" x14ac:dyDescent="0.25">
      <c r="AK43" s="59" t="str">
        <f>IFERROR(ROUND(AVERAGEIFS($E$28:$AI$28,$E$30:$AI$30,"&lt;7")*100,0)&amp;"%","—")</f>
        <v>—</v>
      </c>
      <c r="AL43" s="59"/>
      <c r="AM43" s="59"/>
      <c r="AN43" s="59"/>
    </row>
    <row r="44" spans="2:42" x14ac:dyDescent="0.25">
      <c r="AK44" s="58" t="s">
        <v>132</v>
      </c>
      <c r="AL44" s="58"/>
      <c r="AM44" s="58"/>
      <c r="AN44" s="58"/>
    </row>
    <row r="45" spans="2:42" x14ac:dyDescent="0.25">
      <c r="AK45" s="59" t="str">
        <f>IFERROR(ROUND(AVERAGEIFS($E$28:$AI$28,$E$31:$AI$31,"&gt;=4")*100,0)&amp;"%","—")</f>
        <v>—</v>
      </c>
      <c r="AL45" s="59"/>
      <c r="AM45" s="59"/>
      <c r="AN45" s="59"/>
    </row>
    <row r="46" spans="2:42" x14ac:dyDescent="0.25">
      <c r="AK46" s="60"/>
      <c r="AL46" s="60"/>
      <c r="AM46" s="60"/>
      <c r="AN46" s="60"/>
    </row>
    <row r="47" spans="2:42" x14ac:dyDescent="0.25">
      <c r="AK47" s="60"/>
      <c r="AL47" s="60"/>
      <c r="AM47" s="60"/>
      <c r="AN47" s="60"/>
    </row>
    <row r="48" spans="2:42" ht="8" customHeight="1" x14ac:dyDescent="0.25"/>
    <row r="49" spans="2:40" ht="22" customHeight="1" x14ac:dyDescent="0.25">
      <c r="B49" s="61" t="s">
        <v>133</v>
      </c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2" t="s">
        <v>134</v>
      </c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</row>
    <row r="50" spans="2:40" ht="16" customHeight="1" x14ac:dyDescent="0.25">
      <c r="B50" s="19" t="s">
        <v>135</v>
      </c>
      <c r="C50" s="19" t="s">
        <v>112</v>
      </c>
      <c r="D50" s="19" t="s">
        <v>136</v>
      </c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</row>
    <row r="51" spans="2:40" ht="17" customHeight="1" x14ac:dyDescent="0.25">
      <c r="B51" s="53" t="str">
        <f>IF(1&lt;=$AP$2,CHOOSE(WEEKDAY($AP$1+0,2),"Пн","Вт","Ср","Чт","Пт","Сб","Вс")&amp;" 1 дек","")</f>
        <v>Вт 1 дек</v>
      </c>
      <c r="C51" s="63">
        <f>IF(INDEX($E$27:$AI$27,1)="","",INDEX($E$27:$AI$27,1)&amp;"/"&amp;$AP$4&amp;" ✓")</f>
        <v/>
      </c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64"/>
      <c r="AI51" s="64"/>
      <c r="AJ51" s="64"/>
      <c r="AK51" s="64"/>
      <c r="AL51" s="64"/>
      <c r="AM51" s="64"/>
      <c r="AN51" s="64"/>
    </row>
    <row r="52" spans="2:40" ht="17" customHeight="1" x14ac:dyDescent="0.25">
      <c r="B52" s="53" t="str">
        <f>IF(2&lt;=$AP$2,CHOOSE(WEEKDAY($AP$1+1,2),"Пн","Вт","Ср","Чт","Пт","Сб","Вс")&amp;" 2 дек","")</f>
        <v>Ср 2 дек</v>
      </c>
      <c r="C52" s="63">
        <f>IF(INDEX($E$27:$AI$27,2)="","",INDEX($E$27:$AI$27,2)&amp;"/"&amp;$AP$4&amp;" ✓")</f>
        <v/>
      </c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64"/>
      <c r="AI52" s="64"/>
      <c r="AJ52" s="64"/>
      <c r="AK52" s="64"/>
      <c r="AL52" s="64"/>
      <c r="AM52" s="64"/>
      <c r="AN52" s="64"/>
    </row>
    <row r="53" spans="2:40" ht="17" customHeight="1" x14ac:dyDescent="0.25">
      <c r="B53" s="53" t="str">
        <f>IF(3&lt;=$AP$2,CHOOSE(WEEKDAY($AP$1+2,2),"Пн","Вт","Ср","Чт","Пт","Сб","Вс")&amp;" 3 дек","")</f>
        <v>Чт 3 дек</v>
      </c>
      <c r="C53" s="63">
        <f>IF(INDEX($E$27:$AI$27,3)="","",INDEX($E$27:$AI$27,3)&amp;"/"&amp;$AP$4&amp;" ✓")</f>
        <v/>
      </c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  <c r="AA53" s="64"/>
      <c r="AB53" s="64"/>
      <c r="AC53" s="64"/>
      <c r="AD53" s="64"/>
      <c r="AE53" s="64"/>
      <c r="AF53" s="64"/>
      <c r="AG53" s="64"/>
      <c r="AH53" s="64"/>
      <c r="AI53" s="64"/>
      <c r="AJ53" s="64"/>
      <c r="AK53" s="64"/>
      <c r="AL53" s="64"/>
      <c r="AM53" s="64"/>
      <c r="AN53" s="64"/>
    </row>
    <row r="54" spans="2:40" ht="17" customHeight="1" x14ac:dyDescent="0.25">
      <c r="B54" s="53" t="str">
        <f>IF(4&lt;=$AP$2,CHOOSE(WEEKDAY($AP$1+3,2),"Пн","Вт","Ср","Чт","Пт","Сб","Вс")&amp;" 4 дек","")</f>
        <v>Пт 4 дек</v>
      </c>
      <c r="C54" s="63">
        <f>IF(INDEX($E$27:$AI$27,4)="","",INDEX($E$27:$AI$27,4)&amp;"/"&amp;$AP$4&amp;" ✓")</f>
        <v/>
      </c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64"/>
      <c r="AI54" s="64"/>
      <c r="AJ54" s="64"/>
      <c r="AK54" s="64"/>
      <c r="AL54" s="64"/>
      <c r="AM54" s="64"/>
      <c r="AN54" s="64"/>
    </row>
    <row r="55" spans="2:40" ht="17" customHeight="1" x14ac:dyDescent="0.25">
      <c r="B55" s="53" t="str">
        <f>IF(5&lt;=$AP$2,CHOOSE(WEEKDAY($AP$1+4,2),"Пн","Вт","Ср","Чт","Пт","Сб","Вс")&amp;" 5 дек","")</f>
        <v>Сб 5 дек</v>
      </c>
      <c r="C55" s="63">
        <f>IF(INDEX($E$27:$AI$27,5)="","",INDEX($E$27:$AI$27,5)&amp;"/"&amp;$AP$4&amp;" ✓")</f>
        <v/>
      </c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  <c r="AB55" s="64"/>
      <c r="AC55" s="64"/>
      <c r="AD55" s="64"/>
      <c r="AE55" s="64"/>
      <c r="AF55" s="64"/>
      <c r="AG55" s="64"/>
      <c r="AH55" s="64"/>
      <c r="AI55" s="64"/>
      <c r="AJ55" s="64"/>
      <c r="AK55" s="64"/>
      <c r="AL55" s="64"/>
      <c r="AM55" s="64"/>
      <c r="AN55" s="64"/>
    </row>
    <row r="56" spans="2:40" ht="17" customHeight="1" x14ac:dyDescent="0.25">
      <c r="B56" s="53" t="str">
        <f>IF(6&lt;=$AP$2,CHOOSE(WEEKDAY($AP$1+5,2),"Пн","Вт","Ср","Чт","Пт","Сб","Вс")&amp;" 6 дек","")</f>
        <v>Вс 6 дек</v>
      </c>
      <c r="C56" s="63">
        <f>IF(INDEX($E$27:$AI$27,6)="","",INDEX($E$27:$AI$27,6)&amp;"/"&amp;$AP$4&amp;" ✓")</f>
        <v/>
      </c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64"/>
      <c r="AI56" s="64"/>
      <c r="AJ56" s="64"/>
      <c r="AK56" s="64"/>
      <c r="AL56" s="64"/>
      <c r="AM56" s="64"/>
      <c r="AN56" s="64"/>
    </row>
    <row r="57" spans="2:40" ht="17" customHeight="1" x14ac:dyDescent="0.25">
      <c r="B57" s="53" t="str">
        <f>IF(7&lt;=$AP$2,CHOOSE(WEEKDAY($AP$1+6,2),"Пн","Вт","Ср","Чт","Пт","Сб","Вс")&amp;" 7 дек","")</f>
        <v>Пн 7 дек</v>
      </c>
      <c r="C57" s="63">
        <f>IF(INDEX($E$27:$AI$27,7)="","",INDEX($E$27:$AI$27,7)&amp;"/"&amp;$AP$4&amp;" ✓")</f>
        <v/>
      </c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  <c r="AA57" s="64"/>
      <c r="AB57" s="64"/>
      <c r="AC57" s="64"/>
      <c r="AD57" s="64"/>
      <c r="AE57" s="64"/>
      <c r="AF57" s="64"/>
      <c r="AG57" s="64"/>
      <c r="AH57" s="64"/>
      <c r="AI57" s="64"/>
      <c r="AJ57" s="64"/>
      <c r="AK57" s="64"/>
      <c r="AL57" s="64"/>
      <c r="AM57" s="64"/>
      <c r="AN57" s="64"/>
    </row>
    <row r="58" spans="2:40" ht="17" customHeight="1" x14ac:dyDescent="0.25">
      <c r="B58" s="53" t="str">
        <f>IF(8&lt;=$AP$2,CHOOSE(WEEKDAY($AP$1+7,2),"Пн","Вт","Ср","Чт","Пт","Сб","Вс")&amp;" 8 дек","")</f>
        <v>Вт 8 дек</v>
      </c>
      <c r="C58" s="63">
        <f>IF(INDEX($E$27:$AI$27,8)="","",INDEX($E$27:$AI$27,8)&amp;"/"&amp;$AP$4&amp;" ✓")</f>
        <v/>
      </c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</row>
    <row r="59" spans="2:40" ht="17" customHeight="1" x14ac:dyDescent="0.25">
      <c r="B59" s="53" t="str">
        <f>IF(9&lt;=$AP$2,CHOOSE(WEEKDAY($AP$1+8,2),"Пн","Вт","Ср","Чт","Пт","Сб","Вс")&amp;" 9 дек","")</f>
        <v>Ср 9 дек</v>
      </c>
      <c r="C59" s="63">
        <f>IF(INDEX($E$27:$AI$27,9)="","",INDEX($E$27:$AI$27,9)&amp;"/"&amp;$AP$4&amp;" ✓")</f>
        <v/>
      </c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</row>
    <row r="60" spans="2:40" ht="17" customHeight="1" x14ac:dyDescent="0.25">
      <c r="B60" s="53" t="str">
        <f>IF(10&lt;=$AP$2,CHOOSE(WEEKDAY($AP$1+9,2),"Пн","Вт","Ср","Чт","Пт","Сб","Вс")&amp;" 10 дек","")</f>
        <v>Чт 10 дек</v>
      </c>
      <c r="C60" s="63">
        <f>IF(INDEX($E$27:$AI$27,10)="","",INDEX($E$27:$AI$27,10)&amp;"/"&amp;$AP$4&amp;" ✓")</f>
        <v/>
      </c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</row>
    <row r="61" spans="2:40" ht="17" customHeight="1" x14ac:dyDescent="0.25">
      <c r="B61" s="53" t="str">
        <f>IF(11&lt;=$AP$2,CHOOSE(WEEKDAY($AP$1+10,2),"Пн","Вт","Ср","Чт","Пт","Сб","Вс")&amp;" 11 дек","")</f>
        <v>Пт 11 дек</v>
      </c>
      <c r="C61" s="63">
        <f>IF(INDEX($E$27:$AI$27,11)="","",INDEX($E$27:$AI$27,11)&amp;"/"&amp;$AP$4&amp;" ✓")</f>
        <v/>
      </c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</row>
    <row r="62" spans="2:40" ht="17" customHeight="1" x14ac:dyDescent="0.25">
      <c r="B62" s="53" t="str">
        <f>IF(12&lt;=$AP$2,CHOOSE(WEEKDAY($AP$1+11,2),"Пн","Вт","Ср","Чт","Пт","Сб","Вс")&amp;" 12 дек","")</f>
        <v>Сб 12 дек</v>
      </c>
      <c r="C62" s="63">
        <f>IF(INDEX($E$27:$AI$27,12)="","",INDEX($E$27:$AI$27,12)&amp;"/"&amp;$AP$4&amp;" ✓")</f>
        <v/>
      </c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</row>
    <row r="63" spans="2:40" ht="17" customHeight="1" x14ac:dyDescent="0.25">
      <c r="B63" s="53" t="str">
        <f>IF(13&lt;=$AP$2,CHOOSE(WEEKDAY($AP$1+12,2),"Пн","Вт","Ср","Чт","Пт","Сб","Вс")&amp;" 13 дек","")</f>
        <v>Вс 13 дек</v>
      </c>
      <c r="C63" s="63">
        <f>IF(INDEX($E$27:$AI$27,13)="","",INDEX($E$27:$AI$27,13)&amp;"/"&amp;$AP$4&amp;" ✓")</f>
        <v/>
      </c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</row>
    <row r="64" spans="2:40" ht="17" customHeight="1" x14ac:dyDescent="0.25">
      <c r="B64" s="53" t="str">
        <f>IF(14&lt;=$AP$2,CHOOSE(WEEKDAY($AP$1+13,2),"Пн","Вт","Ср","Чт","Пт","Сб","Вс")&amp;" 14 дек","")</f>
        <v>Пн 14 дек</v>
      </c>
      <c r="C64" s="63">
        <f>IF(INDEX($E$27:$AI$27,14)="","",INDEX($E$27:$AI$27,14)&amp;"/"&amp;$AP$4&amp;" ✓")</f>
        <v/>
      </c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64"/>
      <c r="AI64" s="64"/>
      <c r="AJ64" s="64"/>
      <c r="AK64" s="64"/>
      <c r="AL64" s="64"/>
      <c r="AM64" s="64"/>
      <c r="AN64" s="64"/>
    </row>
    <row r="65" spans="2:40" ht="17" customHeight="1" x14ac:dyDescent="0.25">
      <c r="B65" s="53" t="str">
        <f>IF(15&lt;=$AP$2,CHOOSE(WEEKDAY($AP$1+14,2),"Пн","Вт","Ср","Чт","Пт","Сб","Вс")&amp;" 15 дек","")</f>
        <v>Вт 15 дек</v>
      </c>
      <c r="C65" s="63">
        <f>IF(INDEX($E$27:$AI$27,15)="","",INDEX($E$27:$AI$27,15)&amp;"/"&amp;$AP$4&amp;" ✓")</f>
        <v/>
      </c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64"/>
      <c r="AI65" s="64"/>
      <c r="AJ65" s="64"/>
      <c r="AK65" s="64"/>
      <c r="AL65" s="64"/>
      <c r="AM65" s="64"/>
      <c r="AN65" s="64"/>
    </row>
    <row r="66" spans="2:40" ht="17" customHeight="1" x14ac:dyDescent="0.25">
      <c r="B66" s="53" t="str">
        <f>IF(16&lt;=$AP$2,CHOOSE(WEEKDAY($AP$1+15,2),"Пн","Вт","Ср","Чт","Пт","Сб","Вс")&amp;" 16 дек","")</f>
        <v>Ср 16 дек</v>
      </c>
      <c r="C66" s="63">
        <f>IF(INDEX($E$27:$AI$27,16)="","",INDEX($E$27:$AI$27,16)&amp;"/"&amp;$AP$4&amp;" ✓")</f>
        <v/>
      </c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64"/>
      <c r="AI66" s="64"/>
      <c r="AJ66" s="64"/>
      <c r="AK66" s="64"/>
      <c r="AL66" s="64"/>
      <c r="AM66" s="64"/>
      <c r="AN66" s="64"/>
    </row>
    <row r="67" spans="2:40" ht="17" customHeight="1" x14ac:dyDescent="0.25">
      <c r="B67" s="53" t="str">
        <f>IF(17&lt;=$AP$2,CHOOSE(WEEKDAY($AP$1+16,2),"Пн","Вт","Ср","Чт","Пт","Сб","Вс")&amp;" 17 дек","")</f>
        <v>Чт 17 дек</v>
      </c>
      <c r="C67" s="63">
        <f>IF(INDEX($E$27:$AI$27,17)="","",INDEX($E$27:$AI$27,17)&amp;"/"&amp;$AP$4&amp;" ✓")</f>
        <v/>
      </c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  <c r="AA67" s="64"/>
      <c r="AB67" s="64"/>
      <c r="AC67" s="64"/>
      <c r="AD67" s="64"/>
      <c r="AE67" s="64"/>
      <c r="AF67" s="64"/>
      <c r="AG67" s="64"/>
      <c r="AH67" s="64"/>
      <c r="AI67" s="64"/>
      <c r="AJ67" s="64"/>
      <c r="AK67" s="64"/>
      <c r="AL67" s="64"/>
      <c r="AM67" s="64"/>
      <c r="AN67" s="64"/>
    </row>
    <row r="68" spans="2:40" ht="17" customHeight="1" x14ac:dyDescent="0.25">
      <c r="B68" s="53" t="str">
        <f>IF(18&lt;=$AP$2,CHOOSE(WEEKDAY($AP$1+17,2),"Пн","Вт","Ср","Чт","Пт","Сб","Вс")&amp;" 18 дек","")</f>
        <v>Пт 18 дек</v>
      </c>
      <c r="C68" s="63">
        <f>IF(INDEX($E$27:$AI$27,18)="","",INDEX($E$27:$AI$27,18)&amp;"/"&amp;$AP$4&amp;" ✓")</f>
        <v/>
      </c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</row>
    <row r="69" spans="2:40" ht="17" customHeight="1" x14ac:dyDescent="0.25">
      <c r="B69" s="53" t="str">
        <f>IF(19&lt;=$AP$2,CHOOSE(WEEKDAY($AP$1+18,2),"Пн","Вт","Ср","Чт","Пт","Сб","Вс")&amp;" 19 дек","")</f>
        <v>Сб 19 дек</v>
      </c>
      <c r="C69" s="63">
        <f>IF(INDEX($E$27:$AI$27,19)="","",INDEX($E$27:$AI$27,19)&amp;"/"&amp;$AP$4&amp;" ✓")</f>
        <v/>
      </c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</row>
    <row r="70" spans="2:40" ht="17" customHeight="1" x14ac:dyDescent="0.25">
      <c r="B70" s="53" t="str">
        <f>IF(20&lt;=$AP$2,CHOOSE(WEEKDAY($AP$1+19,2),"Пн","Вт","Ср","Чт","Пт","Сб","Вс")&amp;" 20 дек","")</f>
        <v>Вс 20 дек</v>
      </c>
      <c r="C70" s="63">
        <f>IF(INDEX($E$27:$AI$27,20)="","",INDEX($E$27:$AI$27,20)&amp;"/"&amp;$AP$4&amp;" ✓")</f>
        <v/>
      </c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</row>
    <row r="71" spans="2:40" ht="17" customHeight="1" x14ac:dyDescent="0.25">
      <c r="B71" s="53" t="str">
        <f>IF(21&lt;=$AP$2,CHOOSE(WEEKDAY($AP$1+20,2),"Пн","Вт","Ср","Чт","Пт","Сб","Вс")&amp;" 21 дек","")</f>
        <v>Пн 21 дек</v>
      </c>
      <c r="C71" s="63">
        <f>IF(INDEX($E$27:$AI$27,21)="","",INDEX($E$27:$AI$27,21)&amp;"/"&amp;$AP$4&amp;" ✓")</f>
        <v/>
      </c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</row>
    <row r="72" spans="2:40" ht="17" customHeight="1" x14ac:dyDescent="0.25">
      <c r="B72" s="53" t="str">
        <f>IF(22&lt;=$AP$2,CHOOSE(WEEKDAY($AP$1+21,2),"Пн","Вт","Ср","Чт","Пт","Сб","Вс")&amp;" 22 дек","")</f>
        <v>Вт 22 дек</v>
      </c>
      <c r="C72" s="63">
        <f>IF(INDEX($E$27:$AI$27,22)="","",INDEX($E$27:$AI$27,22)&amp;"/"&amp;$AP$4&amp;" ✓")</f>
        <v/>
      </c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</row>
    <row r="73" spans="2:40" ht="17" customHeight="1" x14ac:dyDescent="0.25">
      <c r="B73" s="53" t="str">
        <f>IF(23&lt;=$AP$2,CHOOSE(WEEKDAY($AP$1+22,2),"Пн","Вт","Ср","Чт","Пт","Сб","Вс")&amp;" 23 дек","")</f>
        <v>Ср 23 дек</v>
      </c>
      <c r="C73" s="63">
        <f>IF(INDEX($E$27:$AI$27,23)="","",INDEX($E$27:$AI$27,23)&amp;"/"&amp;$AP$4&amp;" ✓")</f>
        <v/>
      </c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  <c r="AA73" s="64"/>
      <c r="AB73" s="64"/>
      <c r="AC73" s="64"/>
      <c r="AD73" s="64"/>
      <c r="AE73" s="64"/>
      <c r="AF73" s="64"/>
      <c r="AG73" s="64"/>
      <c r="AH73" s="64"/>
      <c r="AI73" s="64"/>
      <c r="AJ73" s="64"/>
      <c r="AK73" s="64"/>
      <c r="AL73" s="64"/>
      <c r="AM73" s="64"/>
      <c r="AN73" s="64"/>
    </row>
    <row r="74" spans="2:40" ht="17" customHeight="1" x14ac:dyDescent="0.25">
      <c r="B74" s="53" t="str">
        <f>IF(24&lt;=$AP$2,CHOOSE(WEEKDAY($AP$1+23,2),"Пн","Вт","Ср","Чт","Пт","Сб","Вс")&amp;" 24 дек","")</f>
        <v>Чт 24 дек</v>
      </c>
      <c r="C74" s="63">
        <f>IF(INDEX($E$27:$AI$27,24)="","",INDEX($E$27:$AI$27,24)&amp;"/"&amp;$AP$4&amp;" ✓")</f>
        <v/>
      </c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</row>
    <row r="75" spans="2:40" ht="17" customHeight="1" x14ac:dyDescent="0.25">
      <c r="B75" s="53" t="str">
        <f>IF(25&lt;=$AP$2,CHOOSE(WEEKDAY($AP$1+24,2),"Пн","Вт","Ср","Чт","Пт","Сб","Вс")&amp;" 25 дек","")</f>
        <v>Пт 25 дек</v>
      </c>
      <c r="C75" s="63">
        <f>IF(INDEX($E$27:$AI$27,25)="","",INDEX($E$27:$AI$27,25)&amp;"/"&amp;$AP$4&amp;" ✓")</f>
        <v/>
      </c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  <c r="AA75" s="64"/>
      <c r="AB75" s="64"/>
      <c r="AC75" s="64"/>
      <c r="AD75" s="64"/>
      <c r="AE75" s="64"/>
      <c r="AF75" s="64"/>
      <c r="AG75" s="64"/>
      <c r="AH75" s="64"/>
      <c r="AI75" s="64"/>
      <c r="AJ75" s="64"/>
      <c r="AK75" s="64"/>
      <c r="AL75" s="64"/>
      <c r="AM75" s="64"/>
      <c r="AN75" s="64"/>
    </row>
    <row r="76" spans="2:40" ht="17" customHeight="1" x14ac:dyDescent="0.25">
      <c r="B76" s="53" t="str">
        <f>IF(26&lt;=$AP$2,CHOOSE(WEEKDAY($AP$1+25,2),"Пн","Вт","Ср","Чт","Пт","Сб","Вс")&amp;" 26 дек","")</f>
        <v>Сб 26 дек</v>
      </c>
      <c r="C76" s="63">
        <f>IF(INDEX($E$27:$AI$27,26)="","",INDEX($E$27:$AI$27,26)&amp;"/"&amp;$AP$4&amp;" ✓")</f>
        <v/>
      </c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  <c r="AA76" s="64"/>
      <c r="AB76" s="64"/>
      <c r="AC76" s="64"/>
      <c r="AD76" s="64"/>
      <c r="AE76" s="64"/>
      <c r="AF76" s="64"/>
      <c r="AG76" s="64"/>
      <c r="AH76" s="64"/>
      <c r="AI76" s="64"/>
      <c r="AJ76" s="64"/>
      <c r="AK76" s="64"/>
      <c r="AL76" s="64"/>
      <c r="AM76" s="64"/>
      <c r="AN76" s="64"/>
    </row>
    <row r="77" spans="2:40" ht="17" customHeight="1" x14ac:dyDescent="0.25">
      <c r="B77" s="53" t="str">
        <f>IF(27&lt;=$AP$2,CHOOSE(WEEKDAY($AP$1+26,2),"Пн","Вт","Ср","Чт","Пт","Сб","Вс")&amp;" 27 дек","")</f>
        <v>Вс 27 дек</v>
      </c>
      <c r="C77" s="63">
        <f>IF(INDEX($E$27:$AI$27,27)="","",INDEX($E$27:$AI$27,27)&amp;"/"&amp;$AP$4&amp;" ✓")</f>
        <v/>
      </c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  <c r="AA77" s="64"/>
      <c r="AB77" s="64"/>
      <c r="AC77" s="64"/>
      <c r="AD77" s="64"/>
      <c r="AE77" s="64"/>
      <c r="AF77" s="64"/>
      <c r="AG77" s="64"/>
      <c r="AH77" s="64"/>
      <c r="AI77" s="64"/>
      <c r="AJ77" s="64"/>
      <c r="AK77" s="64"/>
      <c r="AL77" s="64"/>
      <c r="AM77" s="64"/>
      <c r="AN77" s="64"/>
    </row>
    <row r="78" spans="2:40" ht="17" customHeight="1" x14ac:dyDescent="0.25">
      <c r="B78" s="53" t="str">
        <f>IF(28&lt;=$AP$2,CHOOSE(WEEKDAY($AP$1+27,2),"Пн","Вт","Ср","Чт","Пт","Сб","Вс")&amp;" 28 дек","")</f>
        <v>Пн 28 дек</v>
      </c>
      <c r="C78" s="63">
        <f>IF(INDEX($E$27:$AI$27,28)="","",INDEX($E$27:$AI$27,28)&amp;"/"&amp;$AP$4&amp;" ✓")</f>
        <v/>
      </c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  <c r="AA78" s="64"/>
      <c r="AB78" s="64"/>
      <c r="AC78" s="64"/>
      <c r="AD78" s="64"/>
      <c r="AE78" s="64"/>
      <c r="AF78" s="64"/>
      <c r="AG78" s="64"/>
      <c r="AH78" s="64"/>
      <c r="AI78" s="64"/>
      <c r="AJ78" s="64"/>
      <c r="AK78" s="64"/>
      <c r="AL78" s="64"/>
      <c r="AM78" s="64"/>
      <c r="AN78" s="64"/>
    </row>
    <row r="79" spans="2:40" ht="17" customHeight="1" x14ac:dyDescent="0.25">
      <c r="B79" s="53" t="str">
        <f>IF(29&lt;=$AP$2,CHOOSE(WEEKDAY($AP$1+28,2),"Пн","Вт","Ср","Чт","Пт","Сб","Вс")&amp;" 29 дек","")</f>
        <v>Вт 29 дек</v>
      </c>
      <c r="C79" s="63">
        <f>IF(INDEX($E$27:$AI$27,29)="","",INDEX($E$27:$AI$27,29)&amp;"/"&amp;$AP$4&amp;" ✓")</f>
        <v/>
      </c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  <c r="AH79" s="64"/>
      <c r="AI79" s="64"/>
      <c r="AJ79" s="64"/>
      <c r="AK79" s="64"/>
      <c r="AL79" s="64"/>
      <c r="AM79" s="64"/>
      <c r="AN79" s="64"/>
    </row>
    <row r="80" spans="2:40" ht="17" customHeight="1" x14ac:dyDescent="0.25">
      <c r="B80" s="53" t="str">
        <f>IF(30&lt;=$AP$2,CHOOSE(WEEKDAY($AP$1+29,2),"Пн","Вт","Ср","Чт","Пт","Сб","Вс")&amp;" 30 дек","")</f>
        <v>Ср 30 дек</v>
      </c>
      <c r="C80" s="63">
        <f>IF(INDEX($E$27:$AI$27,30)="","",INDEX($E$27:$AI$27,30)&amp;"/"&amp;$AP$4&amp;" ✓")</f>
        <v/>
      </c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  <c r="AA80" s="64"/>
      <c r="AB80" s="64"/>
      <c r="AC80" s="64"/>
      <c r="AD80" s="64"/>
      <c r="AE80" s="64"/>
      <c r="AF80" s="64"/>
      <c r="AG80" s="64"/>
      <c r="AH80" s="64"/>
      <c r="AI80" s="64"/>
      <c r="AJ80" s="64"/>
      <c r="AK80" s="64"/>
      <c r="AL80" s="64"/>
      <c r="AM80" s="64"/>
      <c r="AN80" s="64"/>
    </row>
    <row r="81" spans="2:40" ht="17" customHeight="1" x14ac:dyDescent="0.25">
      <c r="B81" s="53" t="str">
        <f>IF(31&lt;=$AP$2,CHOOSE(WEEKDAY($AP$1+30,2),"Пн","Вт","Ср","Чт","Пт","Сб","Вс")&amp;" 31 дек","")</f>
        <v>Чт 31 дек</v>
      </c>
      <c r="C81" s="63">
        <f>IF(INDEX($E$27:$AI$27,31)="","",INDEX($E$27:$AI$27,31)&amp;"/"&amp;$AP$4&amp;" ✓")</f>
        <v/>
      </c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  <c r="AA81" s="64"/>
      <c r="AB81" s="64"/>
      <c r="AC81" s="64"/>
      <c r="AD81" s="64"/>
      <c r="AE81" s="64"/>
      <c r="AF81" s="64"/>
      <c r="AG81" s="64"/>
      <c r="AH81" s="64"/>
      <c r="AI81" s="64"/>
      <c r="AJ81" s="64"/>
      <c r="AK81" s="64"/>
      <c r="AL81" s="64"/>
      <c r="AM81" s="64"/>
      <c r="AN81" s="64"/>
    </row>
  </sheetData>
  <mergeCells count="96">
    <mergeCell ref="B2:Q2"/>
    <mergeCell ref="R2:AN2"/>
    <mergeCell ref="B3:Q3"/>
    <mergeCell ref="R3:AN3"/>
    <mergeCell ref="B5:D5"/>
    <mergeCell ref="B6:D6"/>
    <mergeCell ref="B7:D7"/>
    <mergeCell ref="E5:K5"/>
    <mergeCell ref="E6:K6"/>
    <mergeCell ref="E7:K7"/>
    <mergeCell ref="L5:R5"/>
    <mergeCell ref="L6:R6"/>
    <mergeCell ref="L7:R7"/>
    <mergeCell ref="S5:Y5"/>
    <mergeCell ref="S6:Y6"/>
    <mergeCell ref="S7:Y7"/>
    <mergeCell ref="Z5:AF5"/>
    <mergeCell ref="Z6:AF6"/>
    <mergeCell ref="Z7:AF7"/>
    <mergeCell ref="AG5:AN5"/>
    <mergeCell ref="AG6:AN6"/>
    <mergeCell ref="AG7:AN7"/>
    <mergeCell ref="B9:D9"/>
    <mergeCell ref="AK9:AN9"/>
    <mergeCell ref="E9:K9"/>
    <mergeCell ref="L9:R9"/>
    <mergeCell ref="S9:Y9"/>
    <mergeCell ref="Z9:AF9"/>
    <mergeCell ref="AG9:AI9"/>
    <mergeCell ref="B10:B11"/>
    <mergeCell ref="C10:C11"/>
    <mergeCell ref="D10:D11"/>
    <mergeCell ref="AK10:AK11"/>
    <mergeCell ref="AL10:AL11"/>
    <mergeCell ref="AM10:AM11"/>
    <mergeCell ref="AN10:AN11"/>
    <mergeCell ref="B27:D27"/>
    <mergeCell ref="B28:D28"/>
    <mergeCell ref="AL27:AN27"/>
    <mergeCell ref="AL28:AN28"/>
    <mergeCell ref="B30:D30"/>
    <mergeCell ref="B31:D31"/>
    <mergeCell ref="B32:D32"/>
    <mergeCell ref="AK30:AN30"/>
    <mergeCell ref="AK31:AN31"/>
    <mergeCell ref="AK32:AN32"/>
    <mergeCell ref="B33:D33"/>
    <mergeCell ref="E33:AI33"/>
    <mergeCell ref="AK33:AN33"/>
    <mergeCell ref="AK34:AN34"/>
    <mergeCell ref="AK35:AN35"/>
    <mergeCell ref="AK36:AN36"/>
    <mergeCell ref="AK37:AN37"/>
    <mergeCell ref="AK38:AN38"/>
    <mergeCell ref="AK39:AN39"/>
    <mergeCell ref="AK40:AN40"/>
    <mergeCell ref="AK41:AN41"/>
    <mergeCell ref="AK42:AN42"/>
    <mergeCell ref="AK43:AN43"/>
    <mergeCell ref="AK44:AN44"/>
    <mergeCell ref="AK45:AN45"/>
    <mergeCell ref="AK46:AN47"/>
    <mergeCell ref="B49:Q49"/>
    <mergeCell ref="R49:AN49"/>
    <mergeCell ref="D50:AN50"/>
    <mergeCell ref="D51:AN51"/>
    <mergeCell ref="D52:AN52"/>
    <mergeCell ref="D53:AN53"/>
    <mergeCell ref="D54:AN54"/>
    <mergeCell ref="D55:AN55"/>
    <mergeCell ref="D56:AN56"/>
    <mergeCell ref="D57:AN57"/>
    <mergeCell ref="D58:AN58"/>
    <mergeCell ref="D59:AN59"/>
    <mergeCell ref="D60:AN60"/>
    <mergeCell ref="D61:AN61"/>
    <mergeCell ref="D62:AN62"/>
    <mergeCell ref="D63:AN63"/>
    <mergeCell ref="D64:AN64"/>
    <mergeCell ref="D65:AN65"/>
    <mergeCell ref="D66:AN66"/>
    <mergeCell ref="D67:AN67"/>
    <mergeCell ref="D68:AN68"/>
    <mergeCell ref="D69:AN69"/>
    <mergeCell ref="D70:AN70"/>
    <mergeCell ref="D71:AN71"/>
    <mergeCell ref="D72:AN72"/>
    <mergeCell ref="D73:AN73"/>
    <mergeCell ref="D74:AN74"/>
    <mergeCell ref="D75:AN75"/>
    <mergeCell ref="D76:AN76"/>
    <mergeCell ref="D77:AN77"/>
    <mergeCell ref="D78:AN78"/>
    <mergeCell ref="D79:AN79"/>
    <mergeCell ref="D80:AN80"/>
    <mergeCell ref="D81:AN81"/>
  </mergeCells>
  <conditionalFormatting sqref="AG9:AI9">
    <cfRule type="expression" dxfId="9" priority="1">
      <formula>AG9=""</formula>
    </cfRule>
  </conditionalFormatting>
  <conditionalFormatting sqref="AL12:AL26">
    <cfRule type="dataBar" priority="22">
      <dataBar>
        <cfvo type="num" val="0"/>
        <cfvo type="num" val="1"/>
        <color rgb="FF2FD07A"/>
      </dataBar>
      <extLst>
        <ext xmlns:x14="http://schemas.microsoft.com/office/spreadsheetml/2009/9/main" uri="{B025F937-C7B1-47D3-B67F-A62EFF666E3E}">
          <x14:id>{DA7ABA51-AAAA-BBBB-000E-000000000001}</x14:id>
        </ext>
      </extLst>
    </cfRule>
  </conditionalFormatting>
  <conditionalFormatting sqref="B12:B26">
    <cfRule type="expression" dxfId="0" priority="23">
      <formula>$B12="Здоровье"</formula>
    </cfRule>
    <cfRule type="expression" dxfId="1" priority="24">
      <formula>$B12="Спорт"</formula>
    </cfRule>
    <cfRule type="expression" dxfId="2" priority="25">
      <formula>$B12="Работа"</formula>
    </cfRule>
    <cfRule type="expression" dxfId="3" priority="26">
      <formula>$B12="Учёба"</formula>
    </cfRule>
    <cfRule type="expression" dxfId="4" priority="27">
      <formula>$B12="Личное"</formula>
    </cfRule>
    <cfRule type="expression" dxfId="5" priority="28">
      <formula>$B12="Финансы"</formula>
    </cfRule>
    <cfRule type="expression" dxfId="6" priority="29">
      <formula>$B12="Отношения"</formula>
    </cfRule>
    <cfRule type="expression" dxfId="7" priority="30">
      <formula>$B12="Творчество"</formula>
    </cfRule>
  </conditionalFormatting>
  <conditionalFormatting sqref="B51:AN81">
    <cfRule type="expression" dxfId="9" priority="31" stopIfTrue="1">
      <formula>$B51=""</formula>
    </cfRule>
    <cfRule type="expression" dxfId="8" priority="32" stopIfTrue="1">
      <formula>AND($B51&lt;&gt;"",$AP$1+ROW()-51=TODAY())</formula>
    </cfRule>
    <cfRule type="expression" dxfId="18" priority="33">
      <formula>OR(LEFT($B51,2)="Сб",LEFT($B51,2)="Вс")</formula>
    </cfRule>
  </conditionalFormatting>
  <conditionalFormatting sqref="E10:AI10">
    <cfRule type="expression" dxfId="9" priority="13" stopIfTrue="1">
      <formula>E$11=""</formula>
    </cfRule>
    <cfRule type="expression" dxfId="16" priority="14" stopIfTrue="1">
      <formula>AND(E$11&lt;&gt;"",$AP$1+E$11-1=TODAY())</formula>
    </cfRule>
    <cfRule type="expression" dxfId="17" priority="15">
      <formula>OR(E$10="Сб",E$10="Вс")</formula>
    </cfRule>
  </conditionalFormatting>
  <conditionalFormatting sqref="E11:AI11">
    <cfRule type="expression" dxfId="9" priority="16" stopIfTrue="1">
      <formula>E$11=""</formula>
    </cfRule>
    <cfRule type="expression" dxfId="16" priority="17" stopIfTrue="1">
      <formula>AND(E$11&lt;&gt;"",$AP$1+E$11-1=TODAY())</formula>
    </cfRule>
    <cfRule type="expression" dxfId="17" priority="18">
      <formula>OR(E$10="Сб",E$10="Вс")</formula>
    </cfRule>
  </conditionalFormatting>
  <conditionalFormatting sqref="E12:AI26">
    <cfRule type="expression" dxfId="10" priority="2" stopIfTrue="1">
      <formula>OR(E12=TRUE,E12=1)</formula>
    </cfRule>
    <cfRule type="expression" dxfId="11" priority="3" stopIfTrue="1">
      <formula>E$11=""</formula>
    </cfRule>
    <cfRule type="expression" dxfId="12" priority="4" stopIfTrue="1">
      <formula>AND(E$11&lt;&gt;"",$AP$1+E$11-1=TODAY())</formula>
    </cfRule>
    <cfRule type="expression" dxfId="13" priority="5">
      <formula>OR(E$10="Сб",E$10="Вс")</formula>
    </cfRule>
  </conditionalFormatting>
  <conditionalFormatting sqref="E27:AI27">
    <cfRule type="expression" dxfId="9" priority="19" stopIfTrue="1">
      <formula>E$11=""</formula>
    </cfRule>
  </conditionalFormatting>
  <conditionalFormatting sqref="E28:AI28">
    <cfRule type="expression" dxfId="9" priority="20" stopIfTrue="1">
      <formula>E$11=""</formula>
    </cfRule>
    <cfRule type="colorScale" priority="21">
      <colorScale>
        <cfvo type="num" val="0"/>
        <cfvo type="num" val="0.5"/>
        <cfvo type="num" val="1"/>
        <color rgb="FF7F1D1D"/>
        <color rgb="FF8A6A12"/>
        <color rgb="FF166534"/>
      </colorScale>
    </cfRule>
  </conditionalFormatting>
  <conditionalFormatting sqref="E30:AI30">
    <cfRule type="expression" dxfId="14" priority="9">
      <formula>AND(ISNUMBER(E30),E30&lt;6.5)</formula>
    </cfRule>
    <cfRule type="expression" dxfId="15" priority="10">
      <formula>AND(ISNUMBER(E30),E30&gt;=7.5)</formula>
    </cfRule>
  </conditionalFormatting>
  <conditionalFormatting sqref="E30:AI32">
    <cfRule type="expression" dxfId="11" priority="6" stopIfTrue="1">
      <formula>E$11=""</formula>
    </cfRule>
    <cfRule type="expression" dxfId="12" priority="7" stopIfTrue="1">
      <formula>AND(E$11&lt;&gt;"",$AP$1+E$11-1=TODAY())</formula>
    </cfRule>
    <cfRule type="expression" dxfId="13" priority="8">
      <formula>OR(E$10="Сб",E$10="Вс")</formula>
    </cfRule>
  </conditionalFormatting>
  <conditionalFormatting sqref="E31:AI31">
    <cfRule type="expression" dxfId="14" priority="11">
      <formula>AND(ISNUMBER(E31),E31&lt;=2)</formula>
    </cfRule>
    <cfRule type="expression" dxfId="15" priority="12">
      <formula>AND(ISNUMBER(E31),E31&gt;=4)</formula>
    </cfRule>
  </conditionalFormatting>
  <dataValidations count="3">
    <dataValidation type="decimal" allowBlank="1" showInputMessage="1" showErrorMessage="1" errorTitle="Сон" error="Введи часы сна числом от 0 до 24, например 7,5" sqref="E30:AI30">
      <formula1>0</formula1>
      <formula2>24</formula2>
    </dataValidation>
    <dataValidation type="list" allowBlank="1" showInputMessage="1" showErrorMessage="1" errorTitle="Энергия" error="Оцени энергию от 1 (нет сил) до 5 (полон сил)" sqref="E31:AI31">
      <formula1>'Списки'!$B$2:$B$6</formula1>
    </dataValidation>
    <dataValidation type="list" allowBlank="1" showInputMessage="1" showErrorMessage="1" errorTitle="Настроение" error="Выбери смайлик из списка" sqref="E32:AI32">
      <formula1>'Списки'!$C$2:$C$6</formula1>
    </dataValidation>
  </dataValidations>
  <pageMargins left="0.3" right="0.3" top="0.4" bottom="0.4" header="0.3" footer="0.3"/>
  <pageSetup paperSize="9" fitToHeight="0" orientation="landscape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E-000000000001}">
            <x14:dataBar minLength="0" maxLength="100" gradient="0" axisPosition="none">
              <x14:cfvo type="num">
                <xm:f>0</xm:f>
              </x14:cfvo>
              <x14:cfvo type="num">
                <xm:f>1</xm:f>
              </x14:cfvo>
              <x14:negativeFillColor rgb="FFFF0000"/>
            </x14:dataBar>
          </x14:cfRule>
          <xm:sqref>AL12:AL26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156</v>
      </c>
      <c r="B1" t="s">
        <v>75</v>
      </c>
      <c r="C1" t="s">
        <v>121</v>
      </c>
      <c r="D1" t="s">
        <v>160</v>
      </c>
    </row>
    <row r="2" spans="1:4">
      <c r="A2" t="s">
        <v>15</v>
      </c>
      <c r="B2">
        <v>1</v>
      </c>
      <c r="C2" t="s">
        <v>143</v>
      </c>
      <c r="D2" t="s">
        <v>76</v>
      </c>
    </row>
    <row r="3" spans="1:4">
      <c r="A3" t="s">
        <v>18</v>
      </c>
      <c r="B3">
        <v>2</v>
      </c>
      <c r="C3" t="s">
        <v>142</v>
      </c>
      <c r="D3" t="s">
        <v>77</v>
      </c>
    </row>
    <row r="4" spans="1:4">
      <c r="A4" t="s">
        <v>31</v>
      </c>
      <c r="B4">
        <v>3</v>
      </c>
      <c r="C4" t="s">
        <v>144</v>
      </c>
      <c r="D4" t="s">
        <v>78</v>
      </c>
    </row>
    <row r="5" spans="1:4">
      <c r="A5" t="s">
        <v>23</v>
      </c>
      <c r="B5">
        <v>4</v>
      </c>
      <c r="C5" t="s">
        <v>146</v>
      </c>
      <c r="D5" t="s">
        <v>79</v>
      </c>
    </row>
    <row r="6" spans="1:4">
      <c r="A6" t="s">
        <v>26</v>
      </c>
      <c r="B6">
        <v>5</v>
      </c>
      <c r="C6" t="s">
        <v>145</v>
      </c>
      <c r="D6" t="s">
        <v>80</v>
      </c>
    </row>
    <row r="7" spans="1:4">
      <c r="A7" t="s">
        <v>157</v>
      </c>
      <c r="D7" t="s">
        <v>81</v>
      </c>
    </row>
    <row r="8" spans="1:4">
      <c r="A8" t="s">
        <v>158</v>
      </c>
      <c r="D8" t="s">
        <v>82</v>
      </c>
    </row>
    <row r="9" spans="1:4">
      <c r="A9" t="s">
        <v>159</v>
      </c>
      <c r="D9" t="s">
        <v>83</v>
      </c>
    </row>
    <row r="10" spans="1:4">
      <c r="D10" t="s">
        <v>84</v>
      </c>
    </row>
    <row r="11" spans="1:4">
      <c r="D11" t="s">
        <v>85</v>
      </c>
    </row>
    <row r="12" spans="1:4">
      <c r="D12" t="s">
        <v>86</v>
      </c>
    </row>
    <row r="13" spans="1:4">
      <c r="D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Старт</vt:lpstr>
      <vt:lpstr>Год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Списки</vt:lpstr>
      <vt:lpstr>Август!Print_Area</vt:lpstr>
      <vt:lpstr>Апрель!Print_Area</vt:lpstr>
      <vt:lpstr>Год!Print_Area</vt:lpstr>
      <vt:lpstr>Декабрь!Print_Area</vt:lpstr>
      <vt:lpstr>Июль!Print_Area</vt:lpstr>
      <vt:lpstr>Июнь!Print_Area</vt:lpstr>
      <vt:lpstr>Май!Print_Area</vt:lpstr>
      <vt:lpstr>Март!Print_Area</vt:lpstr>
      <vt:lpstr>Ноябрь!Print_Area</vt:lpstr>
      <vt:lpstr>Октябрь!Print_Area</vt:lpstr>
      <vt:lpstr>Сентябрь!Print_Area</vt:lpstr>
      <vt:lpstr>Февраль!Print_Area</vt:lpstr>
      <vt:lpstr>Январь!Print_Area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Планер привычек</dc:title>
  <dc:subject>Трекер привычек на год</dc:subject>
  <dc:creator/>
  <dc:description>Собрано скриптом build_planner.py</dc:description>
  <cp:lastModifiedBy/>
  <dcterms:created xsi:type="dcterms:W3CDTF">2026-09-20T17:20:13Z</dcterms:created>
  <dcterms:modified xsi:type="dcterms:W3CDTF">2026-09-20T17:20:13Z</dcterms:modified>
</cp:coreProperties>
</file>